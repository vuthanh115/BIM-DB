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lamdh\Desktop\"/>
    </mc:Choice>
  </mc:AlternateContent>
  <xr:revisionPtr revIDLastSave="0" documentId="13_ncr:1_{790FD126-34F3-44B2-A428-2730214AEDAF}" xr6:coauthVersionLast="47" xr6:coauthVersionMax="47" xr10:uidLastSave="{00000000-0000-0000-0000-000000000000}"/>
  <bookViews>
    <workbookView xWindow="-120" yWindow="-120" windowWidth="29040" windowHeight="15720" activeTab="2" xr2:uid="{00000000-000D-0000-FFFF-FFFF00000000}"/>
  </bookViews>
  <sheets>
    <sheet name="SĐTC BP BIM-TK" sheetId="13" r:id="rId1"/>
    <sheet name="Ma Tran BP BIM" sheetId="1" state="hidden" r:id="rId2"/>
    <sheet name="MTCV_KPI_TBP BIM" sheetId="28" r:id="rId3"/>
    <sheet name="MTCV_KPI_BIM Kien Truc" sheetId="10" r:id="rId4"/>
    <sheet name="MTCV_KPI_BIM Ket Cau" sheetId="25" r:id="rId5"/>
    <sheet name="MTCV_KPI_BIM MEPF" sheetId="26" r:id="rId6"/>
    <sheet name="MTCV_KPI_BIM Ha Tang" sheetId="27" r:id="rId7"/>
    <sheet name="DiemDanhGia" sheetId="14" r:id="rId8"/>
    <sheet name="QT_BIM_Shop" sheetId="15" r:id="rId9"/>
    <sheet name="QT_BIM_Combine" sheetId="16" r:id="rId10"/>
    <sheet name="QT_BIM_QS" sheetId="17" r:id="rId11"/>
    <sheet name="ChienLuocMucTieuNVTK" sheetId="18" r:id="rId12"/>
    <sheet name="HT_ThietKe_KC" sheetId="19" r:id="rId13"/>
    <sheet name="HT_ThietKe_KT" sheetId="20" r:id="rId14"/>
    <sheet name="HT_ThietKe_Dien" sheetId="21" r:id="rId15"/>
    <sheet name="HT_ThietKe_HVAC" sheetId="22" r:id="rId16"/>
    <sheet name="HT_ThietKe_CTN" sheetId="23" r:id="rId17"/>
    <sheet name="HT_ThietKe_PCCC" sheetId="24" r:id="rId18"/>
    <sheet name="Dropdown Keys - Do Not Delete -" sheetId="7" state="hidden" r:id="rId19"/>
  </sheets>
  <externalReferences>
    <externalReference r:id="rId20"/>
    <externalReference r:id="rId21"/>
  </externalReferences>
  <definedNames>
    <definedName name="_xlnm.Print_Titles" localSheetId="1">'Ma Tran BP BIM'!$2:$3</definedName>
    <definedName name="Priority">#REF!</definedName>
    <definedName name="Status" localSheetId="18">'Dropdown Keys - Do Not Delete -'!#REF!</definedName>
    <definedName name="Status">#REF!</definedName>
    <definedName name="Type" localSheetId="18">'[1]Risk Assessment &amp; Control'!#REF!</definedName>
    <definedName name="Type">'[1]Risk Assessment &amp; Control'!#REF!</definedName>
    <definedName name="YesNo" localSheetId="18">'Dropdown Keys - Do Not Delete -'!#REF!</definedName>
    <definedName name="YesNo">#REF!</definedName>
    <definedName name="Z_FD2F7472_F5D6_40F1_B6C4_8EE6CE46D363_.wvu.Cols" localSheetId="6">'MTCV_KPI_BIM Ha Tang'!$Y:$Z</definedName>
    <definedName name="Z_FD2F7472_F5D6_40F1_B6C4_8EE6CE46D363_.wvu.Cols" localSheetId="4">'MTCV_KPI_BIM Ket Cau'!$Y:$Z</definedName>
    <definedName name="Z_FD2F7472_F5D6_40F1_B6C4_8EE6CE46D363_.wvu.Cols" localSheetId="3">'MTCV_KPI_BIM Kien Truc'!$Y:$Z</definedName>
    <definedName name="Z_FD2F7472_F5D6_40F1_B6C4_8EE6CE46D363_.wvu.Cols" localSheetId="5">'MTCV_KPI_BIM MEPF'!$Y:$Z</definedName>
    <definedName name="Z_FD2F7472_F5D6_40F1_B6C4_8EE6CE46D363_.wvu.Cols" localSheetId="2">'MTCV_KPI_TBP BIM'!$Y:$Z</definedName>
    <definedName name="Z_FD2F7472_F5D6_40F1_B6C4_8EE6CE46D363_.wvu.PrintTitles" localSheetId="6">'MTCV_KPI_BIM Ha Tang'!$1:$3</definedName>
    <definedName name="Z_FD2F7472_F5D6_40F1_B6C4_8EE6CE46D363_.wvu.PrintTitles" localSheetId="4">'MTCV_KPI_BIM Ket Cau'!$1:$3</definedName>
    <definedName name="Z_FD2F7472_F5D6_40F1_B6C4_8EE6CE46D363_.wvu.PrintTitles" localSheetId="3">'MTCV_KPI_BIM Kien Truc'!$1:$3</definedName>
    <definedName name="Z_FD2F7472_F5D6_40F1_B6C4_8EE6CE46D363_.wvu.PrintTitles" localSheetId="5">'MTCV_KPI_BIM MEPF'!$1:$3</definedName>
    <definedName name="Z_FD2F7472_F5D6_40F1_B6C4_8EE6CE46D363_.wvu.PrintTitles" localSheetId="2">'MTCV_KPI_TBP BIM'!$1:$3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N77" i="28" l="1"/>
  <c r="N100" i="28" s="1"/>
  <c r="AQ47" i="28"/>
  <c r="AO47" i="28"/>
  <c r="AM47" i="28"/>
  <c r="AK47" i="28"/>
  <c r="AI47" i="28"/>
  <c r="AG47" i="28"/>
  <c r="AE47" i="28"/>
  <c r="AC47" i="28"/>
  <c r="AA47" i="28"/>
  <c r="AA30" i="28"/>
  <c r="AO30" i="28" s="1"/>
  <c r="N77" i="27"/>
  <c r="N100" i="27" s="1"/>
  <c r="AQ47" i="27"/>
  <c r="AO47" i="27"/>
  <c r="AM47" i="27"/>
  <c r="AK47" i="27"/>
  <c r="AI47" i="27"/>
  <c r="AG47" i="27"/>
  <c r="AE47" i="27"/>
  <c r="AC47" i="27"/>
  <c r="AA47" i="27"/>
  <c r="AQ30" i="27"/>
  <c r="AA30" i="27"/>
  <c r="AO30" i="27" s="1"/>
  <c r="N77" i="26"/>
  <c r="N100" i="26" s="1"/>
  <c r="AQ47" i="26"/>
  <c r="AO47" i="26"/>
  <c r="AM47" i="26"/>
  <c r="AK47" i="26"/>
  <c r="AI47" i="26"/>
  <c r="AG47" i="26"/>
  <c r="AE47" i="26"/>
  <c r="AC47" i="26"/>
  <c r="N98" i="26" s="1"/>
  <c r="AA47" i="26"/>
  <c r="AQ30" i="26"/>
  <c r="AA30" i="26"/>
  <c r="AO30" i="26" s="1"/>
  <c r="N77" i="25"/>
  <c r="N100" i="25" s="1"/>
  <c r="AQ47" i="25"/>
  <c r="AO47" i="25"/>
  <c r="AM47" i="25"/>
  <c r="AK47" i="25"/>
  <c r="AI47" i="25"/>
  <c r="AG47" i="25"/>
  <c r="AE47" i="25"/>
  <c r="AC47" i="25"/>
  <c r="N98" i="25" s="1"/>
  <c r="AA47" i="25"/>
  <c r="AA30" i="25"/>
  <c r="AG30" i="25" s="1"/>
  <c r="AG52" i="25" s="1"/>
  <c r="AG54" i="25" s="1"/>
  <c r="D19" i="24"/>
  <c r="C19" i="24"/>
  <c r="B19" i="24"/>
  <c r="D18" i="24"/>
  <c r="D17" i="24"/>
  <c r="D16" i="24"/>
  <c r="D15" i="24"/>
  <c r="D14" i="24"/>
  <c r="D13" i="24"/>
  <c r="D12" i="24"/>
  <c r="D11" i="24"/>
  <c r="D10" i="24"/>
  <c r="D9" i="24"/>
  <c r="D8" i="24"/>
  <c r="D7" i="24"/>
  <c r="D6" i="24"/>
  <c r="D5" i="24"/>
  <c r="D4" i="24"/>
  <c r="D3" i="24"/>
  <c r="D2" i="24"/>
  <c r="D1" i="24"/>
  <c r="B1" i="24"/>
  <c r="A1" i="24"/>
  <c r="D19" i="23"/>
  <c r="C19" i="23"/>
  <c r="B19" i="23"/>
  <c r="D18" i="23"/>
  <c r="D17" i="23"/>
  <c r="D16" i="23"/>
  <c r="D15" i="23"/>
  <c r="D14" i="23"/>
  <c r="D13" i="23"/>
  <c r="D12" i="23"/>
  <c r="D11" i="23"/>
  <c r="D10" i="23"/>
  <c r="D9" i="23"/>
  <c r="D8" i="23"/>
  <c r="D7" i="23"/>
  <c r="D6" i="23"/>
  <c r="D5" i="23"/>
  <c r="D4" i="23"/>
  <c r="D3" i="23"/>
  <c r="D2" i="23"/>
  <c r="D1" i="23"/>
  <c r="C1" i="23"/>
  <c r="B1" i="23"/>
  <c r="A1" i="23"/>
  <c r="D18" i="22"/>
  <c r="D17" i="22"/>
  <c r="D16" i="22"/>
  <c r="D15" i="22"/>
  <c r="D14" i="22"/>
  <c r="D13" i="22"/>
  <c r="D11" i="22"/>
  <c r="D10" i="22"/>
  <c r="D9" i="22"/>
  <c r="D8" i="22"/>
  <c r="D7" i="22"/>
  <c r="D6" i="22"/>
  <c r="D5" i="22"/>
  <c r="D4" i="22"/>
  <c r="D3" i="22"/>
  <c r="D1" i="22"/>
  <c r="C1" i="22"/>
  <c r="B1" i="22"/>
  <c r="A1" i="22"/>
  <c r="D19" i="21"/>
  <c r="C19" i="21"/>
  <c r="B19" i="21"/>
  <c r="D18" i="21"/>
  <c r="D17" i="21"/>
  <c r="D16" i="21"/>
  <c r="D15" i="21"/>
  <c r="D14" i="21"/>
  <c r="D13" i="21"/>
  <c r="D12" i="21"/>
  <c r="D11" i="21"/>
  <c r="D10" i="21"/>
  <c r="D9" i="21"/>
  <c r="D8" i="21"/>
  <c r="D7" i="21"/>
  <c r="D6" i="21"/>
  <c r="D5" i="21"/>
  <c r="D4" i="21"/>
  <c r="D3" i="21"/>
  <c r="D2" i="21"/>
  <c r="D1" i="21"/>
  <c r="C1" i="21"/>
  <c r="B1" i="21"/>
  <c r="A1" i="21"/>
  <c r="D24" i="19"/>
  <c r="C24" i="19"/>
  <c r="B24" i="19"/>
  <c r="D22" i="19"/>
  <c r="D20" i="19"/>
  <c r="D19" i="19"/>
  <c r="D18" i="19"/>
  <c r="D17" i="19"/>
  <c r="D14" i="19"/>
  <c r="D13" i="19"/>
  <c r="D12" i="19"/>
  <c r="D11" i="19"/>
  <c r="D10" i="19"/>
  <c r="D9" i="19"/>
  <c r="D8" i="19"/>
  <c r="D7" i="19"/>
  <c r="D4" i="19"/>
  <c r="D1" i="19"/>
  <c r="C1" i="19"/>
  <c r="B1" i="19"/>
  <c r="A1" i="19"/>
  <c r="N98" i="27" l="1"/>
  <c r="AO52" i="27"/>
  <c r="AO54" i="27" s="1"/>
  <c r="AQ52" i="27"/>
  <c r="AQ54" i="27" s="1"/>
  <c r="AO52" i="26"/>
  <c r="AO54" i="26" s="1"/>
  <c r="AQ52" i="26"/>
  <c r="AQ54" i="26" s="1"/>
  <c r="AK30" i="25"/>
  <c r="AK52" i="25" s="1"/>
  <c r="AK54" i="25" s="1"/>
  <c r="AI30" i="25"/>
  <c r="AI52" i="25" s="1"/>
  <c r="AI54" i="25" s="1"/>
  <c r="N98" i="28"/>
  <c r="AO52" i="28"/>
  <c r="AO54" i="28" s="1"/>
  <c r="AQ30" i="28"/>
  <c r="AQ52" i="28" s="1"/>
  <c r="AQ54" i="28" s="1"/>
  <c r="AC30" i="28"/>
  <c r="AG30" i="28"/>
  <c r="AG52" i="28" s="1"/>
  <c r="AG54" i="28" s="1"/>
  <c r="P77" i="28"/>
  <c r="AI30" i="28"/>
  <c r="AI52" i="28" s="1"/>
  <c r="AI54" i="28" s="1"/>
  <c r="AK30" i="28"/>
  <c r="AK52" i="28" s="1"/>
  <c r="AK54" i="28" s="1"/>
  <c r="AM30" i="28"/>
  <c r="AM52" i="28" s="1"/>
  <c r="AM54" i="28" s="1"/>
  <c r="AE30" i="28"/>
  <c r="AE52" i="28" s="1"/>
  <c r="AE54" i="28" s="1"/>
  <c r="P77" i="27"/>
  <c r="AK30" i="27"/>
  <c r="AK52" i="27" s="1"/>
  <c r="AK54" i="27" s="1"/>
  <c r="AI30" i="27"/>
  <c r="AI52" i="27" s="1"/>
  <c r="AI54" i="27" s="1"/>
  <c r="AM30" i="27"/>
  <c r="AM52" i="27" s="1"/>
  <c r="AM54" i="27" s="1"/>
  <c r="AC30" i="27"/>
  <c r="AE30" i="27"/>
  <c r="AE52" i="27" s="1"/>
  <c r="AE54" i="27" s="1"/>
  <c r="AG30" i="27"/>
  <c r="AG52" i="27" s="1"/>
  <c r="AG54" i="27" s="1"/>
  <c r="AE30" i="26"/>
  <c r="AE52" i="26" s="1"/>
  <c r="AE54" i="26" s="1"/>
  <c r="AM30" i="26"/>
  <c r="AM52" i="26" s="1"/>
  <c r="AM54" i="26" s="1"/>
  <c r="AC30" i="26"/>
  <c r="AG30" i="26"/>
  <c r="AG52" i="26" s="1"/>
  <c r="AG54" i="26" s="1"/>
  <c r="P77" i="26"/>
  <c r="AI30" i="26"/>
  <c r="AI52" i="26" s="1"/>
  <c r="AI54" i="26" s="1"/>
  <c r="AK30" i="26"/>
  <c r="AK52" i="26" s="1"/>
  <c r="AK54" i="26" s="1"/>
  <c r="AQ30" i="25"/>
  <c r="AQ52" i="25" s="1"/>
  <c r="AQ54" i="25" s="1"/>
  <c r="AO30" i="25"/>
  <c r="AO52" i="25" s="1"/>
  <c r="AO54" i="25" s="1"/>
  <c r="AM30" i="25"/>
  <c r="AM52" i="25" s="1"/>
  <c r="AM54" i="25" s="1"/>
  <c r="AC30" i="25"/>
  <c r="AE30" i="25"/>
  <c r="AE52" i="25" s="1"/>
  <c r="AE54" i="25" s="1"/>
  <c r="P77" i="25"/>
  <c r="AM47" i="10"/>
  <c r="N77" i="10"/>
  <c r="N100" i="10" s="1"/>
  <c r="AQ47" i="10"/>
  <c r="AO47" i="10"/>
  <c r="AK47" i="10"/>
  <c r="AI47" i="10"/>
  <c r="AG47" i="10"/>
  <c r="AE47" i="10"/>
  <c r="AC47" i="10"/>
  <c r="AA47" i="10"/>
  <c r="AA30" i="10"/>
  <c r="AO30" i="10" s="1"/>
  <c r="N96" i="28" l="1"/>
  <c r="AH96" i="28" s="1"/>
  <c r="AC52" i="28"/>
  <c r="AC54" i="28" s="1"/>
  <c r="AC52" i="27"/>
  <c r="AC54" i="27" s="1"/>
  <c r="N96" i="27"/>
  <c r="AH96" i="27" s="1"/>
  <c r="N96" i="26"/>
  <c r="AH96" i="26" s="1"/>
  <c r="AC52" i="26"/>
  <c r="AC54" i="26" s="1"/>
  <c r="N96" i="25"/>
  <c r="AH96" i="25" s="1"/>
  <c r="AC52" i="25"/>
  <c r="AC54" i="25" s="1"/>
  <c r="AQ30" i="10"/>
  <c r="AQ52" i="10" s="1"/>
  <c r="AQ54" i="10" s="1"/>
  <c r="AO52" i="10"/>
  <c r="AO54" i="10" s="1"/>
  <c r="N98" i="10"/>
  <c r="P77" i="10"/>
  <c r="AE30" i="10"/>
  <c r="AE52" i="10" s="1"/>
  <c r="AE54" i="10" s="1"/>
  <c r="AI30" i="10"/>
  <c r="AI52" i="10" s="1"/>
  <c r="AI54" i="10" s="1"/>
  <c r="AK30" i="10"/>
  <c r="AK52" i="10" s="1"/>
  <c r="AK54" i="10" s="1"/>
  <c r="AM30" i="10"/>
  <c r="AM52" i="10" s="1"/>
  <c r="AM54" i="10" s="1"/>
  <c r="AC30" i="10"/>
  <c r="AG30" i="10"/>
  <c r="AG52" i="10" s="1"/>
  <c r="AG54" i="10" s="1"/>
  <c r="AC52" i="10" l="1"/>
  <c r="AC54" i="10" s="1"/>
  <c r="N96" i="10"/>
  <c r="AH96" i="10" s="1"/>
</calcChain>
</file>

<file path=xl/sharedStrings.xml><?xml version="1.0" encoding="utf-8"?>
<sst xmlns="http://schemas.openxmlformats.org/spreadsheetml/2006/main" count="1430" uniqueCount="442">
  <si>
    <t>R</t>
  </si>
  <si>
    <t>A</t>
  </si>
  <si>
    <t>C</t>
  </si>
  <si>
    <t>I</t>
  </si>
  <si>
    <t>Responsible</t>
  </si>
  <si>
    <t>Accountable</t>
  </si>
  <si>
    <t>Consulted</t>
  </si>
  <si>
    <t>Informed</t>
  </si>
  <si>
    <t>RACI KEY</t>
  </si>
  <si>
    <t xml:space="preserve">– DO NOT DELETE – </t>
  </si>
  <si>
    <t>RACI DROPDOWN KEYS</t>
  </si>
  <si>
    <t>Mã</t>
  </si>
  <si>
    <t>S</t>
  </si>
  <si>
    <t>Support</t>
  </si>
  <si>
    <t>Nhiệm vụ</t>
  </si>
  <si>
    <t>ĐẤU THẦU</t>
  </si>
  <si>
    <t>NGƯỜI LẬP</t>
  </si>
  <si>
    <t>TRIỂN KHAI DỰ ÁN</t>
  </si>
  <si>
    <t>BIM Kiến Trúc</t>
  </si>
  <si>
    <t>BIM Kết Cấu</t>
  </si>
  <si>
    <t>Tạ Văn Bộ</t>
  </si>
  <si>
    <t>Lê Gia Quyên</t>
  </si>
  <si>
    <t>Nguyễn Đoàn Ngọc Niệm</t>
  </si>
  <si>
    <t>Phạm Văn Quý</t>
  </si>
  <si>
    <t>BIM MEPF</t>
  </si>
  <si>
    <t>Nguyễn Văn Phúc</t>
  </si>
  <si>
    <t>Trần Tuấn Kiệt</t>
  </si>
  <si>
    <t>Thực hiện triển khai mô hình và bóc khối lượng cơ điện (Điện, PCCC, CTN, Điều Hoà)</t>
  </si>
  <si>
    <t>BIM Hạ Tầng</t>
  </si>
  <si>
    <t>Chưa có</t>
  </si>
  <si>
    <t>Thực hiện kiểm tra va chạm, báo cáo</t>
  </si>
  <si>
    <t>Thực hiện diễn hoạ phối cảnh công trình (video, hình ảnh theo yêu cầu dự án)</t>
  </si>
  <si>
    <t>Thực hiện diễn hoạ tiến độ và biện pháp thi công (video)</t>
  </si>
  <si>
    <t>Tiếp nhận hồ sơ, phản hồi thông tin qua TCQ các bộ môn</t>
  </si>
  <si>
    <t>Thực hiện thiết kế ý tưởng, TMB (chỉ khi được yêu cầu ưu tiên)</t>
  </si>
  <si>
    <t>Thực hiện bản vẽ BPTC (chỉ khi được yêu cầu ưu tiên)</t>
  </si>
  <si>
    <t>Thực hiện triển khai mô hình và bóc khối lượng hạ tầng và phụ trợ</t>
  </si>
  <si>
    <t>1.10</t>
  </si>
  <si>
    <t>Thực hiện cập nhật khối lượng tương ứng thay đổi thiết kế mô hình Cơ Điện</t>
  </si>
  <si>
    <t>Thực hiện triển khai mô hình Kiến trúc và bóc khối lượng</t>
  </si>
  <si>
    <t>Thực hiện triển khai mô hình kết cấu và bóc khối lượng</t>
  </si>
  <si>
    <t>Thực hiện cập nhật mô hình và bóc khối lượng hạ tầng và phụ trợ</t>
  </si>
  <si>
    <t>Phát hành mô hình phối hợp bộ môn, báo cáo va chạm giai đoạn triển khai dự án</t>
  </si>
  <si>
    <t>Nhân sự</t>
  </si>
  <si>
    <t>Tổ chức bộ phận, đề xuất định biên bộ phận</t>
  </si>
  <si>
    <t>Xây dựng mô tả công việc, KPIs, định kì rà soát, điều chỉnh phù hợp với thực tế công việc</t>
  </si>
  <si>
    <t>Phân công nhiệm vụ đúng với mô tả công việc</t>
  </si>
  <si>
    <t>Đánh giá năng lực, hiệu quả công việc cá nhân, đề xuất các mức đãi ngộ tương ứng</t>
  </si>
  <si>
    <t>Tổ chức đào tạo, hướng dẫn cán bộ nhân viên (Kĩ năng phần mềm, tư duy, lập trình, kiến thức kinh nghiệm…)</t>
  </si>
  <si>
    <t>Quy hoạch cán bộ kế cận, kiểm soát lô trình phát triển từng cá nhân</t>
  </si>
  <si>
    <t>Định hình và phát triển văn hoá bộ phận phù hợp với công ty</t>
  </si>
  <si>
    <t>Ngân sách</t>
  </si>
  <si>
    <t>Xây dựng và kiểm soát ngân sách bộ phận trong phạm vi phụ trách (nếu có như chính sách đãi ngộ, phần mềm, tài sản liên quan)</t>
  </si>
  <si>
    <t>Nghiên cứu và đề xuất các giải pháp tối ưu năng xuất, nâng cao hiệu quả hoạt động về chi phí</t>
  </si>
  <si>
    <t>Quản trị hệ thống</t>
  </si>
  <si>
    <t>Lập kế hoạch năm theo mục tiêu của công ty, rà soát điều chỉnh</t>
  </si>
  <si>
    <t>Tham gia xây dựng hệ thống quản trị công ty (quy định, quy trình, hướng dẫn, biểu mẫu, tiêu chuẩn, phân quyền, định mức, bộ quản trị nhân sự, bộ kê hoạch, bộ báo cáo…)</t>
  </si>
  <si>
    <t>Nghiên cứu và tham mưu cho ban lãnh đạo ứng dụng công nghệ vào quản trị</t>
  </si>
  <si>
    <t>Chủ động kiểm tra tuân thủ theo hệ thống quản trị công ty</t>
  </si>
  <si>
    <t>Nghiên cứu và phát triển</t>
  </si>
  <si>
    <t>Thực hiện cập nhật khối lượng tương ứng thay đổi thiết kế mô hình Kiến Trúc</t>
  </si>
  <si>
    <t>Thực hiện cập nhật khối lượng tương ứng thay đổi thiết kế mô hình Kết Cấu</t>
  </si>
  <si>
    <t xml:space="preserve">TBP </t>
  </si>
  <si>
    <t>Đặng Hữu Lam</t>
  </si>
  <si>
    <t>Kiểm tra khối lượng theo yêu cầu lãnh đạo</t>
  </si>
  <si>
    <t>Nghiên cứu và tổ chức triển khai áp dụng mô hình vào quản lý tiến độ thực tế dự án</t>
  </si>
  <si>
    <t>Nghiên cứu và tổ chức triển khai áp dụng mô hình vào quản lý khối lượng thực tế dự án</t>
  </si>
  <si>
    <t>Nghiên cứu và tổ chức triển khai áp dụng mô hình vào quản lý chi phí thực tế dự án</t>
  </si>
  <si>
    <t>Nghiên cứu và tổ  chức triển khai áp dụng mô hình vào quản lý nguồn lực thực tế dự án</t>
  </si>
  <si>
    <t>Nghiên cứu và tổ chức  triển khai áp dụng hệ thống báo cáo quản lý dự án bằng mô hình BIM</t>
  </si>
  <si>
    <t>MA TRẬN PHÂN CÔNG TRÁCH NHIỆM BP BIM</t>
  </si>
  <si>
    <t>Thông tin người được đánh giá</t>
  </si>
  <si>
    <t>Thông tin Người thực hiện đánh giá</t>
  </si>
  <si>
    <t>Họ và tên</t>
  </si>
  <si>
    <t>: Đặng Hữu Lam</t>
  </si>
  <si>
    <t>:</t>
  </si>
  <si>
    <t>Chức vụ</t>
  </si>
  <si>
    <t>Cấp cán bộ</t>
  </si>
  <si>
    <t>Phòng</t>
  </si>
  <si>
    <t>: BIM</t>
  </si>
  <si>
    <t>Công ty/Ban</t>
  </si>
  <si>
    <t>Mã NV</t>
  </si>
  <si>
    <t>PHẦN I TINH THẦN THÁI ĐỘ</t>
  </si>
  <si>
    <t>Tiêu chí</t>
  </si>
  <si>
    <t>Trọng số</t>
  </si>
  <si>
    <t>Quý I</t>
  </si>
  <si>
    <t>Quý II</t>
  </si>
  <si>
    <t>Quý III</t>
  </si>
  <si>
    <t>Quý IV</t>
  </si>
  <si>
    <t>Tự đánh giá</t>
  </si>
  <si>
    <t>Cấp trên đánh giá</t>
  </si>
  <si>
    <t>Điểm phần I:</t>
  </si>
  <si>
    <t>STT</t>
  </si>
  <si>
    <t>Điểm phần II:</t>
  </si>
  <si>
    <t>XẾP LOẠI ĐÁNH GIÁ QUÝ</t>
  </si>
  <si>
    <t>Điểm xếp hạng:</t>
  </si>
  <si>
    <t>Điểm xếp loại:</t>
  </si>
  <si>
    <t>Kết quả xếp hạng:</t>
  </si>
  <si>
    <t>Kết quả xếp loại:</t>
  </si>
  <si>
    <t>Người thực hiện đánh giá xác nhận:</t>
  </si>
  <si>
    <t>CBLĐ thực hiện đánh giá xác nhận:</t>
  </si>
  <si>
    <t>Người được đánh giá xác nhận:</t>
  </si>
  <si>
    <t>CBNV được đánh giá xác nhận:</t>
  </si>
  <si>
    <t>PHẦN III ĐÁNH GIÁ NĂNG LỰC</t>
  </si>
  <si>
    <t>Năng lực chuyên môn</t>
  </si>
  <si>
    <t>Stt</t>
  </si>
  <si>
    <t>Năng lực</t>
  </si>
  <si>
    <t>Tiêu chuẩn</t>
  </si>
  <si>
    <t>Thực tế</t>
  </si>
  <si>
    <t xml:space="preserve">Diễn giải các điểm mạnh và điểm cần cải thiện </t>
  </si>
  <si>
    <t>Ghi chú</t>
  </si>
  <si>
    <t>NLCM 1</t>
  </si>
  <si>
    <t>NLCM 2</t>
  </si>
  <si>
    <t>NLCM 3</t>
  </si>
  <si>
    <t>NLCM 4</t>
  </si>
  <si>
    <t>Kết quả đánh giá phần III:</t>
  </si>
  <si>
    <t>Ý kiến đánh giá</t>
  </si>
  <si>
    <t>Ý kiến của Hội đồng đánh giá</t>
  </si>
  <si>
    <t>Ý kiến của người được đánh giá</t>
  </si>
  <si>
    <t>Phê duyệt của người có thẩm quyền</t>
  </si>
  <si>
    <t>Họ và tên:……………………….</t>
  </si>
  <si>
    <t>KẾT QUẢ XẾP LOẠI NĂM</t>
  </si>
  <si>
    <t>Kết quả</t>
  </si>
  <si>
    <t xml:space="preserve">Điểm xếp loại tinh thần thái độ </t>
  </si>
  <si>
    <t>Điểm xếp hạng năm</t>
  </si>
  <si>
    <t>Điểm xếp loại Kết quả công việc</t>
  </si>
  <si>
    <t>Kết quả xếp hạng năm</t>
  </si>
  <si>
    <t>Điểm xếp loại Năng lực</t>
  </si>
  <si>
    <t>B</t>
  </si>
  <si>
    <t>Ý kiến đánh giá cuối cùng đối với Kết quả của năm</t>
  </si>
  <si>
    <t>Ý kiến của Người thực hiện đánh giá</t>
  </si>
  <si>
    <t>Phê duyệt của CBLĐ có thẩm quyền</t>
  </si>
  <si>
    <t>Ngày: ……./……../2019</t>
  </si>
  <si>
    <t>MÔ TẢ CÔNG VIỆC VÀ ĐÁNH GIÁ KPI</t>
  </si>
  <si>
    <t>Bộ phận</t>
  </si>
  <si>
    <t>: Kĩ sư BIM kiến trúc</t>
  </si>
  <si>
    <t>: Nhân viên</t>
  </si>
  <si>
    <t>:…</t>
  </si>
  <si>
    <t>Công ty</t>
  </si>
  <si>
    <t>: Công ty cổ phần xây dựng Bông Sen Vàng</t>
  </si>
  <si>
    <t>: Trưởng bộ phận BIM</t>
  </si>
  <si>
    <t>: Quản lý</t>
  </si>
  <si>
    <t>1.Luôn tuân thủ các nội quy, quy định, quy chế của công ty</t>
  </si>
  <si>
    <t>2. Cầu thị, cầu tiến, ham học hỏi</t>
  </si>
  <si>
    <t>3. Luôn làm việc khẩn trương với tính thần phục vụ cao, giải quyết nhanh, dứt điểm thỏa đáng các vấn đề</t>
  </si>
  <si>
    <t>Mô tả nội dung công việc cụ thể</t>
  </si>
  <si>
    <t xml:space="preserve">PHẦN II MÔ TẢ VÀ KẾT QUẢ CÔNG VIỆC </t>
  </si>
  <si>
    <t>Kết quả cần có</t>
  </si>
  <si>
    <t>Ngày: ……./……../2024</t>
  </si>
  <si>
    <t>Làm rõ phạm vi công việc trong hồ sơ, thống nhất các thông tin sai khác tránh gây hiểu nhầm và  ảnh hưởng đến chi phí</t>
  </si>
  <si>
    <t>Báo cáo làm rõ phục vụ giải trình khối lượng</t>
  </si>
  <si>
    <t>: Kĩ sư BIM kết cấu</t>
  </si>
  <si>
    <t>4. Có tinh thần chia sẻ, giúp đỡ đồng nghiệp, phối hợp tốt với các phòng ban khác</t>
  </si>
  <si>
    <t>Tiếp nhận hồ sơ, phản hồi thông tin qua TCQ phần kết cấu</t>
  </si>
  <si>
    <t>Nguyễn Hữu Nam</t>
  </si>
  <si>
    <t>VINHOMES - XÂY DỰNG KPI THEO CHỨC DANH</t>
  </si>
  <si>
    <t>Rất tốt</t>
  </si>
  <si>
    <t>Tốt</t>
  </si>
  <si>
    <t>Khá</t>
  </si>
  <si>
    <t>Trung bình</t>
  </si>
  <si>
    <t>Yếu</t>
  </si>
  <si>
    <t>Chức danh</t>
  </si>
  <si>
    <t>5 điểm</t>
  </si>
  <si>
    <t>4 điểm</t>
  </si>
  <si>
    <t>3 điểm</t>
  </si>
  <si>
    <t>2 điểm</t>
  </si>
  <si>
    <t>1 điểm</t>
  </si>
  <si>
    <t>Lưu đồ</t>
  </si>
  <si>
    <t xml:space="preserve">Mô tả </t>
  </si>
  <si>
    <t>Trách nhiệm</t>
  </si>
  <si>
    <t>Thời gian (Ngày)</t>
  </si>
  <si>
    <t>Biểu mẫu/hướng dẫn</t>
  </si>
  <si>
    <t>-Tiếp nhận hồ sơ thiết kế, tiến độ DA
- Đọc hiểu hồ sơ, chuẩn bị cơ sở dữ liệu (các biểu mẫu đệ trình, khung tên, cài đặt phần mềm theo Spec, template, tài liệu tham khảo, chuẩn hoá chi tiết)
- Đặt mục tiêu về tiến độ, chất lượng
- Thiết lập kênh trao đổi, biểu TCQ</t>
  </si>
  <si>
    <t>Team Leader Shop Xây dựng
Team Leader Shop MEPF</t>
  </si>
  <si>
    <t>-Lập danh mục hạng mục cần triển khai, phân bổ nguồn lực cho dự án, giao dealline hoàn thành từng hạng mục</t>
  </si>
  <si>
    <t xml:space="preserve">- Lập danh mục bản vẽ chi tiết, dealine hoàn thành phù hợp với hoạch định </t>
  </si>
  <si>
    <t>KS BIM Shop - Hạ tầng</t>
  </si>
  <si>
    <t>KS BIM Shop- Kết cấu</t>
  </si>
  <si>
    <t>KTS BIM Shop- Kiến trúc</t>
  </si>
  <si>
    <t>KS BIM Shop - Hệ Cơ (CTN, PCCC, DHTG)</t>
  </si>
  <si>
    <t>KS- BIM Shop - Hệ điên</t>
  </si>
  <si>
    <t>- Triển khai bản vẽ theo tài liệu hướng dẫn hoặc hướng dẫn của team leader</t>
  </si>
  <si>
    <t>1 - 5</t>
  </si>
  <si>
    <t>KS BIM Shop - Kết cấu</t>
  </si>
  <si>
    <t>KTS BIM  Shop - Kiến trúc</t>
  </si>
  <si>
    <t>Tự kiểm tra theo checklist, hướng dẫn, Spec
Team Leader kiểm tra, TBP kiểm tra</t>
  </si>
  <si>
    <t>KS BIM Shop</t>
  </si>
  <si>
    <t>Team Leader Shop Xây dựng</t>
  </si>
  <si>
    <t>Team Leader Shop MEPF</t>
  </si>
  <si>
    <t>- Phát hành bản vẽ chính thức cho BCH trình CĐT, TVGS
 -Nhận ý kiến phản hồi của BCH, CĐT, TVGS, TVTK
- Tham gia họp, giải trình phương án, đề xuất điều chỉnh</t>
  </si>
  <si>
    <t xml:space="preserve"> -Lưu trữ hồ sơ, bổ sung các lỗi hay gặp trong tài liệu nội bộ để rút kinh nghiệm và đào tạo</t>
  </si>
  <si>
    <t>-Tiếp nhận hồ sơ thiết kế, tiến độ DA
- Đọc hiểu hồ sơ, chuẩn bị mô hình combine (đúng TMB, đúng toạ độ VN2000)
- Chuẩn bị biểu mẫu báo cáo, tài liệu quy tắc kiểm tra ưu tiên, quy trình kiểm tra, hướng dẫn sử dụng mô hình online</t>
  </si>
  <si>
    <t>Leader Combine</t>
  </si>
  <si>
    <t>-Lập danh mục hạng mục 3D cần triển khai mô hình, làm việc với các bộ môn về thời gian hoàn thành mô hình từng hạng mục
- Chiến lược phân tách mô hình combine từng phần theo ưu tiên thi công dự án và phần cứng máy tính</t>
  </si>
  <si>
    <t xml:space="preserve"> Leader Combine</t>
  </si>
  <si>
    <t>- Lập danh sách bản vẽ combine cần phát hành, danh mục mô hình 3D tự triển khai, mô hình IFC mphoosi hợp từ các bên liên quan</t>
  </si>
  <si>
    <t>- Triển khai liên kết các mô hình 3D
- Lập báo cáo va chạm, phát hành báo cáo cho toàn bộ các bên liên quan dự án
- Đưa ra phương án xử lý va chạm
- Làm việc với CĐT, TVGS, TVTK, nhà thầu phụ, chốt giải pháp điều chỉnh thiết kế, mô hình</t>
  </si>
  <si>
    <t>3- 7</t>
  </si>
  <si>
    <t>Tự kiểm tra theo checklist, hướng dẫn, ma trận va chạm
Kiểm tra nội bộ bằng kiểm tra trực quan trên mô hình online
Phản hồi cho các bộ môn về sai xót mô hình, thiết kế</t>
  </si>
  <si>
    <t>- Phát hành bản vẽ combine chính thức cho BCH, CĐT, TVGS phần ngầm và các bản vẽ phần nổi
 -Nhận ý kiến phản hồi của BCH, CĐT, TVGS, TVTK
- Tham gia họp, giải trình phương án giải quyết va chạm, đề xuất điều chỉnh với CĐT, TVGS, BCH, NTP
- Cấp mô hình 3D định dạng IFC, xuất thông tin Excel, mô hình revit cho tất cả nhà thầu phụ liên quan</t>
  </si>
  <si>
    <t xml:space="preserve"> -Lưu trữ mô hình, báo cáo, bài học</t>
  </si>
  <si>
    <t>-Tiếp nhận hồ sơ, tiến độ DA
- Đọc hiểu hồ sơ, tiếp nhận và chuẩn bị cơ sở dữ liệu (các template Revit, cài đặt phần mềm theo Spec, biểu BOQ, danh mục VLHT)
- Đặt mục tiêu về tiến độ, chất lượng
- Thiết lập kênh trao đổi, biểu TCQ
- Rà soát các tham biến tổ chức khối lượng trong mô hình</t>
  </si>
  <si>
    <t>Team Leader QS
Team Leader QS MEPF</t>
  </si>
  <si>
    <t xml:space="preserve">-Lập danh mục hạng mục cần triển khai khối lượng, phân bổ nguồn lực cho dự án, giao dealline hoàn thành từng hạng mục
'-Thiết lập biểu BOQ (nếu cần thiết)
</t>
  </si>
  <si>
    <t>- Kế hoạch nhiệm vụ chi tiết theo đầu mục BOQ cho các bộ môn cụ thể kèm dealine</t>
  </si>
  <si>
    <t>KS BIM QS - Hạ tầng</t>
  </si>
  <si>
    <t>KS BIM QS- Kết cấu</t>
  </si>
  <si>
    <t>KTS BIM QS- Kiến trúc</t>
  </si>
  <si>
    <t>KS BIM QS- Hệ Cơ (CTN, PCCC, DHTG)</t>
  </si>
  <si>
    <t>KS- BIM QS - Hệ điên</t>
  </si>
  <si>
    <t>- Triển khai mô hình theo từng bộ môn, từng đầu mục BOQ đươcj phân công
- Tổ chức bảng thống kê trong phần mềm, trích xuất thống kê Excel, link số liệu thống kê vào BOQ
- Tính toán bổ sung số liệu không xuất từ mô hình</t>
  </si>
  <si>
    <t>5-7</t>
  </si>
  <si>
    <t>KTS BIM QS - Kiến trúc</t>
  </si>
  <si>
    <t>KS- BIM QS- Hệ điên</t>
  </si>
  <si>
    <t>Tự kiểm tra theo checklist, hướng dẫn
Team Leader kiểm tra chất lượng mô hình, kiểm tra tính hợp lý số liệu khối lượng với mô hình, lỗi trích xuất số liệu, các số liệu không xuất ra từ mô hình</t>
  </si>
  <si>
    <t xml:space="preserve">Team Leader QS Xây dựng
</t>
  </si>
  <si>
    <t>Team Leader QS MEPF</t>
  </si>
  <si>
    <t>- Phát hành  khối lượng chính thức cho phòng ban yêu cầu
 - Phân tách khối lượng theo yêu cầu các phòng ban theo kê hoạch thi công, theo đợt thanh quyết toán, kê hoạch đặt hàng…</t>
  </si>
  <si>
    <t>Team Leader QS Xây dựng</t>
  </si>
  <si>
    <t xml:space="preserve"> -Lưu trữ bẳng khối lượng đã xuất, phân loại đưa vào cơ sở dữ liệu</t>
  </si>
  <si>
    <t>Team Leader QS</t>
  </si>
  <si>
    <t>* Các nhiệm vụ liên quan đến xử lý khối lượng phát sinh cũng sẽ theo quy trình này nhưng sẽ có thêm bước trao đổi, bảo vệ khối lượng với TVGS, CĐT khi cần thiết</t>
  </si>
  <si>
    <t>Tham gia chuẩn hoá biểu BOQ, Spec và các tài liệu hỗ trợ thiết kế khác nhằm tăng hiệu suất, tối ưu nguồn lực ở tất cả các bước thiết kế, đấu thầu, thi công</t>
  </si>
  <si>
    <t>Thực hiện kết hợp BIM-Thiết kế tối ưu nguồn lực 70% về bóc khối lượng, shop, combine với các dự án tự thiết kế (vì nhân sự bp BIM sẽ vẽ ngay từ giai đoạn đầu để tận dụng lại 70% dữ liệu giai đoạn thi công, không phải dựng lại, vẽ lại, xuất và kiểm lại khối lượng)</t>
  </si>
  <si>
    <t>Chuẩn hoá các thiết kế tối ưu cho công ty (bao gồm chi tiết 2D, 3D, các tiêu chuẩn, quy định, chuẩn hoá số liệu thiết kế…) nhằm tăng hiệu suất, tối ưu nguồn lực ở tất cả các bước thiết kế, đấu thầu, thi công</t>
  </si>
  <si>
    <t>Thiết kế, tư vấn thiết kế cho toàn bộ các dự án đang triển khai thi công (100% vướng mắc với dự án tự thiết kế và chỉ các vấn đề trọng yếu ảnh hưởng lớn đến dự án với các dự án BSV không thiết kế do các dự án này CĐT có tư vấn thiết kế riêng)</t>
  </si>
  <si>
    <t>Quản lý thiết kế các dự án thuê ngoài phải chuẩn hoá theo yêu cầu của BSV, mang lại lợi thế cho BSV trong giai đoạn đấu thầu với các dự án thiết kế-đấu thầu-thi công</t>
  </si>
  <si>
    <t>Thực hiện tự  thiết kế tối ưu các dự án thiết kế - thi công, Thiết kế - Đấu thầu - Thi Công (Tối ưu trên góc nhìn của BSV, mang lại lợi thế đấu thầu, thi công cho BSV)</t>
  </si>
  <si>
    <t>Tham gia quá trình làm việc, tư vấn, định hướng khách hàng theo các phương án thiết kế chiến lược BSV có ưu thế khi đấu thầu, thi công</t>
  </si>
  <si>
    <t xml:space="preserve">        Nhiệm vụ trọng yếu</t>
  </si>
  <si>
    <t>Trong dài hạn đưa thiết kế từng bước trở thành bộ phận trực tiếp mang thêm lợi nhuận qua các hợp đồng thiết kế - BIM mà vẫn đảm bảo hoàn thành các định hướng chiến lược</t>
  </si>
  <si>
    <t>Trong dài hạn (&gt;1 năm) từng bước chuẩn hoá, tự động hoá trong dài hạn sau 1 năm theo các nhiệm vụ trọng yếu, mục tiêu chuyển hoá ít nhất 60%, và hướng đến 90% dự án tự thiết kế thắng thầu và sang thi công</t>
  </si>
  <si>
    <t>Trong ngắn hạn  (1 năm) tự chủ toàn bộ thiết kế (khoảng 4 dự án 1 năm, giá trị tổng các dự án khoảng 1200 tỷ, tương đương doanh thu thiết kế ước tính khoảng 10 tỷ)</t>
  </si>
  <si>
    <t xml:space="preserve">       Mục tiêu</t>
  </si>
  <si>
    <t>Đặt nền tảng cho việc thu thập, tổ chức, lưu trữ, khai thác dữ liệu trên toàn bộ chuỗi hoạt động chính về xây dựng cho công ty, từng bước làm chủ dữ liệu ngay từ ban đầu để phục vụ dài hạn</t>
  </si>
  <si>
    <t>Nâng cao năng lực lõi cho toàn bộ cán bộ khu vực văn phòng (về tư duy thiết kế, thiết kế, 6 hoá), hướng tới đa nhiệm, tối ưu, dễ thích nghi, hướng tới phát triển ổn định cho chuỗi giá trị</t>
  </si>
  <si>
    <t>Xây dựng lợi thế cạnh tranh tuyệt đối bằng hệ thống có tính đóng kín, đồng bộ, hoàn thiện toàn bộ chuỗi giá trị công ty từ MKT, thiết kế-pháp lý, đấu thầu, thi công, vận hành</t>
  </si>
  <si>
    <t>Định hướng chiến lược</t>
  </si>
  <si>
    <t>Biểu mẫu ghi chú chung cho kết cấu</t>
  </si>
  <si>
    <t>Nhằm chuẩn hoá các quy định chuẩn trên tất cả các dự án về kêt cấu, quy cách điển hình mang lại lợi thế cho BSV khi thiết kế, đấu thầu, thi công</t>
  </si>
  <si>
    <t>Thuyết minh thiết kế kết cấu, chỉ dẫn kĩ thuật</t>
  </si>
  <si>
    <t>Theo từng giai đoạn dự án và chia ra theo từng hạng mục cụ thể</t>
  </si>
  <si>
    <t>Có biểu mẫu triển khai theo một kiểu nhất định từ bố cục thông tin đến diễn giải chi tiết , chia thuyết minh ra theo phân loại hạng mục, cấu kiện đã chuẩn hoá ở trên, các dự án có thay đổi thì chỉ cần xác định chính xác các vị trí cần thay đổi thôi, phục vụ hồ sơ pháp lý, giải trình khi được yêu cầu</t>
  </si>
  <si>
    <t>Quy định đặt tên file, mã bản vẽ, tên family, tham biến…</t>
  </si>
  <si>
    <t>Rà soát tiêu chuẩn của BIM trước, xem có cần điều chỉnh gì cho bộ môn không</t>
  </si>
  <si>
    <t>Quy định đặt tên cấu kiện kết cấu</t>
  </si>
  <si>
    <t>Từ dưới lên trên, cọc, móng, cột, dầm….</t>
  </si>
  <si>
    <t>Đồng bộ trên toàn bộ dự án thiết kế, là 1 trong các cơ sở tổ chức thông tin mô hình, cơ sở tự động hoá các thao tác triển khai hồ sơ, trích xuất khối lượng, tổ chức quản lý giai đoạn thi công theo từng cấu kiện</t>
  </si>
  <si>
    <t>Quy định về hệ số an toàn khi thiết kế kết cấu cho từng loại cấu kiện</t>
  </si>
  <si>
    <t>Lam sẽ gửi tài liệu</t>
  </si>
  <si>
    <t>Đồng bộ trên tất cả tính toán điển hình, tránh mâu thuẫn giữa các dự án khác nhau, tài liệu hướng dẫn, đào tạo</t>
  </si>
  <si>
    <t>Biểu mẫu câu hỏi kết cấu làm rõ thông tin đầu vào khi triển khai dự án</t>
  </si>
  <si>
    <t>Ban đầu theo kinh nghiệm của chủ trì, sau đó sẽ bổ sung dần theo thời gian</t>
  </si>
  <si>
    <t>Check list danh mục hồ sơ thông tin đầu vào triển khai phương án thiết kế kết cấu dự án</t>
  </si>
  <si>
    <t>Đã làm, cần tinh chỉnh</t>
  </si>
  <si>
    <t>Danh mục vật liệu,vật tư kèm mã vật liệu, vật tư</t>
  </si>
  <si>
    <t>Tham khảo các dự án công ty đã làm trên sever, lấy ra điển hình, có thể phân loại theo từng loại công trình, phối hợp cùng bp thầu, về mã sẽ thống nhất nhiều bộ phận</t>
  </si>
  <si>
    <t>Template (Autocad) bao gồm chi tiết điển hình kết cấu, các lớp cấu tạo hoàn thiện đã chuẩn hoá</t>
  </si>
  <si>
    <t>Bao gồm khung tên chuẩn công ty, ghi chú chung kết cấu, phải chuẩn hoá hệ thống layer, hatch, cài đặt đường nét, font, DIM, Tag, Text, Note, kí hiệu, block…(nếu nằm trong file Revit Tempate rồi thì thôi Autocad), phải khớp cả với các bộ môn khác</t>
  </si>
  <si>
    <t>Biểu mẫu lập tiến độ thiết kế kết cấu</t>
  </si>
  <si>
    <t>Nên theo việc đóng gói hồ sơ thiết kế</t>
  </si>
  <si>
    <t>Danh mục bản vẽ (tên và mã)</t>
  </si>
  <si>
    <t>Ghi chú rõ cần trong từng giai đoạn nào của dự án</t>
  </si>
  <si>
    <t>Quy trình thiết kế tổng thể và chi tiết theo từng hạng mục</t>
  </si>
  <si>
    <t>Từ dưới lên trên, cọc, móng, cột, sàn, dầm…</t>
  </si>
  <si>
    <t>Quy trình điều chỉnh thiết kế</t>
  </si>
  <si>
    <t>Template mô hình tính toán SAP, Etab…</t>
  </si>
  <si>
    <t>Phù hợp với các công trình đã phân loại</t>
  </si>
  <si>
    <t>Nhằm tối ưu hiệu suất triển khai mô hình tính toán, hạn chế sai xót trong việc cái đặt các thông số tính toán cho các kĩ sư trẻ, là tài liệu daodf tạo, hướng dẫn kĩ sư trẻ</t>
  </si>
  <si>
    <t>Bảng tính mẫu dùng để kiểm tra, tính toán</t>
  </si>
  <si>
    <t>Theo hạng mục công trình</t>
  </si>
  <si>
    <t>Nhằm mục đích hỗ trợ tính toán, kiểm tra nhanh khi có nhu cầu, phục vụ treienr khai và kiểm soát chất lượng thiết kế</t>
  </si>
  <si>
    <t>Template triển khai thiết kế kết cấu (Revit)</t>
  </si>
  <si>
    <t>Bao gồm toàn bộ cài đặt vật liệu, hiển thị, family, hatch, DIM, Tag, Text, Note, Template xuất CAD…</t>
  </si>
  <si>
    <t>Hướng dẫn triển khai bản vẽ trên cácTemplate</t>
  </si>
  <si>
    <t>Sẽ viết sau khi triển khai 1 dự án thiết kế</t>
  </si>
  <si>
    <t>Công cụ tự động hoá kèm danh mục</t>
  </si>
  <si>
    <t>Bộ phận sẽ tự triển khai trong quá trình triển khai hồ sơ</t>
  </si>
  <si>
    <t>Tài liệu tập hợp các lỗi hay gặp trong thiết kế HVAC các hạng mục</t>
  </si>
  <si>
    <t>Ban đầu viết từ kinh nghiệm,Sau đó làm đầy đủ, hiệu chỉnh theo thời gian</t>
  </si>
  <si>
    <t>Chuẩn hoá thiết kế kết cấu các hạng mục</t>
  </si>
  <si>
    <t>Về phương án kết cấu tương ứng với chuẩn hoá kiến trúc, nếu thay đổi ít (ví dụ các loiaj chuẩn hoá nhà bảo vệ) có thể mudule hoá cùng tham biến trên Revit</t>
  </si>
  <si>
    <t>Nhằm điển hình hoá các hạng mục trong phân khúc công ty hay triển khai, nhờ đó giảm thời gian triển khai trên toàn hệ thống, mang lại lợi thế khi đấu thầu, thi công, là tài liệu định hướng, đề xuất cho khách hàng, từ đây có thể định hướng BPTC, giảm chi phí, đẩy nhanh tiến độ, nâng cao chất lượng khi xây dựng</t>
  </si>
  <si>
    <t>BOQ chuẩn hoá</t>
  </si>
  <si>
    <t>Sẽ phối hợp với kĩ sư BIM, BP thầu làm sau</t>
  </si>
  <si>
    <t>Biện pháp thi công định hướng</t>
  </si>
  <si>
    <t>Tương ứng với các hạng mục, công trình, phương án thiết kế  đã chuẩn hoá, Sẽ trao đổi với bộ phận BPTC để chốt cho công ty</t>
  </si>
  <si>
    <t>.</t>
  </si>
  <si>
    <t>Tài liệu</t>
  </si>
  <si>
    <t>Mô tả yêu cầu</t>
  </si>
  <si>
    <t>Mục đích</t>
  </si>
  <si>
    <t>Phân loại hạng mục công trình công ty và mã kí hiệu</t>
  </si>
  <si>
    <t>Xét các loại không gian, công trình mà công ty hay tham gia thôi, tham khảo file quy định đặt tên của bộ phận BIM</t>
  </si>
  <si>
    <t>Chuẩn hoá các loại hình công trình điển hình mà công ty hay tham gia, xuất phát từ đây sẽ chuẩn hoá hệ thống các tài liệu đi kèm của tất cả các bộ môn trong thiết kế, của tất cả các tài liệu chuẩn bị sẵn cho giai đoạn đấu thầu, của toàn bộ các tài liệu định hướng BPTC, vật tư, vật liệu mà BSV có lợi thế, từ đây sẽ có cơ sở tự động hoá trên toàn hệ thống, logic dữ liệu để qaunr lý tiến độ, công tác, vật tư, vật liệu, máy móc, hồ sơ chất lượng, thanh toán, quyết toán...</t>
  </si>
  <si>
    <t>Thuyết minh thiết kế quy hoạch, kiến trúc</t>
  </si>
  <si>
    <t>Theo giai đoạn dự án</t>
  </si>
  <si>
    <t>Có biểu mẫu triển khai theo một kiểu nhất định từ bố cục thông tin đến diễn giải chi tiết , chia thuyết minh ra theo phân loại hạng mục đã chuẩn hoá ở trên, các dự án có thay đổi thì chỉ cần xác định chính xác các vị trí cần thay đổi thôi, phục vụ hồ sơ pháp lý, giải trình khi được yêu cầu</t>
  </si>
  <si>
    <t>Phải thống nhất để phục vụ quá trình tìm kiếm thông tin nhanh, hiệu quả, sử dụng thông tin cho các mục đích như chuyển giao, lấy khối lượng, tự động hoá, quản lý hệ thống….</t>
  </si>
  <si>
    <t>Quy định đặt tên và mã không gian</t>
  </si>
  <si>
    <t>Thống nhất trên toàn bộ các công trình mà BSV thiết kế, là cơ sở quản lý theo không gian theo cả thiết kế lẫn quá trình thi công, vân hành tài sản bên trong không gian, cơ sở triển khai lập trình tự động hoá, quản lý hệ thống…</t>
  </si>
  <si>
    <t>Biểu mẫu câu hỏi kiến trúc làm rõ thông tin đầu vào dự án</t>
  </si>
  <si>
    <t>Nhằm chuẩn bị nhanh chóng trước khi làm việc với khách hàng, giảm thời gian làm rõ thông tin, tránh hiểu nhầm dẫn đến điều chỉnh thiết kế nhiều, thiết kê sai ý đồ khách hàng</t>
  </si>
  <si>
    <t>Check list danh mục hồ sơ thông tin đầu vào dự án để triển khai thiết kế kiến trúc từng giai đoạn</t>
  </si>
  <si>
    <t>Nhằm kiểm soát nhanh các tài liệu đầu vào để kịp thời bổ sung trong quá trình làm việc với khách hàng, tránh thiết kế ở trạng thái thiếu thông tin dẫn đến điều chỉnh nhiều</t>
  </si>
  <si>
    <t>Danh mục vật liệu hoàn thiện kèm mã vật liệu, đặc tả kĩ thuật đi kèm</t>
  </si>
  <si>
    <t>Tham khảo các dự án công ty đã làm trên sever, lấy ra điển hình, có thể phân loại theo từng loại công trình, phối hợp cùng bp thầu</t>
  </si>
  <si>
    <t>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BSV có lợi thế đối tác chiến lượng hoặc liên quan đến BPTC, hồ sơ chất lượng QAQC...</t>
  </si>
  <si>
    <t>Template (Autocad) bao gồm chi tiết điển hình kiến trúc, các lớp cấu tạo hoàn thiện đã chuẩn hoá</t>
  </si>
  <si>
    <t>Bao gồm khung tên chuẩn công ty, ghi chú chung kiến trúc, phải chuẩn hoá hệ thống layer, hatch, cài đặt đường nét, font, DIM, Tag, Text, Note, kí hiệu, block…(nếu nằm trong file Revit Tempate rồi thì thôi Autocad)</t>
  </si>
  <si>
    <t>Đồng bộ toàn bộ bản vẽ, hồ sơ, cách thể hiện thông tin trên tât cả các dự án, là cơ sở triển khai hàng loạt công cụ tự động hoá trên toàn hệ thống, giúp tăng hiệu suất triển khai trên toàn hệ thống</t>
  </si>
  <si>
    <t>Biểu mẫu lập tiến độ thiết kế kiến trúc</t>
  </si>
  <si>
    <t>Triển khai nhanh tiến độ thiết kế khi làm việc với khách hàng, căn cứ kiểm soát kết qủa công việc khi triển khai, căn cứ phối hợp các bộ môn khác khi triển khai</t>
  </si>
  <si>
    <t>Triển khai nhanh kế hoạch triển khai bản vẽ, căn cứ để quản lý thay đổi, quản lý hồ sơ đóng gói, tự động hoá một số thao tác khi triển khai bản vẽ, đồng bộ cách đặt tên trên toàn hệ thống</t>
  </si>
  <si>
    <t>Quy trình thiết kế kiến trúc theo giai đoạn</t>
  </si>
  <si>
    <t>Như quy hoạch, thiết kế concept, TKCS, TKKT…</t>
  </si>
  <si>
    <t>Vai trò như 1 tài liệu mô tả, hướng dẫn, giải thích cho cả khách hàng lẫn các cán bộ trẻ có nhu cầu tìm hiểu trong nội bộ, đào tạo trẻ</t>
  </si>
  <si>
    <t>Viết chung cho các bộ môn từ khâu tiếp nhận thông tin thay đổi, đến điều chỉnh, truyền thông, tổ chức lưu lịch sử, lưu trữ thông tin, căn cứ thay đổi</t>
  </si>
  <si>
    <t>Hướng dẫn quản lý thông tin thay đổi, giảm rủi ro làm lại nhiều lần, sai xót do không đồng bộ giữa các bộ môn</t>
  </si>
  <si>
    <t>Biểu mẫu tính toán phục vụ thiết kế</t>
  </si>
  <si>
    <t>Ví dụ tính toán các thông số quy hoạch, chỗ để xe…</t>
  </si>
  <si>
    <t>Nhằm cung cấp công cụ tính toán, quy định, quy chuẩn, tiêu châunr tính toán nhanh nhất cho cán bộ triển khai, phục vụ giải trình khi được các bên yêu cầu</t>
  </si>
  <si>
    <t>Template triển khai thiết kế kiến trúc (Revit)</t>
  </si>
  <si>
    <t>Bao gồm toàn bộ cài đặt vật liệu, hiển thị, family, hatch, DIM, Tag, Text, Note, Template xuất CAD…tạm thời lấy template triển khai shop</t>
  </si>
  <si>
    <t>Hướng dẫn triển khai bản vẽ trên các Template Revit, CAD</t>
  </si>
  <si>
    <t>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t>
  </si>
  <si>
    <t>Giảm thao tác thủ công, tăng hiệu suất triển khai các sản phẩm thiết kế, hỗ trợ tự động hoá, tính đầy đủ cho các bước tiếp theo hoặc chuyển giao thông tin</t>
  </si>
  <si>
    <t>Tài liệu tập hợp các lỗi hay gặp trong thiết kế kiến trúc các hạng mục</t>
  </si>
  <si>
    <t>Nhằm rút ra các bài học trọng yếu, tránh sai lầm, tối ưu thiết kế qua từng dự án</t>
  </si>
  <si>
    <t>Check list kiểm tra chất lượng thiết kế theo hạng mục</t>
  </si>
  <si>
    <t>Tài liệu quản lý chất lượng thiết kế, tránh việc kiểm soát chưa xem xét đẩy đủ các vấn đề</t>
  </si>
  <si>
    <t>Chuẩn hoá thiết kế các hạng mục</t>
  </si>
  <si>
    <t>Về kích thước thông thuỷ theo công năng, diện tích, các vật liệu cơ bản theo chuẩn hoá danh mục, độ sáng, độ ồn, phương án thiết kế cơ bản khuyến nghị lựa chọn cho các bộ môn trong các trường hợp điển hình hoặc đã chuẩn hoá, hạng mục nào chỉ thay đổi ít có thể xem xét module luôn trong 1 file Revit cùng tham biến…</t>
  </si>
  <si>
    <t>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t>
  </si>
  <si>
    <t>Thuyết minh thiết kế hệ thống điện, chỉ dẫn kĩ thuật</t>
  </si>
  <si>
    <t>Theo từng hạng mục và phương án đã phân loại ở kiến trúc</t>
  </si>
  <si>
    <t>Các bảng tính thiết kế hệ thống điện</t>
  </si>
  <si>
    <t>Biểu mẫu câu hỏi làm rõ thông tin kĩ thuật đầu vào khi triển khai dự án</t>
  </si>
  <si>
    <t>Check list danh mục hồ sơ thông tin đầu vào triển khai phương án thiết kế điện dự án</t>
  </si>
  <si>
    <t>Danh mục vật tư, thiết bị kèm mã</t>
  </si>
  <si>
    <t>Template (Autocad) bao gồm chi tiết lắp đặt điển hình của hệ thống điện</t>
  </si>
  <si>
    <t>Bao gồm khung tên chuẩn công ty, ghi chú chung Điện, phải chuẩn hoá hệ thống layer, hatch, cài đặt đường nét, font, DIM, Tag, Text, Note, kí hiệu, block…(nếu nằm trong file Revit Tempate rồi thì thôi Autocad), phải khớp cả với các bộ môn khác về quy tắc đặt tên, tham khảo tài liệu hướng dẫn CAD Lam gửi</t>
  </si>
  <si>
    <t>Biểu mẫu lập tiến độ thiết kế hệ thống điện</t>
  </si>
  <si>
    <t>Từ việc tính toán công suất tổng thể, quy hoạch hệ thống điện trên TMB, sơ đô nguyên lý đến thiết kế chi tiết tủ điện, chọn dây…</t>
  </si>
  <si>
    <t>Các sơ đồ nguyên lý điển hình (Autocad)</t>
  </si>
  <si>
    <t>Phù hợp với các công trình đã phân loại và phương án thiêt kế điển hình, phù hợp hạng mục đã phân loại, có tính ví dụ sát nhất với hạng mục mà công ty đã phân loại, chuẩn hoá ở kiến trúc</t>
  </si>
  <si>
    <t>Template triển khai thiết kế Điện (Revit)</t>
  </si>
  <si>
    <t>Bộ công cụ tự động hoá kèm danh mục</t>
  </si>
  <si>
    <t>Bộ phận BIM sẽ tự triển khai trong quá trình triển khai hồ sơ</t>
  </si>
  <si>
    <t>Tài liệu tập hợp các lỗi hay gặp trong thiết kế điện các hạng mục</t>
  </si>
  <si>
    <t>Ban đầu viết từ kinh nghiệm,sau đó làm đầy đủ, hiệu chỉnh theo thời gian</t>
  </si>
  <si>
    <t>Về phương án thiết kế hệ thống điện tương ứng với chuẩn hoá hạng mục kiến trúc</t>
  </si>
  <si>
    <t>Thuyết minh thiết kế hệ thống điều hoà thông gió, chỉ dẫn kĩ thuật</t>
  </si>
  <si>
    <t>Có biểu mẫu triển khai theo một kiểu nhất định từ bố cục thông tin đến diễn giải chi tiết , chia thuyết minh ra theo phân loại hệ thống đã thiết kế, các dự án có thay đổi thì chỉ cần xác định chính xác các vị trí cần thay đổi thôi, phục vụ hồ sơ pháp lý, giải trình khi được yêu cầu</t>
  </si>
  <si>
    <t>Các bảng tính thiết kế HVAC</t>
  </si>
  <si>
    <t>Tải lạnh, lưu lượng gió, ống gió, hệ thống chiller, áp suất…</t>
  </si>
  <si>
    <t>Check list danh mục hồ sơ thông tin đầu vào triển khai thiết kế HVAC dự án</t>
  </si>
  <si>
    <t>Danh mục vật tư, thiết bị kèm mã, quy cách kĩ thuật</t>
  </si>
  <si>
    <t>Template (Autocad) bao gồm chi tiết lắp đặt điển hình HVAC</t>
  </si>
  <si>
    <t>Bao gồm khung tên chuẩn công ty, ghi chú chung HVAC, phải chuẩn hoá hệ thống layer, hatch, cài đặt đường nét, font, DIM, Tag, Text, Note, kí hiệu, block…(nếu nằm trong file Revit Tempate rồi thì thôi Autocad), phải khớp cả với các bộ môn khác về quy tắc đặt tên</t>
  </si>
  <si>
    <t>Biểu mẫu lập tiến độ thiết kế HVAC</t>
  </si>
  <si>
    <t>Phân loại theo từng hệ thống vân hành riêng biệt, ví dụ quy trình thiết kế hệ thống chiller, hệ thống hút khói, hệ thống thông gió…</t>
  </si>
  <si>
    <t>Phù hợp với các công trình đã phân loại và phương án thiêt kế điển hình, phù hợp hạng mục đã phân loại</t>
  </si>
  <si>
    <t>Như một định hướng thiết kế và tài liệu mẫu để điều chỉnh nhanh trong quá trình triển khai thiết kế</t>
  </si>
  <si>
    <t>Template triển khai thiết kế HVAC (Revit)</t>
  </si>
  <si>
    <t>Về phương án thiết kế hệ thống HVAC tương ứng với chuẩn hoá hạng mục kiến trúc</t>
  </si>
  <si>
    <t>Các biểu mẫu so sánh giữa các phương án thiết kế</t>
  </si>
  <si>
    <t>Bao gồm đầy đủ các tiêu chí so sánh giữa 2 hoặc 3 phương án thiết kế, các tiêu chí như : thông số kĩ thuật, vân hành, thi công, chi phí, tiến độ, thẩm mỹ, an toàn…</t>
  </si>
  <si>
    <t>Nhằm triển khai nhanh phục vụ khách hàng hoặc lãnh đạo hoặc chính kĩ sư, chủ trì thiết kế ra quyết định trong việc lựa chon các phương án thiết kế chính</t>
  </si>
  <si>
    <t>Thuyết minh thiết kế hệ thống CTN, chỉ dẫn kĩ thuật</t>
  </si>
  <si>
    <t>Các bảng tính thiết kế hệ thống CTN</t>
  </si>
  <si>
    <t>Biểu mẫu câu hỏi làm rõ thông tin kĩ thuật  đầu vào khi triển khai dự án</t>
  </si>
  <si>
    <t>Check list danh mục hồ sơ thông tin đầu vào triển khai phương án thiết kế CTN dự án</t>
  </si>
  <si>
    <t>Template (Autocad) bao gồm chi tiết lắp đặt điển hình của hệ thống CTN</t>
  </si>
  <si>
    <t>Bao gồm khung tên chuẩn công ty, ghi chú chung CTN, phải chuẩn hoá hệ thống layer, hatch, cài đặt đường nét, font, DIM, Tag, Text, Note, kí hiệu, block…(nếu nằm trong file Revit Tempate rồi thì thôi Autocad), phải khớp cả với các bộ môn khác về quy tắc đặt tên, tham khảo tài liệu hướng dẫn CAD Lam gửi</t>
  </si>
  <si>
    <t>Biểu mẫu lập tiến độ thiết kế hệ thống CTN</t>
  </si>
  <si>
    <t>Từ việc tính toán công suất tổng thể, quy hoạch hệ thống CTN trên TMB, sơ đô nguyên lý đến thiết kế chi tiết tủ CTN, chọn dây…</t>
  </si>
  <si>
    <t>Các sơ đồ nguyên lý điển hình</t>
  </si>
  <si>
    <t>Template triển khai thiết kế CTN (Revit)</t>
  </si>
  <si>
    <t>Tài liệu tập hợp các lỗi hay gặp trong thiết kế CTN các hạng mục</t>
  </si>
  <si>
    <t>Về phương án thiết kế hệ thống CTN tương ứng với chuẩn hoá hạng mục kiến trúc</t>
  </si>
  <si>
    <t>Mô tả</t>
  </si>
  <si>
    <t>Thuyết minh thiết kế hệ thống PCCC, chỉ dẫn kĩ thuật</t>
  </si>
  <si>
    <t>Các bảng tính thiết kế hệ thống PCCC</t>
  </si>
  <si>
    <t>Check list danh mục hồ sơ thông tin đầu vào triển khai phương án thiết kế PCCC dự án</t>
  </si>
  <si>
    <t>Template (Autocad) bao gồm chi tiết lắp đặt điển hình của hệ thống PCCC</t>
  </si>
  <si>
    <t>Bao gồm khung tên chuẩn công ty, ghi chú chung PCCC, phải chuẩn hoá hệ thống layer, hatch, cài đặt đường nét, font, DIM, Tag, Text, Note, kí hiệu, block…(nếu nằm trong file Revit Tempate rồi thì thôi Autocad), phải khớp cả với các bộ môn khác về quy tắc đặt tên, tham khảo tài liệu hướng dẫn CAD Lam gửi</t>
  </si>
  <si>
    <t>Biểu mẫu lập tiến độ thiết kế hệ thống PCCC</t>
  </si>
  <si>
    <t>Từ việc tính toán công suất tổng thể, quy hoạch hệ thống PCCC trên TMB, sơ đô nguyên lý đến thiết kế chi tiết tủ PCCC, chọn dây…</t>
  </si>
  <si>
    <t>Template triển khai thiết kế PCCC (Revit)</t>
  </si>
  <si>
    <t>Tài liệu tập hợp các lỗi hay gặp trong thiết kế PCCC các hạng mục</t>
  </si>
  <si>
    <t>Về phương án thiết kế hệ thống PCCC tương ứng với chuẩn hoá hạng mục kiến trúc</t>
  </si>
  <si>
    <t>- Khung năng lực tương ứng mô tả công việc sẽ được bổ sung sau khi bộ phận triển khai tuyển dụng đây đủ</t>
  </si>
  <si>
    <t>- Thực tế vân hành theo mô hình phẳng, TBP có thể can thiệp trực tiếp nếu nhận thấy rủi ro liên quan đến hệ thống, còn lại đang từng bước trao quyền có các leader</t>
  </si>
  <si>
    <t>- Luân chuyển nguồn lực linh hoạt vẫn đang diễn ra hàng ngày, cán cán bộ thực hiện đa nhiệm nhiều vai trò, không hoàn toàn theo mô tả từng vị trí</t>
  </si>
  <si>
    <t>- Sơ đồ mô tả các vị trí theo kế hoạch, sẽ cập nhật theo thời gian, hiện tại bộ phận chỉ có 26 cán bộ, chưa tuyển dụng hết định biên, trong đó có 2 cán bộ sẽ nghỉ trong tháng 04/2026 còn lại 24 người, thiếu 6 người</t>
  </si>
  <si>
    <t>- Mô tả công việc cho từng vị trí được thể hiện ở các Sheet phía sau, sau khi tuyển đủ kĩ sư và KTS sẽ bổ sung thêm các vị trí thiết kế, các chủ trì đã đủ</t>
  </si>
  <si>
    <t>Thực hiện triển khai mô hình Kiến trúc phối hợp va chạm với các bộ  môn khác</t>
  </si>
  <si>
    <t>Lập kế hoạch triển khai mô hình 3D, Shop, khối lượng</t>
  </si>
  <si>
    <t>Thực hiện bóc khối lượng tương ứng với mô hình</t>
  </si>
  <si>
    <t>Triển khai bản vẽ Shop hoàn thiện kiến trúc</t>
  </si>
  <si>
    <t>Bản kế hoạch chi tiết (theo điều phối của leader)</t>
  </si>
  <si>
    <t>Mô hình 3D đúng tiêu chuẩn bộ phận</t>
  </si>
  <si>
    <t>Các bảng khối lượng chính xác liên quan đến mô hình 3D</t>
  </si>
  <si>
    <t>Bản vẽ chi tiết phục vụ thi công</t>
  </si>
  <si>
    <t>Trao đổi, họp giải trình với CĐT, TVGS, soạn RFI, RFA thay đổi thiết kế</t>
  </si>
  <si>
    <t>Báo cáo, bảng khối lượng VO, giải trình VO</t>
  </si>
  <si>
    <t>Thực hiện triển khai mô hình kết cấu phối hợp va chạm với các bộ  môn khác</t>
  </si>
  <si>
    <t>Thực hiện bóc khối lượng tương ứng với mô hình kết cấu</t>
  </si>
  <si>
    <t>Triển khai bản vẽ Shop kết cấu</t>
  </si>
  <si>
    <t>Kiểm tra khối lượng kết cấu  theo yêu cầu lãnh đạo</t>
  </si>
  <si>
    <t xml:space="preserve"> Triển khai VO theo yêu cầu CĐT, giải trình khối lượng</t>
  </si>
  <si>
    <t>Triển khai VO theo yêu cầu lãnh đạo, giải trình khối lượng</t>
  </si>
  <si>
    <t>Trao đổi, họp giải trình với CĐT, TVGS, soạn RFI, RFA thay đổi thiết kế kết cấu</t>
  </si>
  <si>
    <t>Tiếp nhận hồ sơ, phản hồi thông tin qua TCQ phần MEPF</t>
  </si>
  <si>
    <t>Tiếp nhận hồ sơ, phản hồi thông tin qua TCQ các phần kiến trúc</t>
  </si>
  <si>
    <t>Thực hiện triển khai mô hình MEPF phối hợp va chạm với các bộ  môn khác</t>
  </si>
  <si>
    <t>Thực hiện bóc khối lượng tương ứng với mô hình MEPF</t>
  </si>
  <si>
    <t>Triển khai bản vẽ Shop MEPF (phần combine và 1 phần của nhà thầu phụ nếu cần)</t>
  </si>
  <si>
    <t>Trao đổi, họp giải trình với CĐT, TVGS, soạn RFI, RFA thay đổi thiết kế MEPF</t>
  </si>
  <si>
    <t>Tiếp nhận hồ sơ, phản hồi thông tin qua TCQ phần hạ tầng</t>
  </si>
  <si>
    <t>Thực hiện triển khai mô hình bề mặt hạ tầng  phối hợp va chạm với các bộ  môn khác</t>
  </si>
  <si>
    <t>Thực hiện bóc khối lượng tương ứng với mô hình hạ tầng (chủ yếu là san lấp, đường)</t>
  </si>
  <si>
    <t>Triển khai bản vẽ Shop hạ tầng</t>
  </si>
  <si>
    <t>Kiểm tra khối lượng hạ tầng theo yêu cầu lãnh đạo</t>
  </si>
  <si>
    <t xml:space="preserve"> Triển khai VO theo yêu cầu CĐT, giải trình khối lượng hạ tầng</t>
  </si>
  <si>
    <t>Trao đổi, họp giải trình với CĐT, TVGS, soạn RFI, RFA thay đổi thiết kế hạ tầng</t>
  </si>
  <si>
    <t>Kiểm tra khối lượng MEPF theo yêu cầu lãnh đạo</t>
  </si>
  <si>
    <t>: Kĩ sư BIM MEPF</t>
  </si>
  <si>
    <t>: Kĩ sư BIM Ha Tang</t>
  </si>
  <si>
    <t>Phương án tinh chỉnh tối ưu hệ thống bộ phận đã vân hành ở các mảng Combine, Shop, QS bằng chuẩn hoá, tự động hoá</t>
  </si>
  <si>
    <t>Hoạch định và xây dựng hệ thống công ty</t>
  </si>
  <si>
    <t>Hoạch định chiến lược, mục tiêu, nhiệm vụ cụ thể cho các nhóm từ ngắn hạn, trung hạn, dài hạn</t>
  </si>
  <si>
    <t>Quản lý tối ưu ngân sách bộ phận</t>
  </si>
  <si>
    <t>Thiết lập các tài liệu hệ thống phục vụ quản lý nhân sự bộ phận (mô tả công việc, KPI, khung năng lực...)</t>
  </si>
  <si>
    <t>Hoạch định chuẩn hoá quy trình, hướng dẫn, biểu mẫu, tiêu chuẩn, định mức, hướng dẫn thực thi tự động hoá tối ưu quy trình</t>
  </si>
  <si>
    <t>Định hình và xây dựng văn hoá trên toàn bộ phận BIM, thiết kế</t>
  </si>
  <si>
    <t>Thực hiện lập trình tự động hoá các thao tác làm việc</t>
  </si>
  <si>
    <t>Công cụ tự động hoá</t>
  </si>
  <si>
    <t>: TBP</t>
  </si>
  <si>
    <t xml:space="preserve">: </t>
  </si>
  <si>
    <t>Cố vấn, đào tạo, hướng dẫn về tư duy, chuyên môn cho toàn bộ cán bộ trong bộ phận</t>
  </si>
  <si>
    <t>Quản lý điều phối trực tiếp, gián tiếp vân hành bộ phận hàng ngày, ra quyết định tối ưu, chịu trách nhiệm về tiến độ, chất lượng công việc BP thực 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</si>
</sst>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46" x14ac:knownFonts="1">
    <font>
      <sz val="11"/>
      <color indexed="8"/>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0"/>
      <color rgb="FF000000"/>
      <name val="Century Gothic"/>
      <family val="1"/>
    </font>
    <font>
      <sz val="10"/>
      <color theme="1"/>
      <name val="Century Gothic"/>
      <family val="1"/>
    </font>
    <font>
      <sz val="8"/>
      <name val="Calibri"/>
      <family val="2"/>
      <scheme val="minor"/>
    </font>
    <font>
      <sz val="11"/>
      <color rgb="FF000000"/>
      <name val="Century Gothic"/>
      <family val="1"/>
    </font>
    <font>
      <sz val="12"/>
      <color rgb="FF000000"/>
      <name val="Century Gothic"/>
      <family val="1"/>
    </font>
    <font>
      <b/>
      <sz val="20"/>
      <color theme="0" tint="-0.499984740745262"/>
      <name val="Century Gothic"/>
      <family val="1"/>
    </font>
    <font>
      <sz val="22"/>
      <color theme="1" tint="0.34998626667073579"/>
      <name val="Century Gothic"/>
      <family val="1"/>
    </font>
    <font>
      <b/>
      <sz val="10"/>
      <color rgb="FF000000"/>
      <name val="Century Gothic"/>
      <family val="1"/>
    </font>
    <font>
      <b/>
      <sz val="12"/>
      <color rgb="FF000000"/>
      <name val="Century Gothic"/>
      <family val="1"/>
    </font>
    <font>
      <b/>
      <sz val="24"/>
      <color theme="1" tint="0.34998626667073579"/>
      <name val="Arial"/>
      <family val="2"/>
    </font>
    <font>
      <sz val="10"/>
      <color theme="1"/>
      <name val="Arial"/>
      <family val="2"/>
    </font>
    <font>
      <sz val="16"/>
      <color theme="0" tint="-0.499984740745262"/>
      <name val="Arial"/>
      <family val="2"/>
    </font>
    <font>
      <sz val="11"/>
      <color indexed="8"/>
      <name val="Arial"/>
      <family val="2"/>
    </font>
    <font>
      <b/>
      <sz val="11"/>
      <color indexed="8"/>
      <name val="Arial"/>
      <family val="2"/>
    </font>
    <font>
      <sz val="14"/>
      <color theme="0"/>
      <name val="Arial"/>
      <family val="2"/>
    </font>
    <font>
      <b/>
      <sz val="12"/>
      <color theme="1"/>
      <name val="Arial"/>
      <family val="2"/>
    </font>
    <font>
      <b/>
      <sz val="12"/>
      <name val="Arial"/>
      <family val="2"/>
    </font>
    <font>
      <sz val="12"/>
      <name val="Arial"/>
      <family val="2"/>
    </font>
    <font>
      <i/>
      <sz val="12"/>
      <name val="Arial"/>
      <family val="2"/>
    </font>
    <font>
      <sz val="13"/>
      <color rgb="FF0070C0"/>
      <name val="Arial"/>
      <family val="2"/>
    </font>
    <font>
      <b/>
      <sz val="14"/>
      <color indexed="8"/>
      <name val="Arial"/>
      <family val="2"/>
    </font>
    <font>
      <b/>
      <sz val="14"/>
      <color theme="0"/>
      <name val="Arial"/>
      <family val="2"/>
    </font>
    <font>
      <sz val="11"/>
      <color indexed="8"/>
      <name val="Calibri"/>
      <family val="2"/>
      <scheme val="minor"/>
    </font>
    <font>
      <sz val="12"/>
      <color rgb="FFFF0000"/>
      <name val="Arial"/>
      <family val="2"/>
    </font>
    <font>
      <b/>
      <sz val="16"/>
      <color theme="0"/>
      <name val="Times New Roman"/>
      <family val="1"/>
    </font>
    <font>
      <sz val="11"/>
      <name val="Calibri"/>
      <family val="2"/>
    </font>
    <font>
      <b/>
      <sz val="11"/>
      <color theme="1"/>
      <name val="Times New Roman"/>
      <family val="1"/>
    </font>
    <font>
      <b/>
      <u/>
      <sz val="11"/>
      <color theme="1"/>
      <name val="Times New Roman"/>
      <family val="1"/>
    </font>
    <font>
      <sz val="11"/>
      <color theme="1"/>
      <name val="Times New Roman"/>
      <family val="1"/>
    </font>
    <font>
      <b/>
      <sz val="11"/>
      <color theme="0"/>
      <name val="Times New Roman"/>
      <family val="1"/>
    </font>
    <font>
      <b/>
      <sz val="10"/>
      <color theme="1"/>
      <name val="Times New Roman"/>
      <family val="1"/>
    </font>
    <font>
      <b/>
      <sz val="12"/>
      <color theme="1"/>
      <name val="Times New Roman"/>
      <family val="1"/>
    </font>
    <font>
      <sz val="12"/>
      <color theme="1"/>
      <name val="Times New Roman"/>
      <family val="1"/>
    </font>
    <font>
      <sz val="14"/>
      <color theme="1"/>
      <name val="Arial"/>
      <family val="2"/>
    </font>
    <font>
      <sz val="12"/>
      <color theme="1"/>
      <name val="Arial"/>
      <family val="2"/>
    </font>
    <font>
      <sz val="14"/>
      <color rgb="FFFF0000"/>
      <name val="Arial"/>
      <family val="2"/>
    </font>
    <font>
      <sz val="11"/>
      <color theme="1"/>
      <name val="Arial"/>
      <family val="2"/>
    </font>
    <font>
      <b/>
      <sz val="11"/>
      <color theme="0"/>
      <name val="Arial"/>
      <family val="2"/>
    </font>
    <font>
      <b/>
      <sz val="11"/>
      <color theme="1"/>
      <name val="Arial"/>
      <family val="2"/>
    </font>
    <font>
      <sz val="14"/>
      <color indexed="8"/>
      <name val="Arial"/>
      <family val="2"/>
    </font>
  </fonts>
  <fills count="16">
    <fill>
      <patternFill patternType="none"/>
    </fill>
    <fill>
      <patternFill patternType="gray125"/>
    </fill>
    <fill>
      <patternFill patternType="none">
        <fgColor rgb="FFE5E5E5"/>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3BCCC4"/>
        <bgColor indexed="64"/>
      </patternFill>
    </fill>
    <fill>
      <patternFill patternType="solid">
        <fgColor rgb="FF0070C0"/>
        <bgColor indexed="64"/>
      </patternFill>
    </fill>
    <fill>
      <patternFill patternType="solid">
        <fgColor rgb="FFC00000"/>
        <bgColor rgb="FFC00000"/>
      </patternFill>
    </fill>
    <fill>
      <patternFill patternType="solid">
        <fgColor rgb="FF7F7F7F"/>
        <bgColor rgb="FF7F7F7F"/>
      </patternFill>
    </fill>
    <fill>
      <patternFill patternType="solid">
        <fgColor rgb="FFD8D8D8"/>
        <bgColor rgb="FFD8D8D8"/>
      </patternFill>
    </fill>
    <fill>
      <patternFill patternType="solid">
        <fgColor theme="0"/>
        <bgColor theme="0"/>
      </patternFill>
    </fill>
    <fill>
      <patternFill patternType="solid">
        <fgColor rgb="FFECECEC"/>
        <bgColor rgb="FFECECEC"/>
      </patternFill>
    </fill>
    <fill>
      <patternFill patternType="solid">
        <fgColor rgb="FF9CC2E5"/>
        <bgColor rgb="FF9CC2E5"/>
      </patternFill>
    </fill>
    <fill>
      <patternFill patternType="solid">
        <fgColor rgb="FF002060"/>
        <bgColor indexed="64"/>
      </patternFill>
    </fill>
    <fill>
      <patternFill patternType="solid">
        <fgColor rgb="FFFF0000"/>
        <bgColor indexed="64"/>
      </patternFill>
    </fill>
  </fills>
  <borders count="41">
    <border>
      <left/>
      <right/>
      <top/>
      <bottom/>
      <diagonal/>
    </border>
    <border>
      <left/>
      <right/>
      <top/>
      <bottom style="medium">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hair">
        <color theme="0" tint="-0.249977111117893"/>
      </right>
      <top style="thin">
        <color theme="0" tint="-0.249977111117893"/>
      </top>
      <bottom style="thin">
        <color theme="0" tint="-0.249977111117893"/>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medium">
        <color theme="0" tint="-0.249977111117893"/>
      </left>
      <right style="thin">
        <color theme="0" tint="-0.249977111117893"/>
      </right>
      <top style="medium">
        <color theme="0" tint="-0.249977111117893"/>
      </top>
      <bottom style="dotted">
        <color theme="0" tint="-0.249977111117893"/>
      </bottom>
      <diagonal/>
    </border>
    <border>
      <left style="thin">
        <color theme="0" tint="-0.249977111117893"/>
      </left>
      <right style="thin">
        <color theme="0" tint="-0.249977111117893"/>
      </right>
      <top style="medium">
        <color theme="0" tint="-0.249977111117893"/>
      </top>
      <bottom style="dotted">
        <color theme="0" tint="-0.249977111117893"/>
      </bottom>
      <diagonal/>
    </border>
    <border>
      <left style="medium">
        <color theme="0" tint="-0.249977111117893"/>
      </left>
      <right style="thin">
        <color theme="0" tint="-0.249977111117893"/>
      </right>
      <top style="dotted">
        <color theme="0" tint="-0.249977111117893"/>
      </top>
      <bottom style="dotted">
        <color theme="0" tint="-0.249977111117893"/>
      </bottom>
      <diagonal/>
    </border>
    <border>
      <left style="thin">
        <color theme="0" tint="-0.249977111117893"/>
      </left>
      <right style="thin">
        <color theme="0" tint="-0.249977111117893"/>
      </right>
      <top style="dotted">
        <color theme="0" tint="-0.249977111117893"/>
      </top>
      <bottom style="dotted">
        <color theme="0" tint="-0.249977111117893"/>
      </bottom>
      <diagonal/>
    </border>
    <border>
      <left style="medium">
        <color theme="0" tint="-0.249977111117893"/>
      </left>
      <right style="thin">
        <color theme="0" tint="-0.249977111117893"/>
      </right>
      <top style="dotted">
        <color theme="0" tint="-0.249977111117893"/>
      </top>
      <bottom style="medium">
        <color theme="0" tint="-0.249977111117893"/>
      </bottom>
      <diagonal/>
    </border>
    <border>
      <left style="thin">
        <color theme="0" tint="-0.249977111117893"/>
      </left>
      <right style="thin">
        <color theme="0" tint="-0.249977111117893"/>
      </right>
      <top style="dotted">
        <color theme="0" tint="-0.249977111117893"/>
      </top>
      <bottom style="medium">
        <color theme="0" tint="-0.249977111117893"/>
      </bottom>
      <diagonal/>
    </border>
    <border>
      <left style="medium">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rgb="FF7F7F7F"/>
      </left>
      <right style="thin">
        <color rgb="FF7F7F7F"/>
      </right>
      <top style="thin">
        <color rgb="FF7F7F7F"/>
      </top>
      <bottom style="thin">
        <color rgb="FF7F7F7F"/>
      </bottom>
      <diagonal/>
    </border>
    <border>
      <left style="thin">
        <color theme="0" tint="-0.249977111117893"/>
      </left>
      <right style="thin">
        <color theme="0" tint="-0.249977111117893"/>
      </right>
      <top/>
      <bottom style="dotted">
        <color theme="0" tint="-0.249977111117893"/>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bottom/>
      <diagonal/>
    </border>
    <border>
      <left/>
      <right style="thin">
        <color rgb="FF7F7F7F"/>
      </right>
      <top/>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style="thin">
        <color rgb="FF7F7F7F"/>
      </left>
      <right style="thin">
        <color rgb="FF7F7F7F"/>
      </right>
      <top style="thin">
        <color rgb="FF7F7F7F"/>
      </top>
      <bottom/>
      <diagonal/>
    </border>
    <border>
      <left style="thin">
        <color rgb="FF7F7F7F"/>
      </left>
      <right style="thin">
        <color rgb="FF7F7F7F"/>
      </right>
      <top/>
      <bottom/>
      <diagonal/>
    </border>
    <border>
      <left style="thin">
        <color rgb="FF7F7F7F"/>
      </left>
      <right style="thin">
        <color rgb="FF7F7F7F"/>
      </right>
      <top/>
      <bottom style="thin">
        <color rgb="FF7F7F7F"/>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0" fontId="5" fillId="2" borderId="0"/>
    <xf numFmtId="0" fontId="4" fillId="2" borderId="0"/>
    <xf numFmtId="0" fontId="3" fillId="2" borderId="0"/>
    <xf numFmtId="0" fontId="28" fillId="2" borderId="0"/>
    <xf numFmtId="0" fontId="2" fillId="2" borderId="0"/>
    <xf numFmtId="0" fontId="1" fillId="2" borderId="0"/>
  </cellStyleXfs>
  <cellXfs count="207">
    <xf numFmtId="0" fontId="0" fillId="0" borderId="0" xfId="0"/>
    <xf numFmtId="0" fontId="7" fillId="0" borderId="0" xfId="0" applyFont="1" applyAlignment="1">
      <alignment horizontal="left" vertical="center" wrapText="1" indent="1"/>
    </xf>
    <xf numFmtId="0" fontId="3" fillId="2" borderId="0" xfId="3"/>
    <xf numFmtId="0" fontId="7" fillId="2" borderId="0" xfId="3" applyFont="1" applyAlignment="1">
      <alignment horizontal="left" vertical="center" wrapText="1" indent="1"/>
    </xf>
    <xf numFmtId="0" fontId="7" fillId="3" borderId="0" xfId="3" applyFont="1" applyFill="1" applyAlignment="1">
      <alignment horizontal="left" vertical="center" wrapText="1" indent="1"/>
    </xf>
    <xf numFmtId="0" fontId="11" fillId="3" borderId="0" xfId="3" applyFont="1" applyFill="1" applyAlignment="1">
      <alignment vertical="center"/>
    </xf>
    <xf numFmtId="0" fontId="12" fillId="3" borderId="0" xfId="3" applyFont="1" applyFill="1" applyAlignment="1">
      <alignment vertical="center"/>
    </xf>
    <xf numFmtId="0" fontId="14" fillId="2" borderId="3" xfId="0" applyFont="1" applyFill="1" applyBorder="1" applyAlignment="1">
      <alignment horizontal="center" vertical="center"/>
    </xf>
    <xf numFmtId="0" fontId="9" fillId="0" borderId="2" xfId="0" applyFont="1" applyBorder="1" applyAlignment="1">
      <alignment horizontal="left" vertical="center" indent="1"/>
    </xf>
    <xf numFmtId="0" fontId="14" fillId="6" borderId="3" xfId="0" applyFont="1" applyFill="1" applyBorder="1" applyAlignment="1">
      <alignment horizontal="center" vertical="center"/>
    </xf>
    <xf numFmtId="0" fontId="6" fillId="5" borderId="4" xfId="0" applyFont="1" applyFill="1" applyBorder="1"/>
    <xf numFmtId="0" fontId="13" fillId="5" borderId="5" xfId="0" applyFont="1" applyFill="1" applyBorder="1" applyAlignment="1">
      <alignment horizontal="left" vertical="center" indent="1"/>
    </xf>
    <xf numFmtId="0" fontId="10" fillId="0" borderId="1" xfId="0" applyFont="1" applyBorder="1" applyAlignment="1">
      <alignment vertical="top"/>
    </xf>
    <xf numFmtId="0" fontId="0" fillId="0" borderId="1" xfId="0" applyBorder="1"/>
    <xf numFmtId="0" fontId="16" fillId="0" borderId="0" xfId="0" applyFont="1" applyAlignment="1">
      <alignment horizontal="left" vertical="center" wrapText="1" indent="1"/>
    </xf>
    <xf numFmtId="0" fontId="18" fillId="0" borderId="0" xfId="0" applyFont="1"/>
    <xf numFmtId="0" fontId="19" fillId="0" borderId="0" xfId="0" applyFont="1"/>
    <xf numFmtId="0" fontId="14" fillId="0" borderId="3" xfId="0" applyFont="1" applyBorder="1" applyAlignment="1">
      <alignment horizontal="center" vertical="center"/>
    </xf>
    <xf numFmtId="0" fontId="15" fillId="3" borderId="0" xfId="0" applyFont="1" applyFill="1" applyAlignment="1">
      <alignment horizontal="left" vertical="center"/>
    </xf>
    <xf numFmtId="0" fontId="18" fillId="0" borderId="0" xfId="0" applyFont="1" applyAlignment="1">
      <alignment horizontal="left"/>
    </xf>
    <xf numFmtId="0" fontId="20" fillId="5" borderId="9" xfId="0" applyFont="1" applyFill="1" applyBorder="1" applyAlignment="1">
      <alignment horizontal="center" vertical="center"/>
    </xf>
    <xf numFmtId="0" fontId="20" fillId="4" borderId="9" xfId="0" applyFont="1" applyFill="1" applyBorder="1" applyAlignment="1">
      <alignment horizontal="center" vertical="center"/>
    </xf>
    <xf numFmtId="0" fontId="24" fillId="0" borderId="8" xfId="0" applyFont="1" applyBorder="1" applyAlignment="1">
      <alignment vertical="center" wrapText="1"/>
    </xf>
    <xf numFmtId="0" fontId="23" fillId="0" borderId="10" xfId="0" applyFont="1" applyBorder="1" applyAlignment="1">
      <alignment horizontal="left" vertical="center" wrapText="1"/>
    </xf>
    <xf numFmtId="0" fontId="23" fillId="0" borderId="11" xfId="0" applyFont="1" applyBorder="1" applyAlignment="1">
      <alignment horizontal="left" vertical="center" wrapText="1" indent="1"/>
    </xf>
    <xf numFmtId="0" fontId="20" fillId="5" borderId="11" xfId="0" applyFont="1" applyFill="1" applyBorder="1" applyAlignment="1">
      <alignment horizontal="center" vertical="center"/>
    </xf>
    <xf numFmtId="0" fontId="20" fillId="4" borderId="11" xfId="0" applyFont="1" applyFill="1" applyBorder="1" applyAlignment="1">
      <alignment horizontal="center" vertical="center"/>
    </xf>
    <xf numFmtId="0" fontId="19" fillId="0" borderId="0" xfId="0" applyFont="1" applyAlignment="1">
      <alignment horizontal="center"/>
    </xf>
    <xf numFmtId="0" fontId="17" fillId="0" borderId="12" xfId="0" applyFont="1" applyBorder="1" applyAlignment="1">
      <alignment horizontal="left" vertical="center" wrapText="1"/>
    </xf>
    <xf numFmtId="0" fontId="17" fillId="0" borderId="13" xfId="0" applyFont="1" applyBorder="1" applyAlignment="1">
      <alignment vertical="center" wrapText="1"/>
    </xf>
    <xf numFmtId="0" fontId="25" fillId="5" borderId="13" xfId="0" applyFont="1" applyFill="1" applyBorder="1" applyAlignment="1">
      <alignment horizontal="center" textRotation="60"/>
    </xf>
    <xf numFmtId="0" fontId="25" fillId="4" borderId="13" xfId="0" applyFont="1" applyFill="1" applyBorder="1" applyAlignment="1">
      <alignment horizontal="center" textRotation="60"/>
    </xf>
    <xf numFmtId="0" fontId="22" fillId="0" borderId="14" xfId="0" applyFont="1" applyBorder="1" applyAlignment="1">
      <alignment horizontal="center" vertical="center"/>
    </xf>
    <xf numFmtId="0" fontId="21" fillId="0" borderId="15" xfId="0" applyFont="1" applyBorder="1" applyAlignment="1">
      <alignment horizontal="center" vertical="center"/>
    </xf>
    <xf numFmtId="0" fontId="21" fillId="5" borderId="15" xfId="0" applyFont="1" applyFill="1" applyBorder="1" applyAlignment="1">
      <alignment horizontal="center" vertical="center"/>
    </xf>
    <xf numFmtId="0" fontId="21" fillId="4" borderId="15" xfId="0" applyFont="1" applyFill="1" applyBorder="1" applyAlignment="1">
      <alignment horizontal="center" vertical="center"/>
    </xf>
    <xf numFmtId="0" fontId="26" fillId="0" borderId="0" xfId="0" applyFont="1" applyAlignment="1">
      <alignment horizontal="right"/>
    </xf>
    <xf numFmtId="0" fontId="26" fillId="0" borderId="0" xfId="0" applyFont="1"/>
    <xf numFmtId="0" fontId="27" fillId="5" borderId="9" xfId="0" applyFont="1" applyFill="1" applyBorder="1" applyAlignment="1">
      <alignment horizontal="center" vertical="center"/>
    </xf>
    <xf numFmtId="0" fontId="27" fillId="4" borderId="9" xfId="0" applyFont="1" applyFill="1" applyBorder="1" applyAlignment="1">
      <alignment horizontal="center" vertical="center"/>
    </xf>
    <xf numFmtId="0" fontId="27" fillId="7" borderId="6" xfId="0" applyFont="1" applyFill="1" applyBorder="1" applyAlignment="1">
      <alignment horizontal="left" vertical="center" wrapText="1"/>
    </xf>
    <xf numFmtId="0" fontId="27" fillId="7" borderId="7" xfId="0" applyFont="1" applyFill="1" applyBorder="1" applyAlignment="1">
      <alignment horizontal="left" vertical="center" wrapText="1" indent="1"/>
    </xf>
    <xf numFmtId="0" fontId="27" fillId="7" borderId="7" xfId="0" applyFont="1" applyFill="1" applyBorder="1" applyAlignment="1">
      <alignment horizontal="center" vertical="center"/>
    </xf>
    <xf numFmtId="0" fontId="27" fillId="0" borderId="0" xfId="0" applyFont="1"/>
    <xf numFmtId="0" fontId="24" fillId="0" borderId="9" xfId="0" applyFont="1" applyBorder="1" applyAlignment="1">
      <alignment horizontal="left" vertical="center" wrapText="1" indent="6"/>
    </xf>
    <xf numFmtId="0" fontId="24" fillId="0" borderId="9" xfId="0" applyFont="1" applyBorder="1" applyAlignment="1">
      <alignment vertical="center" wrapText="1"/>
    </xf>
    <xf numFmtId="0" fontId="23" fillId="0" borderId="9" xfId="0" applyFont="1" applyBorder="1" applyAlignment="1">
      <alignment horizontal="left" vertical="center" wrapText="1"/>
    </xf>
    <xf numFmtId="0" fontId="23" fillId="0" borderId="9" xfId="0" applyFont="1" applyBorder="1" applyAlignment="1">
      <alignment vertical="center" wrapText="1"/>
    </xf>
    <xf numFmtId="0" fontId="29" fillId="0" borderId="9" xfId="0" applyFont="1" applyBorder="1" applyAlignment="1">
      <alignment vertical="center" wrapText="1"/>
    </xf>
    <xf numFmtId="49" fontId="22" fillId="0" borderId="8" xfId="0" applyNumberFormat="1" applyFont="1" applyBorder="1" applyAlignment="1">
      <alignment horizontal="center" vertical="center" wrapText="1"/>
    </xf>
    <xf numFmtId="0" fontId="22" fillId="0" borderId="8" xfId="0" applyFont="1" applyBorder="1" applyAlignment="1">
      <alignment horizontal="center" vertical="center" wrapText="1"/>
    </xf>
    <xf numFmtId="0" fontId="24" fillId="0" borderId="8" xfId="0" applyFont="1" applyBorder="1" applyAlignment="1">
      <alignment horizontal="center" vertical="center" wrapText="1"/>
    </xf>
    <xf numFmtId="0" fontId="24" fillId="0" borderId="17" xfId="0" applyFont="1" applyBorder="1" applyAlignment="1">
      <alignment vertical="center" wrapText="1"/>
    </xf>
    <xf numFmtId="0" fontId="27" fillId="5" borderId="17" xfId="0" applyFont="1" applyFill="1" applyBorder="1" applyAlignment="1">
      <alignment horizontal="center" vertical="center"/>
    </xf>
    <xf numFmtId="0" fontId="2" fillId="2" borderId="0" xfId="5"/>
    <xf numFmtId="0" fontId="32" fillId="2" borderId="0" xfId="5" applyFont="1" applyAlignment="1">
      <alignment horizontal="left" vertical="center"/>
    </xf>
    <xf numFmtId="0" fontId="32" fillId="2" borderId="0" xfId="5" applyFont="1" applyAlignment="1">
      <alignment horizontal="center" vertical="center"/>
    </xf>
    <xf numFmtId="0" fontId="2" fillId="2" borderId="0" xfId="5"/>
    <xf numFmtId="0" fontId="34" fillId="2" borderId="0" xfId="5" applyFont="1" applyAlignment="1">
      <alignment vertical="center"/>
    </xf>
    <xf numFmtId="0" fontId="32" fillId="2" borderId="0" xfId="5" applyFont="1" applyAlignment="1">
      <alignment vertical="center"/>
    </xf>
    <xf numFmtId="0" fontId="33" fillId="2" borderId="0" xfId="5" applyFont="1" applyAlignment="1">
      <alignment vertical="center"/>
    </xf>
    <xf numFmtId="0" fontId="33" fillId="2" borderId="0" xfId="5" applyFont="1" applyAlignment="1">
      <alignment horizontal="left" vertical="center"/>
    </xf>
    <xf numFmtId="0" fontId="34" fillId="2" borderId="0" xfId="5" applyFont="1" applyAlignment="1">
      <alignment horizontal="center" vertical="center"/>
    </xf>
    <xf numFmtId="0" fontId="34" fillId="2" borderId="0" xfId="5" applyFont="1" applyAlignment="1">
      <alignment horizontal="left" vertical="center"/>
    </xf>
    <xf numFmtId="0" fontId="34" fillId="2" borderId="0" xfId="5" applyFont="1" applyAlignment="1">
      <alignment horizontal="left" vertical="center"/>
    </xf>
    <xf numFmtId="0" fontId="31" fillId="2" borderId="20" xfId="5" applyFont="1" applyBorder="1"/>
    <xf numFmtId="0" fontId="31" fillId="2" borderId="22" xfId="5" applyFont="1" applyBorder="1"/>
    <xf numFmtId="0" fontId="31" fillId="2" borderId="23" xfId="5" applyFont="1" applyBorder="1"/>
    <xf numFmtId="9" fontId="34" fillId="2" borderId="18" xfId="5" applyNumberFormat="1" applyFont="1" applyBorder="1" applyAlignment="1">
      <alignment horizontal="center" vertical="center"/>
    </xf>
    <xf numFmtId="0" fontId="34" fillId="2" borderId="18" xfId="5" applyFont="1" applyBorder="1" applyAlignment="1">
      <alignment horizontal="center" vertical="center"/>
    </xf>
    <xf numFmtId="0" fontId="34" fillId="2" borderId="16" xfId="5" applyFont="1" applyBorder="1" applyAlignment="1">
      <alignment horizontal="center" vertical="center" wrapText="1"/>
    </xf>
    <xf numFmtId="9" fontId="34" fillId="2" borderId="21" xfId="5" applyNumberFormat="1" applyFont="1" applyBorder="1" applyAlignment="1">
      <alignment horizontal="center" vertical="center"/>
    </xf>
    <xf numFmtId="43" fontId="34" fillId="2" borderId="21" xfId="5" applyNumberFormat="1" applyFont="1" applyBorder="1" applyAlignment="1">
      <alignment horizontal="center" vertical="center"/>
    </xf>
    <xf numFmtId="0" fontId="34" fillId="2" borderId="21" xfId="5" applyFont="1" applyBorder="1" applyAlignment="1">
      <alignment horizontal="center" vertical="center"/>
    </xf>
    <xf numFmtId="0" fontId="34" fillId="2" borderId="29" xfId="5" applyFont="1" applyBorder="1" applyAlignment="1">
      <alignment horizontal="center" vertical="center" wrapText="1"/>
    </xf>
    <xf numFmtId="0" fontId="34" fillId="2" borderId="21" xfId="5" quotePrefix="1" applyFont="1" applyBorder="1" applyAlignment="1">
      <alignment horizontal="left" vertical="center" wrapText="1"/>
    </xf>
    <xf numFmtId="0" fontId="34" fillId="2" borderId="31" xfId="5" applyFont="1" applyBorder="1" applyAlignment="1">
      <alignment vertical="center" wrapText="1"/>
    </xf>
    <xf numFmtId="0" fontId="35" fillId="8" borderId="0" xfId="5" applyFont="1" applyFill="1" applyAlignment="1">
      <alignment vertical="center"/>
    </xf>
    <xf numFmtId="0" fontId="32" fillId="2" borderId="0" xfId="5" applyFont="1" applyAlignment="1">
      <alignment horizontal="right" vertical="center"/>
    </xf>
    <xf numFmtId="0" fontId="34" fillId="2" borderId="0" xfId="5" applyFont="1" applyAlignment="1">
      <alignment horizontal="right" vertical="center"/>
    </xf>
    <xf numFmtId="0" fontId="32" fillId="10" borderId="0" xfId="5" applyFont="1" applyFill="1" applyAlignment="1">
      <alignment horizontal="left" vertical="center"/>
    </xf>
    <xf numFmtId="0" fontId="32" fillId="10" borderId="0" xfId="5" applyFont="1" applyFill="1" applyAlignment="1">
      <alignment horizontal="center" vertical="center"/>
    </xf>
    <xf numFmtId="0" fontId="32" fillId="10" borderId="0" xfId="5" applyFont="1" applyFill="1" applyAlignment="1">
      <alignment vertical="center"/>
    </xf>
    <xf numFmtId="0" fontId="32" fillId="10" borderId="0" xfId="5" applyFont="1" applyFill="1" applyAlignment="1">
      <alignment horizontal="left" vertical="center"/>
    </xf>
    <xf numFmtId="0" fontId="32" fillId="2" borderId="0" xfId="5" applyFont="1" applyAlignment="1">
      <alignment horizontal="left" vertical="center"/>
    </xf>
    <xf numFmtId="0" fontId="37" fillId="11" borderId="33" xfId="5" applyFont="1" applyFill="1" applyBorder="1" applyAlignment="1">
      <alignment vertical="center"/>
    </xf>
    <xf numFmtId="0" fontId="37" fillId="11" borderId="33" xfId="5" applyFont="1" applyFill="1" applyBorder="1" applyAlignment="1">
      <alignment vertical="center" wrapText="1"/>
    </xf>
    <xf numFmtId="0" fontId="37" fillId="12" borderId="32" xfId="5" applyFont="1" applyFill="1" applyBorder="1" applyAlignment="1">
      <alignment horizontal="center" vertical="center" wrapText="1"/>
    </xf>
    <xf numFmtId="0" fontId="37" fillId="2" borderId="0" xfId="5" applyFont="1" applyAlignment="1">
      <alignment vertical="center"/>
    </xf>
    <xf numFmtId="0" fontId="37" fillId="13" borderId="32" xfId="5" applyFont="1" applyFill="1" applyBorder="1" applyAlignment="1">
      <alignment horizontal="center" vertical="center" wrapText="1"/>
    </xf>
    <xf numFmtId="0" fontId="37" fillId="2" borderId="0" xfId="5" applyFont="1" applyAlignment="1">
      <alignment horizontal="center" vertical="center" wrapText="1"/>
    </xf>
    <xf numFmtId="0" fontId="38" fillId="2" borderId="0" xfId="5" applyFont="1" applyAlignment="1">
      <alignment vertical="center"/>
    </xf>
    <xf numFmtId="0" fontId="38" fillId="2" borderId="0" xfId="5" applyFont="1" applyAlignment="1">
      <alignment horizontal="center" vertical="center"/>
    </xf>
    <xf numFmtId="0" fontId="38" fillId="2" borderId="0" xfId="5" applyFont="1" applyAlignment="1">
      <alignment vertical="center" wrapText="1"/>
    </xf>
    <xf numFmtId="0" fontId="21" fillId="4" borderId="15" xfId="0" applyFont="1" applyFill="1" applyBorder="1" applyAlignment="1">
      <alignment horizontal="center" vertical="center"/>
    </xf>
    <xf numFmtId="0" fontId="21" fillId="5" borderId="15" xfId="0" applyFont="1" applyFill="1" applyBorder="1" applyAlignment="1">
      <alignment horizontal="center" vertical="center"/>
    </xf>
    <xf numFmtId="0" fontId="34" fillId="2" borderId="21" xfId="5" applyFont="1" applyBorder="1" applyAlignment="1">
      <alignment horizontal="center" vertical="center"/>
    </xf>
    <xf numFmtId="0" fontId="31" fillId="2" borderId="22" xfId="5" applyFont="1" applyBorder="1"/>
    <xf numFmtId="0" fontId="31" fillId="2" borderId="23" xfId="5" applyFont="1" applyBorder="1"/>
    <xf numFmtId="0" fontId="34" fillId="2" borderId="18" xfId="5" applyFont="1" applyBorder="1" applyAlignment="1">
      <alignment horizontal="left" vertical="center" wrapText="1"/>
    </xf>
    <xf numFmtId="0" fontId="31" fillId="2" borderId="19" xfId="5" applyFont="1" applyBorder="1"/>
    <xf numFmtId="0" fontId="31" fillId="2" borderId="20" xfId="5" applyFont="1" applyBorder="1"/>
    <xf numFmtId="0" fontId="31" fillId="2" borderId="24" xfId="5" applyFont="1" applyBorder="1"/>
    <xf numFmtId="0" fontId="2" fillId="2" borderId="0" xfId="5"/>
    <xf numFmtId="0" fontId="31" fillId="2" borderId="25" xfId="5" applyFont="1" applyBorder="1"/>
    <xf numFmtId="0" fontId="31" fillId="2" borderId="26" xfId="5" applyFont="1" applyBorder="1"/>
    <xf numFmtId="0" fontId="31" fillId="2" borderId="27" xfId="5" applyFont="1" applyBorder="1"/>
    <xf numFmtId="0" fontId="31" fillId="2" borderId="28" xfId="5" applyFont="1" applyBorder="1"/>
    <xf numFmtId="0" fontId="34" fillId="2" borderId="18" xfId="5" applyFont="1" applyBorder="1" applyAlignment="1">
      <alignment horizontal="center" vertical="center"/>
    </xf>
    <xf numFmtId="0" fontId="32" fillId="2" borderId="0" xfId="5" applyFont="1" applyAlignment="1">
      <alignment horizontal="left" vertical="center"/>
    </xf>
    <xf numFmtId="164" fontId="32" fillId="2" borderId="18" xfId="5" applyNumberFormat="1" applyFont="1" applyBorder="1" applyAlignment="1">
      <alignment horizontal="center" vertical="center"/>
    </xf>
    <xf numFmtId="0" fontId="32" fillId="10" borderId="0" xfId="5" applyFont="1" applyFill="1" applyAlignment="1">
      <alignment horizontal="left" vertical="center"/>
    </xf>
    <xf numFmtId="0" fontId="31" fillId="2" borderId="0" xfId="5" applyFont="1"/>
    <xf numFmtId="0" fontId="32" fillId="2" borderId="21" xfId="5" applyFont="1" applyBorder="1" applyAlignment="1">
      <alignment horizontal="center" vertical="center"/>
    </xf>
    <xf numFmtId="0" fontId="35" fillId="8" borderId="0" xfId="5" applyFont="1" applyFill="1" applyAlignment="1">
      <alignment horizontal="left" vertical="center"/>
    </xf>
    <xf numFmtId="0" fontId="32" fillId="2" borderId="18" xfId="5" applyFont="1" applyBorder="1" applyAlignment="1">
      <alignment horizontal="right" vertical="center"/>
    </xf>
    <xf numFmtId="9" fontId="32" fillId="2" borderId="18" xfId="5" applyNumberFormat="1" applyFont="1" applyBorder="1" applyAlignment="1">
      <alignment horizontal="center" vertical="center" wrapText="1"/>
    </xf>
    <xf numFmtId="0" fontId="32" fillId="2" borderId="18" xfId="5" applyFont="1" applyBorder="1" applyAlignment="1">
      <alignment horizontal="center" vertical="center" wrapText="1"/>
    </xf>
    <xf numFmtId="0" fontId="34" fillId="2" borderId="29" xfId="5" applyFont="1" applyBorder="1" applyAlignment="1">
      <alignment horizontal="left" vertical="center"/>
    </xf>
    <xf numFmtId="0" fontId="31" fillId="2" borderId="31" xfId="5" applyFont="1" applyBorder="1"/>
    <xf numFmtId="0" fontId="34" fillId="2" borderId="18" xfId="5" applyFont="1" applyBorder="1" applyAlignment="1">
      <alignment horizontal="center" vertical="center" wrapText="1"/>
    </xf>
    <xf numFmtId="0" fontId="35" fillId="9" borderId="0" xfId="5" applyFont="1" applyFill="1" applyAlignment="1">
      <alignment horizontal="left" vertical="center"/>
    </xf>
    <xf numFmtId="0" fontId="36" fillId="2" borderId="29" xfId="5" applyFont="1" applyBorder="1" applyAlignment="1">
      <alignment horizontal="left" vertical="center"/>
    </xf>
    <xf numFmtId="0" fontId="31" fillId="2" borderId="30" xfId="5" applyFont="1" applyBorder="1"/>
    <xf numFmtId="0" fontId="36" fillId="2" borderId="18" xfId="5" applyFont="1" applyBorder="1" applyAlignment="1">
      <alignment horizontal="center" vertical="center"/>
    </xf>
    <xf numFmtId="0" fontId="36" fillId="2" borderId="18" xfId="5" applyFont="1" applyBorder="1" applyAlignment="1">
      <alignment horizontal="center" vertical="center" wrapText="1"/>
    </xf>
    <xf numFmtId="0" fontId="32" fillId="2" borderId="18" xfId="5" applyFont="1" applyBorder="1" applyAlignment="1">
      <alignment horizontal="center" vertical="center"/>
    </xf>
    <xf numFmtId="9" fontId="32" fillId="2" borderId="18" xfId="5" applyNumberFormat="1" applyFont="1" applyBorder="1" applyAlignment="1">
      <alignment horizontal="center" vertical="center"/>
    </xf>
    <xf numFmtId="0" fontId="35" fillId="8" borderId="0" xfId="5" applyFont="1" applyFill="1" applyAlignment="1">
      <alignment horizontal="center" vertical="center"/>
    </xf>
    <xf numFmtId="0" fontId="32" fillId="2" borderId="18" xfId="5" applyFont="1" applyBorder="1" applyAlignment="1">
      <alignment horizontal="right" vertical="center" wrapText="1"/>
    </xf>
    <xf numFmtId="0" fontId="34" fillId="2" borderId="21" xfId="5" quotePrefix="1" applyFont="1" applyBorder="1" applyAlignment="1">
      <alignment horizontal="left" vertical="center" wrapText="1"/>
    </xf>
    <xf numFmtId="0" fontId="34" fillId="2" borderId="21" xfId="5" quotePrefix="1" applyFont="1" applyBorder="1" applyAlignment="1">
      <alignment vertical="center" wrapText="1"/>
    </xf>
    <xf numFmtId="9" fontId="34" fillId="2" borderId="21" xfId="5" applyNumberFormat="1" applyFont="1" applyBorder="1" applyAlignment="1">
      <alignment horizontal="center" vertical="center"/>
    </xf>
    <xf numFmtId="43" fontId="34" fillId="2" borderId="21" xfId="5" applyNumberFormat="1" applyFont="1" applyBorder="1" applyAlignment="1">
      <alignment horizontal="center" vertical="center"/>
    </xf>
    <xf numFmtId="0" fontId="34" fillId="2" borderId="22" xfId="5" quotePrefix="1" applyFont="1" applyBorder="1" applyAlignment="1">
      <alignment horizontal="left" vertical="center" wrapText="1"/>
    </xf>
    <xf numFmtId="0" fontId="36" fillId="2" borderId="21" xfId="5" applyFont="1" applyBorder="1" applyAlignment="1">
      <alignment horizontal="center" vertical="center"/>
    </xf>
    <xf numFmtId="0" fontId="36" fillId="2" borderId="29" xfId="5" applyFont="1" applyBorder="1" applyAlignment="1">
      <alignment horizontal="center" vertical="center"/>
    </xf>
    <xf numFmtId="9" fontId="34" fillId="2" borderId="18" xfId="5" applyNumberFormat="1" applyFont="1" applyBorder="1" applyAlignment="1">
      <alignment horizontal="center" vertical="center"/>
    </xf>
    <xf numFmtId="0" fontId="30" fillId="8" borderId="0" xfId="5" applyFont="1" applyFill="1" applyAlignment="1">
      <alignment horizontal="center" vertical="center"/>
    </xf>
    <xf numFmtId="0" fontId="33" fillId="2" borderId="0" xfId="5" applyFont="1" applyAlignment="1">
      <alignment horizontal="left" vertical="center"/>
    </xf>
    <xf numFmtId="0" fontId="34" fillId="2" borderId="0" xfId="5" applyFont="1" applyAlignment="1">
      <alignment horizontal="left" vertical="center"/>
    </xf>
    <xf numFmtId="0" fontId="21" fillId="4" borderId="0" xfId="0" applyFont="1" applyFill="1" applyBorder="1" applyAlignment="1">
      <alignment horizontal="center" vertical="center"/>
    </xf>
    <xf numFmtId="0" fontId="27" fillId="7" borderId="0" xfId="0" applyFont="1" applyFill="1" applyBorder="1" applyAlignment="1">
      <alignment horizontal="center" vertical="center"/>
    </xf>
    <xf numFmtId="0" fontId="27" fillId="4" borderId="0" xfId="0" applyFont="1" applyFill="1" applyBorder="1" applyAlignment="1">
      <alignment horizontal="center" vertical="center"/>
    </xf>
    <xf numFmtId="0" fontId="27" fillId="5" borderId="0" xfId="0" applyFont="1" applyFill="1" applyBorder="1" applyAlignment="1">
      <alignment horizontal="center" vertical="center"/>
    </xf>
    <xf numFmtId="0" fontId="20" fillId="4" borderId="0" xfId="0" applyFont="1" applyFill="1" applyBorder="1" applyAlignment="1">
      <alignment horizontal="center" vertical="center"/>
    </xf>
    <xf numFmtId="0" fontId="20" fillId="5" borderId="0" xfId="0" applyFont="1" applyFill="1" applyBorder="1" applyAlignment="1">
      <alignment horizontal="center" vertical="center"/>
    </xf>
    <xf numFmtId="0" fontId="27" fillId="14" borderId="34" xfId="6" applyFont="1" applyFill="1" applyBorder="1" applyAlignment="1">
      <alignment horizontal="center" vertical="center"/>
    </xf>
    <xf numFmtId="0" fontId="27" fillId="14" borderId="34" xfId="6" applyFont="1" applyFill="1" applyBorder="1" applyAlignment="1">
      <alignment horizontal="center" vertical="center"/>
    </xf>
    <xf numFmtId="0" fontId="1" fillId="2" borderId="0" xfId="6"/>
    <xf numFmtId="0" fontId="39" fillId="2" borderId="34" xfId="6" applyFont="1" applyBorder="1" applyAlignment="1">
      <alignment horizontal="center" vertical="center"/>
    </xf>
    <xf numFmtId="0" fontId="1" fillId="2" borderId="34" xfId="6" applyBorder="1" applyAlignment="1">
      <alignment horizontal="center" vertical="center"/>
    </xf>
    <xf numFmtId="0" fontId="40" fillId="2" borderId="34" xfId="6" quotePrefix="1" applyFont="1" applyBorder="1" applyAlignment="1">
      <alignment horizontal="left" wrapText="1"/>
    </xf>
    <xf numFmtId="0" fontId="40" fillId="2" borderId="34" xfId="6" applyFont="1" applyBorder="1" applyAlignment="1">
      <alignment horizontal="left" vertical="center" wrapText="1"/>
    </xf>
    <xf numFmtId="0" fontId="40" fillId="2" borderId="34" xfId="6" applyFont="1" applyBorder="1" applyAlignment="1">
      <alignment horizontal="center" vertical="center"/>
    </xf>
    <xf numFmtId="0" fontId="40" fillId="2" borderId="34" xfId="6" applyFont="1" applyBorder="1"/>
    <xf numFmtId="0" fontId="40" fillId="2" borderId="34" xfId="6" quotePrefix="1" applyFont="1" applyBorder="1" applyAlignment="1">
      <alignment horizontal="left" vertical="center" wrapText="1"/>
    </xf>
    <xf numFmtId="0" fontId="39" fillId="2" borderId="35" xfId="6" applyFont="1" applyBorder="1" applyAlignment="1">
      <alignment horizontal="center" vertical="center"/>
    </xf>
    <xf numFmtId="0" fontId="40" fillId="2" borderId="34" xfId="6" quotePrefix="1" applyFont="1" applyBorder="1" applyAlignment="1">
      <alignment horizontal="left" vertical="center" wrapText="1"/>
    </xf>
    <xf numFmtId="0" fontId="40" fillId="2" borderId="34" xfId="6" applyFont="1" applyBorder="1" applyAlignment="1">
      <alignment horizontal="left" vertical="center"/>
    </xf>
    <xf numFmtId="0" fontId="40" fillId="2" borderId="34" xfId="6" applyFont="1" applyBorder="1" applyAlignment="1">
      <alignment horizontal="center" vertical="center"/>
    </xf>
    <xf numFmtId="0" fontId="39" fillId="2" borderId="36" xfId="6" applyFont="1" applyBorder="1" applyAlignment="1">
      <alignment horizontal="center" vertical="center"/>
    </xf>
    <xf numFmtId="0" fontId="39" fillId="2" borderId="37" xfId="6" applyFont="1" applyBorder="1" applyAlignment="1">
      <alignment horizontal="center" vertical="center"/>
    </xf>
    <xf numFmtId="16" fontId="40" fillId="2" borderId="35" xfId="6" quotePrefix="1" applyNumberFormat="1" applyFont="1" applyBorder="1" applyAlignment="1">
      <alignment horizontal="center" vertical="center"/>
    </xf>
    <xf numFmtId="0" fontId="40" fillId="2" borderId="34" xfId="6" applyFont="1" applyBorder="1" applyAlignment="1">
      <alignment horizontal="left" vertical="center" wrapText="1"/>
    </xf>
    <xf numFmtId="0" fontId="40" fillId="2" borderId="36" xfId="6" applyFont="1" applyBorder="1" applyAlignment="1">
      <alignment horizontal="center" vertical="center"/>
    </xf>
    <xf numFmtId="0" fontId="40" fillId="2" borderId="37" xfId="6" applyFont="1" applyBorder="1" applyAlignment="1">
      <alignment horizontal="center" vertical="center"/>
    </xf>
    <xf numFmtId="0" fontId="40" fillId="2" borderId="34" xfId="6" quotePrefix="1" applyFont="1" applyBorder="1" applyAlignment="1">
      <alignment horizontal="left" vertical="center"/>
    </xf>
    <xf numFmtId="0" fontId="40" fillId="2" borderId="34" xfId="6" applyFont="1" applyBorder="1" applyAlignment="1">
      <alignment horizontal="left" vertical="center"/>
    </xf>
    <xf numFmtId="0" fontId="40" fillId="2" borderId="35" xfId="6" applyFont="1" applyBorder="1" applyAlignment="1">
      <alignment horizontal="left" vertical="center"/>
    </xf>
    <xf numFmtId="0" fontId="40" fillId="2" borderId="36" xfId="6" applyFont="1" applyBorder="1" applyAlignment="1">
      <alignment horizontal="left" vertical="center"/>
    </xf>
    <xf numFmtId="0" fontId="40" fillId="2" borderId="37" xfId="6" applyFont="1" applyBorder="1" applyAlignment="1">
      <alignment horizontal="left" vertical="center"/>
    </xf>
    <xf numFmtId="0" fontId="40" fillId="2" borderId="35" xfId="6" applyFont="1" applyBorder="1" applyAlignment="1">
      <alignment vertical="center" wrapText="1"/>
    </xf>
    <xf numFmtId="0" fontId="40" fillId="2" borderId="36" xfId="6" applyFont="1" applyBorder="1" applyAlignment="1">
      <alignment vertical="center"/>
    </xf>
    <xf numFmtId="0" fontId="40" fillId="2" borderId="37" xfId="6" applyFont="1" applyBorder="1" applyAlignment="1">
      <alignment vertical="center"/>
    </xf>
    <xf numFmtId="0" fontId="40" fillId="2" borderId="35" xfId="6" applyFont="1" applyBorder="1" applyAlignment="1">
      <alignment horizontal="left" vertical="center" wrapText="1"/>
    </xf>
    <xf numFmtId="0" fontId="40" fillId="2" borderId="36" xfId="6" applyFont="1" applyBorder="1" applyAlignment="1">
      <alignment horizontal="left" vertical="center" wrapText="1"/>
    </xf>
    <xf numFmtId="0" fontId="40" fillId="2" borderId="37" xfId="6" applyFont="1" applyBorder="1" applyAlignment="1">
      <alignment horizontal="left" vertical="center" wrapText="1"/>
    </xf>
    <xf numFmtId="0" fontId="41" fillId="2" borderId="0" xfId="6" applyFont="1"/>
    <xf numFmtId="0" fontId="1" fillId="2" borderId="0" xfId="6" applyAlignment="1">
      <alignment horizontal="center" vertical="center"/>
    </xf>
    <xf numFmtId="0" fontId="42" fillId="2" borderId="34" xfId="6" applyFont="1" applyBorder="1" applyAlignment="1">
      <alignment horizontal="left" wrapText="1"/>
    </xf>
    <xf numFmtId="0" fontId="42" fillId="2" borderId="34" xfId="6" applyFont="1" applyBorder="1" applyAlignment="1">
      <alignment horizontal="center" vertical="center"/>
    </xf>
    <xf numFmtId="0" fontId="42" fillId="2" borderId="34" xfId="6" applyFont="1" applyBorder="1" applyAlignment="1">
      <alignment horizontal="left" vertical="center" wrapText="1"/>
    </xf>
    <xf numFmtId="0" fontId="43" fillId="15" borderId="38" xfId="6" applyFont="1" applyFill="1" applyBorder="1" applyAlignment="1">
      <alignment horizontal="center" vertical="center" wrapText="1"/>
    </xf>
    <xf numFmtId="0" fontId="43" fillId="15" borderId="39" xfId="6" applyFont="1" applyFill="1" applyBorder="1" applyAlignment="1">
      <alignment horizontal="center" vertical="center" wrapText="1"/>
    </xf>
    <xf numFmtId="0" fontId="43" fillId="15" borderId="40" xfId="6" applyFont="1" applyFill="1" applyBorder="1" applyAlignment="1">
      <alignment horizontal="center" vertical="center" wrapText="1"/>
    </xf>
    <xf numFmtId="0" fontId="43" fillId="15" borderId="38" xfId="6" applyFont="1" applyFill="1" applyBorder="1" applyAlignment="1">
      <alignment horizontal="center" vertical="center"/>
    </xf>
    <xf numFmtId="0" fontId="43" fillId="15" borderId="39" xfId="6" applyFont="1" applyFill="1" applyBorder="1" applyAlignment="1">
      <alignment horizontal="center" vertical="center"/>
    </xf>
    <xf numFmtId="0" fontId="43" fillId="15" borderId="40" xfId="6" applyFont="1" applyFill="1" applyBorder="1" applyAlignment="1">
      <alignment horizontal="center" vertical="center"/>
    </xf>
    <xf numFmtId="0" fontId="27" fillId="15" borderId="34" xfId="6" applyFont="1" applyFill="1" applyBorder="1" applyAlignment="1">
      <alignment horizontal="center" vertical="center"/>
    </xf>
    <xf numFmtId="0" fontId="44" fillId="2" borderId="34" xfId="6" applyFont="1" applyBorder="1" applyAlignment="1">
      <alignment horizontal="left" vertical="center" wrapText="1"/>
    </xf>
    <xf numFmtId="0" fontId="42" fillId="2" borderId="34" xfId="6" applyFont="1" applyBorder="1" applyAlignment="1">
      <alignment horizontal="left" vertical="center"/>
    </xf>
    <xf numFmtId="0" fontId="42" fillId="2" borderId="34" xfId="6" applyFont="1" applyBorder="1" applyAlignment="1">
      <alignment horizontal="left" vertical="center" wrapText="1"/>
    </xf>
    <xf numFmtId="0" fontId="42" fillId="2" borderId="34" xfId="6" applyFont="1" applyBorder="1" applyAlignment="1">
      <alignment horizontal="left" wrapText="1"/>
    </xf>
    <xf numFmtId="0" fontId="1" fillId="2" borderId="0" xfId="6" applyAlignment="1">
      <alignment horizontal="center"/>
    </xf>
    <xf numFmtId="0" fontId="27" fillId="15" borderId="35" xfId="6" applyFont="1" applyFill="1" applyBorder="1" applyAlignment="1">
      <alignment horizontal="center" vertical="center"/>
    </xf>
    <xf numFmtId="0" fontId="27" fillId="15" borderId="36" xfId="6" applyFont="1" applyFill="1" applyBorder="1" applyAlignment="1">
      <alignment horizontal="center" vertical="center"/>
    </xf>
    <xf numFmtId="0" fontId="42" fillId="2" borderId="34" xfId="6" applyFont="1" applyBorder="1" applyAlignment="1">
      <alignment horizontal="left"/>
    </xf>
    <xf numFmtId="0" fontId="27" fillId="15" borderId="0" xfId="6" applyFont="1" applyFill="1" applyAlignment="1">
      <alignment horizontal="center" vertical="center"/>
    </xf>
    <xf numFmtId="0" fontId="44" fillId="2" borderId="34" xfId="6" applyFont="1" applyBorder="1" applyAlignment="1">
      <alignment horizontal="left" vertical="center"/>
    </xf>
    <xf numFmtId="0" fontId="0" fillId="0" borderId="0" xfId="0" applyBorder="1"/>
    <xf numFmtId="0" fontId="45" fillId="0" borderId="0" xfId="0" quotePrefix="1" applyFont="1"/>
    <xf numFmtId="0" fontId="34" fillId="2" borderId="27" xfId="5" applyFont="1" applyBorder="1" applyAlignment="1">
      <alignment vertical="center" wrapText="1"/>
    </xf>
    <xf numFmtId="0" fontId="34" fillId="2" borderId="28" xfId="5" applyFont="1" applyBorder="1" applyAlignment="1">
      <alignment vertical="center" wrapText="1"/>
    </xf>
    <xf numFmtId="0" fontId="34" fillId="2" borderId="0" xfId="5" applyFont="1" applyBorder="1" applyAlignment="1">
      <alignment vertical="center" wrapText="1"/>
    </xf>
    <xf numFmtId="0" fontId="34" fillId="2" borderId="25" xfId="5" applyFont="1" applyBorder="1" applyAlignment="1">
      <alignment vertical="center" wrapText="1"/>
    </xf>
    <xf numFmtId="43" fontId="34" fillId="2" borderId="18" xfId="5" applyNumberFormat="1" applyFont="1" applyBorder="1" applyAlignment="1">
      <alignment horizontal="center" vertical="center"/>
    </xf>
  </cellXfs>
  <cellStyles count="7">
    <cellStyle name="Normal" xfId="0" builtinId="0"/>
    <cellStyle name="Normal 2" xfId="1" xr:uid="{00000000-0005-0000-0000-000001000000}"/>
    <cellStyle name="Normal 3" xfId="2" xr:uid="{00000000-0005-0000-0000-000002000000}"/>
    <cellStyle name="Normal 3 2" xfId="3" xr:uid="{00000000-0005-0000-0000-000003000000}"/>
    <cellStyle name="Normal 4" xfId="4" xr:uid="{207C5A4D-6C3C-49C9-9E22-CC54FC84B68B}"/>
    <cellStyle name="Normal 5" xfId="5" xr:uid="{A0578677-A270-404D-B4B6-0A3A92774C15}"/>
    <cellStyle name="Normal 6" xfId="6" xr:uid="{D9F754A5-1BFA-47C9-BC79-79D53578F77A}"/>
  </cellStyles>
  <dxfs count="25">
    <dxf>
      <fill>
        <patternFill>
          <bgColor rgb="FFFFC000"/>
        </patternFill>
      </fill>
    </dxf>
    <dxf>
      <fill>
        <patternFill>
          <bgColor rgb="FF3BCCC4"/>
        </patternFill>
      </fill>
    </dxf>
    <dxf>
      <fill>
        <patternFill>
          <bgColor rgb="FFFF0000"/>
        </patternFill>
      </fill>
    </dxf>
    <dxf>
      <fill>
        <patternFill>
          <bgColor rgb="FFD583D9"/>
        </patternFill>
      </fill>
    </dxf>
    <dxf>
      <fill>
        <patternFill>
          <bgColor rgb="FFFFA325"/>
        </patternFill>
      </fill>
    </dxf>
    <dxf>
      <fill>
        <patternFill>
          <bgColor rgb="FF00AFB0"/>
        </patternFill>
      </fill>
    </dxf>
    <dxf>
      <fill>
        <patternFill>
          <bgColor rgb="FFEE0A00"/>
        </patternFill>
      </fill>
    </dxf>
    <dxf>
      <fill>
        <patternFill>
          <bgColor rgb="FFB827B7"/>
        </patternFill>
      </fill>
    </dxf>
    <dxf>
      <fill>
        <patternFill>
          <bgColor rgb="FFFFA325"/>
        </patternFill>
      </fill>
    </dxf>
    <dxf>
      <fill>
        <patternFill>
          <bgColor rgb="FF00AFB0"/>
        </patternFill>
      </fill>
    </dxf>
    <dxf>
      <fill>
        <patternFill>
          <bgColor rgb="FFEE0A00"/>
        </patternFill>
      </fill>
    </dxf>
    <dxf>
      <fill>
        <patternFill>
          <bgColor rgb="FFB827B7"/>
        </patternFill>
      </fill>
    </dxf>
    <dxf>
      <fill>
        <patternFill>
          <bgColor rgb="FFFFA325"/>
        </patternFill>
      </fill>
    </dxf>
    <dxf>
      <fill>
        <patternFill>
          <bgColor rgb="FF00AFB0"/>
        </patternFill>
      </fill>
    </dxf>
    <dxf>
      <fill>
        <patternFill>
          <bgColor rgb="FFEE0A00"/>
        </patternFill>
      </fill>
    </dxf>
    <dxf>
      <fill>
        <patternFill>
          <bgColor rgb="FFB827B7"/>
        </patternFill>
      </fill>
    </dxf>
    <dxf>
      <fill>
        <patternFill>
          <bgColor rgb="FFFFA325"/>
        </patternFill>
      </fill>
    </dxf>
    <dxf>
      <fill>
        <patternFill>
          <bgColor rgb="FF00AFB0"/>
        </patternFill>
      </fill>
    </dxf>
    <dxf>
      <fill>
        <patternFill>
          <bgColor rgb="FFEE0A00"/>
        </patternFill>
      </fill>
    </dxf>
    <dxf>
      <fill>
        <patternFill>
          <bgColor rgb="FFB827B7"/>
        </patternFill>
      </fill>
    </dxf>
    <dxf>
      <fill>
        <patternFill>
          <bgColor theme="3"/>
        </patternFill>
      </fill>
    </dxf>
    <dxf>
      <fill>
        <patternFill>
          <bgColor rgb="FFFFA325"/>
        </patternFill>
      </fill>
    </dxf>
    <dxf>
      <fill>
        <patternFill>
          <bgColor rgb="FF00AFB0"/>
        </patternFill>
      </fill>
    </dxf>
    <dxf>
      <fill>
        <patternFill>
          <bgColor rgb="FFEE0A00"/>
        </patternFill>
      </fill>
    </dxf>
    <dxf>
      <fill>
        <patternFill>
          <bgColor rgb="FFB827B7"/>
        </patternFill>
      </fill>
    </dxf>
  </dxfs>
  <tableStyles count="0" defaultTableStyle="TableStyleMedium9" defaultPivotStyle="PivotStyleMedium7"/>
  <colors>
    <mruColors>
      <color rgb="FFEAEEF3"/>
      <color rgb="FFC2F0DF"/>
      <color rgb="FFE1F7ED"/>
      <color rgb="FFD7EEB2"/>
      <color rgb="FFF0FDE3"/>
      <color rgb="FFFFFBE3"/>
      <color rgb="FFFEF3E8"/>
      <color rgb="FFFFF4E3"/>
      <color rgb="FFFEF7EC"/>
      <color rgb="FFF8ED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12</xdr:col>
      <xdr:colOff>358594</xdr:colOff>
      <xdr:row>3</xdr:row>
      <xdr:rowOff>156882</xdr:rowOff>
    </xdr:from>
    <xdr:to>
      <xdr:col>15</xdr:col>
      <xdr:colOff>504270</xdr:colOff>
      <xdr:row>7</xdr:row>
      <xdr:rowOff>168088</xdr:rowOff>
    </xdr:to>
    <xdr:sp macro="" textlink="">
      <xdr:nvSpPr>
        <xdr:cNvPr id="3" name="Rectangle 2">
          <a:extLst>
            <a:ext uri="{FF2B5EF4-FFF2-40B4-BE49-F238E27FC236}">
              <a16:creationId xmlns:a16="http://schemas.microsoft.com/office/drawing/2014/main" id="{4669E5AE-829C-4C84-A8BC-97C80E15BA5E}"/>
            </a:ext>
          </a:extLst>
        </xdr:cNvPr>
        <xdr:cNvSpPr/>
      </xdr:nvSpPr>
      <xdr:spPr>
        <a:xfrm>
          <a:off x="7620006" y="728382"/>
          <a:ext cx="1961029" cy="773206"/>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Arial" panose="020B0604020202020204" pitchFamily="34" charset="0"/>
              <a:cs typeface="Arial" panose="020B0604020202020204" pitchFamily="34" charset="0"/>
            </a:rPr>
            <a:t>TBP </a:t>
          </a:r>
          <a:r>
            <a:rPr lang="en-US" sz="1600" b="1" baseline="0">
              <a:latin typeface="Arial" panose="020B0604020202020204" pitchFamily="34" charset="0"/>
              <a:cs typeface="Arial" panose="020B0604020202020204" pitchFamily="34" charset="0"/>
            </a:rPr>
            <a:t>BIM-Thiết kế</a:t>
          </a:r>
          <a:endParaRPr lang="en-US" sz="1800" b="1" baseline="0">
            <a:latin typeface="Arial" panose="020B0604020202020204" pitchFamily="34" charset="0"/>
            <a:cs typeface="Arial" panose="020B0604020202020204" pitchFamily="34" charset="0"/>
          </a:endParaRPr>
        </a:p>
        <a:p>
          <a:pPr algn="ctr"/>
          <a:r>
            <a:rPr lang="en-US" sz="1400" baseline="0">
              <a:latin typeface="Arial" panose="020B0604020202020204" pitchFamily="34" charset="0"/>
              <a:cs typeface="Arial" panose="020B0604020202020204" pitchFamily="34" charset="0"/>
            </a:rPr>
            <a:t>(Đặng Hữu Lam)</a:t>
          </a:r>
        </a:p>
        <a:p>
          <a:pPr algn="ctr"/>
          <a:r>
            <a:rPr lang="en-US" sz="1400" baseline="0">
              <a:latin typeface="Arial" panose="020B0604020202020204" pitchFamily="34" charset="0"/>
              <a:cs typeface="Arial" panose="020B0604020202020204" pitchFamily="34" charset="0"/>
            </a:rPr>
            <a:t>(30)</a:t>
          </a:r>
          <a:endParaRPr lang="en-US" sz="1200">
            <a:latin typeface="Arial" panose="020B0604020202020204" pitchFamily="34" charset="0"/>
            <a:cs typeface="Arial" panose="020B0604020202020204" pitchFamily="34" charset="0"/>
          </a:endParaRPr>
        </a:p>
      </xdr:txBody>
    </xdr:sp>
    <xdr:clientData/>
  </xdr:twoCellAnchor>
  <xdr:twoCellAnchor>
    <xdr:from>
      <xdr:col>0</xdr:col>
      <xdr:colOff>313763</xdr:colOff>
      <xdr:row>11</xdr:row>
      <xdr:rowOff>56030</xdr:rowOff>
    </xdr:from>
    <xdr:to>
      <xdr:col>3</xdr:col>
      <xdr:colOff>515471</xdr:colOff>
      <xdr:row>15</xdr:row>
      <xdr:rowOff>67236</xdr:rowOff>
    </xdr:to>
    <xdr:sp macro="" textlink="">
      <xdr:nvSpPr>
        <xdr:cNvPr id="5" name="Rectangle 4">
          <a:extLst>
            <a:ext uri="{FF2B5EF4-FFF2-40B4-BE49-F238E27FC236}">
              <a16:creationId xmlns:a16="http://schemas.microsoft.com/office/drawing/2014/main" id="{E6FB7220-C620-4D25-B4AE-01443C7EE8C3}"/>
            </a:ext>
          </a:extLst>
        </xdr:cNvPr>
        <xdr:cNvSpPr/>
      </xdr:nvSpPr>
      <xdr:spPr>
        <a:xfrm>
          <a:off x="313763" y="2151530"/>
          <a:ext cx="2017061" cy="773206"/>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aseline="0">
              <a:latin typeface="Arial" panose="020B0604020202020204" pitchFamily="34" charset="0"/>
              <a:cs typeface="Arial" panose="020B0604020202020204" pitchFamily="34" charset="0"/>
            </a:rPr>
            <a:t>Trưởng nhóm BIM XD</a:t>
          </a:r>
          <a:endParaRPr lang="en-US" sz="1600" baseline="0">
            <a:latin typeface="Arial" panose="020B0604020202020204" pitchFamily="34" charset="0"/>
            <a:cs typeface="Arial" panose="020B0604020202020204" pitchFamily="34" charset="0"/>
          </a:endParaRPr>
        </a:p>
        <a:p>
          <a:pPr algn="ctr"/>
          <a:r>
            <a:rPr lang="en-US" sz="1200" baseline="0">
              <a:latin typeface="Arial" panose="020B0604020202020204" pitchFamily="34" charset="0"/>
              <a:cs typeface="Arial" panose="020B0604020202020204" pitchFamily="34" charset="0"/>
            </a:rPr>
            <a:t>(Tạ Văn Bộ)</a:t>
          </a:r>
        </a:p>
        <a:p>
          <a:pPr algn="ctr"/>
          <a:r>
            <a:rPr lang="en-US" sz="1200" baseline="0">
              <a:latin typeface="Arial" panose="020B0604020202020204" pitchFamily="34" charset="0"/>
              <a:cs typeface="Arial" panose="020B0604020202020204" pitchFamily="34" charset="0"/>
            </a:rPr>
            <a:t>(15)</a:t>
          </a:r>
          <a:endParaRPr lang="en-US" sz="1100">
            <a:latin typeface="Arial" panose="020B0604020202020204" pitchFamily="34" charset="0"/>
            <a:cs typeface="Arial" panose="020B0604020202020204" pitchFamily="34" charset="0"/>
          </a:endParaRPr>
        </a:p>
      </xdr:txBody>
    </xdr:sp>
    <xdr:clientData/>
  </xdr:twoCellAnchor>
  <xdr:twoCellAnchor>
    <xdr:from>
      <xdr:col>4</xdr:col>
      <xdr:colOff>156880</xdr:colOff>
      <xdr:row>11</xdr:row>
      <xdr:rowOff>44824</xdr:rowOff>
    </xdr:from>
    <xdr:to>
      <xdr:col>8</xdr:col>
      <xdr:colOff>0</xdr:colOff>
      <xdr:row>15</xdr:row>
      <xdr:rowOff>56029</xdr:rowOff>
    </xdr:to>
    <xdr:sp macro="" textlink="">
      <xdr:nvSpPr>
        <xdr:cNvPr id="6" name="Rectangle 5">
          <a:extLst>
            <a:ext uri="{FF2B5EF4-FFF2-40B4-BE49-F238E27FC236}">
              <a16:creationId xmlns:a16="http://schemas.microsoft.com/office/drawing/2014/main" id="{FFFCD985-9500-4A5F-B7E6-AD02CE6B7488}"/>
            </a:ext>
          </a:extLst>
        </xdr:cNvPr>
        <xdr:cNvSpPr/>
      </xdr:nvSpPr>
      <xdr:spPr>
        <a:xfrm>
          <a:off x="2577351" y="2140324"/>
          <a:ext cx="2263590" cy="773205"/>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aseline="0">
              <a:latin typeface="Arial" panose="020B0604020202020204" pitchFamily="34" charset="0"/>
              <a:cs typeface="Arial" panose="020B0604020202020204" pitchFamily="34" charset="0"/>
            </a:rPr>
            <a:t>Trưởng nhóm BIM MEPF</a:t>
          </a:r>
        </a:p>
        <a:p>
          <a:pPr algn="ctr"/>
          <a:r>
            <a:rPr lang="en-US" sz="1200" baseline="0">
              <a:latin typeface="Arial" panose="020B0604020202020204" pitchFamily="34" charset="0"/>
              <a:cs typeface="Arial" panose="020B0604020202020204" pitchFamily="34" charset="0"/>
            </a:rPr>
            <a:t>(Nguyễn Văn Phúc)</a:t>
          </a:r>
        </a:p>
        <a:p>
          <a:pPr algn="ctr"/>
          <a:r>
            <a:rPr lang="en-US" sz="1200" baseline="0">
              <a:latin typeface="Arial" panose="020B0604020202020204" pitchFamily="34" charset="0"/>
              <a:cs typeface="Arial" panose="020B0604020202020204" pitchFamily="34" charset="0"/>
            </a:rPr>
            <a:t>(3)</a:t>
          </a:r>
          <a:endParaRPr lang="en-US" sz="1100">
            <a:latin typeface="Arial" panose="020B0604020202020204" pitchFamily="34" charset="0"/>
            <a:cs typeface="Arial" panose="020B0604020202020204" pitchFamily="34" charset="0"/>
          </a:endParaRPr>
        </a:p>
      </xdr:txBody>
    </xdr:sp>
    <xdr:clientData/>
  </xdr:twoCellAnchor>
  <xdr:twoCellAnchor>
    <xdr:from>
      <xdr:col>8</xdr:col>
      <xdr:colOff>291350</xdr:colOff>
      <xdr:row>11</xdr:row>
      <xdr:rowOff>44824</xdr:rowOff>
    </xdr:from>
    <xdr:to>
      <xdr:col>12</xdr:col>
      <xdr:colOff>33616</xdr:colOff>
      <xdr:row>15</xdr:row>
      <xdr:rowOff>56029</xdr:rowOff>
    </xdr:to>
    <xdr:sp macro="" textlink="">
      <xdr:nvSpPr>
        <xdr:cNvPr id="7" name="Rectangle 6">
          <a:extLst>
            <a:ext uri="{FF2B5EF4-FFF2-40B4-BE49-F238E27FC236}">
              <a16:creationId xmlns:a16="http://schemas.microsoft.com/office/drawing/2014/main" id="{0A56728C-5A54-42D7-8C9D-821B2289786E}"/>
            </a:ext>
          </a:extLst>
        </xdr:cNvPr>
        <xdr:cNvSpPr/>
      </xdr:nvSpPr>
      <xdr:spPr>
        <a:xfrm>
          <a:off x="5132291" y="2140324"/>
          <a:ext cx="2162737" cy="773205"/>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aseline="0">
              <a:latin typeface="Arial" panose="020B0604020202020204" pitchFamily="34" charset="0"/>
              <a:cs typeface="Arial" panose="020B0604020202020204" pitchFamily="34" charset="0"/>
            </a:rPr>
            <a:t>Chủ Trì TK Kiến Trúc</a:t>
          </a:r>
          <a:endParaRPr lang="en-US" sz="1600" baseline="0">
            <a:latin typeface="Arial" panose="020B0604020202020204" pitchFamily="34" charset="0"/>
            <a:cs typeface="Arial" panose="020B0604020202020204" pitchFamily="34" charset="0"/>
          </a:endParaRPr>
        </a:p>
        <a:p>
          <a:pPr algn="ctr"/>
          <a:r>
            <a:rPr lang="en-US" sz="1200" baseline="0">
              <a:latin typeface="Arial" panose="020B0604020202020204" pitchFamily="34" charset="0"/>
              <a:cs typeface="Arial" panose="020B0604020202020204" pitchFamily="34" charset="0"/>
            </a:rPr>
            <a:t>(Nguyễn Thanh Tuấn)</a:t>
          </a:r>
        </a:p>
        <a:p>
          <a:pPr algn="ctr"/>
          <a:r>
            <a:rPr lang="en-US" sz="1200" baseline="0">
              <a:latin typeface="Arial" panose="020B0604020202020204" pitchFamily="34" charset="0"/>
              <a:cs typeface="Arial" panose="020B0604020202020204" pitchFamily="34" charset="0"/>
            </a:rPr>
            <a:t>(2)</a:t>
          </a:r>
          <a:endParaRPr lang="en-US" sz="1100">
            <a:latin typeface="Arial" panose="020B0604020202020204" pitchFamily="34" charset="0"/>
            <a:cs typeface="Arial" panose="020B0604020202020204" pitchFamily="34" charset="0"/>
          </a:endParaRPr>
        </a:p>
      </xdr:txBody>
    </xdr:sp>
    <xdr:clientData/>
  </xdr:twoCellAnchor>
  <xdr:twoCellAnchor>
    <xdr:from>
      <xdr:col>12</xdr:col>
      <xdr:colOff>212908</xdr:colOff>
      <xdr:row>11</xdr:row>
      <xdr:rowOff>56030</xdr:rowOff>
    </xdr:from>
    <xdr:to>
      <xdr:col>16</xdr:col>
      <xdr:colOff>33617</xdr:colOff>
      <xdr:row>15</xdr:row>
      <xdr:rowOff>67235</xdr:rowOff>
    </xdr:to>
    <xdr:sp macro="" textlink="">
      <xdr:nvSpPr>
        <xdr:cNvPr id="8" name="Rectangle 7">
          <a:extLst>
            <a:ext uri="{FF2B5EF4-FFF2-40B4-BE49-F238E27FC236}">
              <a16:creationId xmlns:a16="http://schemas.microsoft.com/office/drawing/2014/main" id="{BA3BDF4B-9B99-4A73-BD44-9BA7EB33666D}"/>
            </a:ext>
          </a:extLst>
        </xdr:cNvPr>
        <xdr:cNvSpPr/>
      </xdr:nvSpPr>
      <xdr:spPr>
        <a:xfrm>
          <a:off x="7474320" y="2151530"/>
          <a:ext cx="2241179" cy="773205"/>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aseline="0">
              <a:latin typeface="Arial" panose="020B0604020202020204" pitchFamily="34" charset="0"/>
              <a:cs typeface="Arial" panose="020B0604020202020204" pitchFamily="34" charset="0"/>
            </a:rPr>
            <a:t>Chủ Trì TK Kết Cấu</a:t>
          </a:r>
          <a:endParaRPr lang="en-US" sz="1600" baseline="0">
            <a:latin typeface="Arial" panose="020B0604020202020204" pitchFamily="34" charset="0"/>
            <a:cs typeface="Arial" panose="020B0604020202020204" pitchFamily="34" charset="0"/>
          </a:endParaRPr>
        </a:p>
        <a:p>
          <a:pPr algn="ctr"/>
          <a:r>
            <a:rPr lang="en-US" sz="1200" baseline="0">
              <a:latin typeface="Arial" panose="020B0604020202020204" pitchFamily="34" charset="0"/>
              <a:cs typeface="Arial" panose="020B0604020202020204" pitchFamily="34" charset="0"/>
            </a:rPr>
            <a:t>(Võ Phi Thanh)</a:t>
          </a:r>
          <a:endParaRPr lang="en-US" sz="1100" baseline="0">
            <a:latin typeface="Arial" panose="020B0604020202020204" pitchFamily="34" charset="0"/>
            <a:cs typeface="Arial" panose="020B0604020202020204" pitchFamily="34" charset="0"/>
          </a:endParaRPr>
        </a:p>
        <a:p>
          <a:pPr algn="ctr"/>
          <a:r>
            <a:rPr lang="en-US" sz="1100" baseline="0">
              <a:latin typeface="Arial" panose="020B0604020202020204" pitchFamily="34" charset="0"/>
              <a:cs typeface="Arial" panose="020B0604020202020204" pitchFamily="34" charset="0"/>
            </a:rPr>
            <a:t>(3)</a:t>
          </a:r>
          <a:endParaRPr lang="en-US" sz="1200" baseline="0">
            <a:latin typeface="Arial" panose="020B0604020202020204" pitchFamily="34" charset="0"/>
            <a:cs typeface="Arial" panose="020B0604020202020204" pitchFamily="34" charset="0"/>
          </a:endParaRPr>
        </a:p>
      </xdr:txBody>
    </xdr:sp>
    <xdr:clientData/>
  </xdr:twoCellAnchor>
  <xdr:twoCellAnchor>
    <xdr:from>
      <xdr:col>2</xdr:col>
      <xdr:colOff>112059</xdr:colOff>
      <xdr:row>7</xdr:row>
      <xdr:rowOff>168089</xdr:rowOff>
    </xdr:from>
    <xdr:to>
      <xdr:col>14</xdr:col>
      <xdr:colOff>128874</xdr:colOff>
      <xdr:row>11</xdr:row>
      <xdr:rowOff>56031</xdr:rowOff>
    </xdr:to>
    <xdr:cxnSp macro="">
      <xdr:nvCxnSpPr>
        <xdr:cNvPr id="10" name="Connector: Elbow 9">
          <a:extLst>
            <a:ext uri="{FF2B5EF4-FFF2-40B4-BE49-F238E27FC236}">
              <a16:creationId xmlns:a16="http://schemas.microsoft.com/office/drawing/2014/main" id="{3522C06D-51C8-4976-B49B-B218DCF50023}"/>
            </a:ext>
          </a:extLst>
        </xdr:cNvPr>
        <xdr:cNvCxnSpPr>
          <a:stCxn id="3" idx="2"/>
          <a:endCxn id="5" idx="0"/>
        </xdr:cNvCxnSpPr>
      </xdr:nvCxnSpPr>
      <xdr:spPr>
        <a:xfrm rot="5400000">
          <a:off x="4636437" y="-1812554"/>
          <a:ext cx="649942" cy="7278227"/>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78440</xdr:colOff>
      <xdr:row>7</xdr:row>
      <xdr:rowOff>168089</xdr:rowOff>
    </xdr:from>
    <xdr:to>
      <xdr:col>14</xdr:col>
      <xdr:colOff>128874</xdr:colOff>
      <xdr:row>11</xdr:row>
      <xdr:rowOff>44825</xdr:rowOff>
    </xdr:to>
    <xdr:cxnSp macro="">
      <xdr:nvCxnSpPr>
        <xdr:cNvPr id="12" name="Connector: Elbow 11">
          <a:extLst>
            <a:ext uri="{FF2B5EF4-FFF2-40B4-BE49-F238E27FC236}">
              <a16:creationId xmlns:a16="http://schemas.microsoft.com/office/drawing/2014/main" id="{8894AE2F-6C13-43B9-A076-16205B8D1AF5}"/>
            </a:ext>
          </a:extLst>
        </xdr:cNvPr>
        <xdr:cNvCxnSpPr>
          <a:stCxn id="3" idx="2"/>
          <a:endCxn id="6" idx="0"/>
        </xdr:cNvCxnSpPr>
      </xdr:nvCxnSpPr>
      <xdr:spPr>
        <a:xfrm rot="5400000">
          <a:off x="5835466" y="-624731"/>
          <a:ext cx="638736" cy="489137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162484</xdr:colOff>
      <xdr:row>7</xdr:row>
      <xdr:rowOff>168089</xdr:rowOff>
    </xdr:from>
    <xdr:to>
      <xdr:col>14</xdr:col>
      <xdr:colOff>128874</xdr:colOff>
      <xdr:row>11</xdr:row>
      <xdr:rowOff>44825</xdr:rowOff>
    </xdr:to>
    <xdr:cxnSp macro="">
      <xdr:nvCxnSpPr>
        <xdr:cNvPr id="14" name="Connector: Elbow 13">
          <a:extLst>
            <a:ext uri="{FF2B5EF4-FFF2-40B4-BE49-F238E27FC236}">
              <a16:creationId xmlns:a16="http://schemas.microsoft.com/office/drawing/2014/main" id="{5293F09B-1C00-4430-833A-98BE27721C35}"/>
            </a:ext>
          </a:extLst>
        </xdr:cNvPr>
        <xdr:cNvCxnSpPr>
          <a:stCxn id="3" idx="2"/>
          <a:endCxn id="7" idx="0"/>
        </xdr:cNvCxnSpPr>
      </xdr:nvCxnSpPr>
      <xdr:spPr>
        <a:xfrm rot="5400000">
          <a:off x="7087723" y="627526"/>
          <a:ext cx="638736" cy="2386861"/>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123263</xdr:colOff>
      <xdr:row>7</xdr:row>
      <xdr:rowOff>168089</xdr:rowOff>
    </xdr:from>
    <xdr:to>
      <xdr:col>14</xdr:col>
      <xdr:colOff>128874</xdr:colOff>
      <xdr:row>11</xdr:row>
      <xdr:rowOff>56031</xdr:rowOff>
    </xdr:to>
    <xdr:cxnSp macro="">
      <xdr:nvCxnSpPr>
        <xdr:cNvPr id="16" name="Connector: Elbow 15">
          <a:extLst>
            <a:ext uri="{FF2B5EF4-FFF2-40B4-BE49-F238E27FC236}">
              <a16:creationId xmlns:a16="http://schemas.microsoft.com/office/drawing/2014/main" id="{AC4632AE-4E5C-44A1-86C0-426D0F79D152}"/>
            </a:ext>
          </a:extLst>
        </xdr:cNvPr>
        <xdr:cNvCxnSpPr>
          <a:stCxn id="3" idx="2"/>
          <a:endCxn id="8" idx="0"/>
        </xdr:cNvCxnSpPr>
      </xdr:nvCxnSpPr>
      <xdr:spPr>
        <a:xfrm rot="5400000">
          <a:off x="8272745" y="1823754"/>
          <a:ext cx="649942" cy="5611"/>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190497</xdr:colOff>
      <xdr:row>11</xdr:row>
      <xdr:rowOff>56030</xdr:rowOff>
    </xdr:from>
    <xdr:to>
      <xdr:col>19</xdr:col>
      <xdr:colOff>582705</xdr:colOff>
      <xdr:row>15</xdr:row>
      <xdr:rowOff>67235</xdr:rowOff>
    </xdr:to>
    <xdr:sp macro="" textlink="">
      <xdr:nvSpPr>
        <xdr:cNvPr id="18" name="Rectangle 17">
          <a:extLst>
            <a:ext uri="{FF2B5EF4-FFF2-40B4-BE49-F238E27FC236}">
              <a16:creationId xmlns:a16="http://schemas.microsoft.com/office/drawing/2014/main" id="{D94C4065-3040-4DFD-AB96-3555526E94B6}"/>
            </a:ext>
          </a:extLst>
        </xdr:cNvPr>
        <xdr:cNvSpPr/>
      </xdr:nvSpPr>
      <xdr:spPr>
        <a:xfrm>
          <a:off x="9872379" y="2151530"/>
          <a:ext cx="2207561" cy="773205"/>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aseline="0">
              <a:latin typeface="Arial" panose="020B0604020202020204" pitchFamily="34" charset="0"/>
              <a:cs typeface="Arial" panose="020B0604020202020204" pitchFamily="34" charset="0"/>
            </a:rPr>
            <a:t>Chủ Trì Thiết Kế Điện,Cơ</a:t>
          </a:r>
          <a:endParaRPr lang="en-US" sz="1600" baseline="0">
            <a:latin typeface="Arial" panose="020B0604020202020204" pitchFamily="34" charset="0"/>
            <a:cs typeface="Arial" panose="020B0604020202020204" pitchFamily="34" charset="0"/>
          </a:endParaRPr>
        </a:p>
        <a:p>
          <a:pPr algn="ctr"/>
          <a:r>
            <a:rPr lang="en-US" sz="1200" baseline="0">
              <a:latin typeface="Arial" panose="020B0604020202020204" pitchFamily="34" charset="0"/>
              <a:cs typeface="Arial" panose="020B0604020202020204" pitchFamily="34" charset="0"/>
            </a:rPr>
            <a:t>(Nguyễn Văn Trường)</a:t>
          </a:r>
        </a:p>
        <a:p>
          <a:pPr algn="ctr"/>
          <a:r>
            <a:rPr lang="en-US" sz="1200" baseline="0">
              <a:latin typeface="Arial" panose="020B0604020202020204" pitchFamily="34" charset="0"/>
              <a:cs typeface="Arial" panose="020B0604020202020204" pitchFamily="34" charset="0"/>
            </a:rPr>
            <a:t>(2)</a:t>
          </a:r>
          <a:endParaRPr lang="en-US" sz="1100">
            <a:latin typeface="Arial" panose="020B0604020202020204" pitchFamily="34" charset="0"/>
            <a:cs typeface="Arial" panose="020B0604020202020204" pitchFamily="34" charset="0"/>
          </a:endParaRPr>
        </a:p>
      </xdr:txBody>
    </xdr:sp>
    <xdr:clientData/>
  </xdr:twoCellAnchor>
  <xdr:twoCellAnchor>
    <xdr:from>
      <xdr:col>20</xdr:col>
      <xdr:colOff>246526</xdr:colOff>
      <xdr:row>11</xdr:row>
      <xdr:rowOff>56030</xdr:rowOff>
    </xdr:from>
    <xdr:to>
      <xdr:col>24</xdr:col>
      <xdr:colOff>33616</xdr:colOff>
      <xdr:row>15</xdr:row>
      <xdr:rowOff>67235</xdr:rowOff>
    </xdr:to>
    <xdr:sp macro="" textlink="">
      <xdr:nvSpPr>
        <xdr:cNvPr id="23" name="Rectangle 22">
          <a:extLst>
            <a:ext uri="{FF2B5EF4-FFF2-40B4-BE49-F238E27FC236}">
              <a16:creationId xmlns:a16="http://schemas.microsoft.com/office/drawing/2014/main" id="{41780761-2304-4008-808C-B74D6CE9CC75}"/>
            </a:ext>
          </a:extLst>
        </xdr:cNvPr>
        <xdr:cNvSpPr/>
      </xdr:nvSpPr>
      <xdr:spPr>
        <a:xfrm>
          <a:off x="12348879" y="2151530"/>
          <a:ext cx="2207561" cy="773205"/>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aseline="0">
              <a:latin typeface="Arial" panose="020B0604020202020204" pitchFamily="34" charset="0"/>
              <a:cs typeface="Arial" panose="020B0604020202020204" pitchFamily="34" charset="0"/>
            </a:rPr>
            <a:t>Chủ Trì Thiết Kế HVAC</a:t>
          </a:r>
          <a:endParaRPr lang="en-US" sz="1600" baseline="0">
            <a:latin typeface="Arial" panose="020B0604020202020204" pitchFamily="34" charset="0"/>
            <a:cs typeface="Arial" panose="020B0604020202020204" pitchFamily="34" charset="0"/>
          </a:endParaRPr>
        </a:p>
        <a:p>
          <a:pPr algn="ctr"/>
          <a:r>
            <a:rPr lang="en-US" sz="1200" baseline="0">
              <a:latin typeface="Arial" panose="020B0604020202020204" pitchFamily="34" charset="0"/>
              <a:cs typeface="Arial" panose="020B0604020202020204" pitchFamily="34" charset="0"/>
            </a:rPr>
            <a:t>(Nguyễn Trọng Khánh)</a:t>
          </a:r>
        </a:p>
        <a:p>
          <a:pPr algn="ctr"/>
          <a:r>
            <a:rPr lang="en-US" sz="1200" baseline="0">
              <a:latin typeface="Arial" panose="020B0604020202020204" pitchFamily="34" charset="0"/>
              <a:cs typeface="Arial" panose="020B0604020202020204" pitchFamily="34" charset="0"/>
            </a:rPr>
            <a:t>(2)</a:t>
          </a:r>
          <a:endParaRPr lang="en-US" sz="1100">
            <a:latin typeface="Arial" panose="020B0604020202020204" pitchFamily="34" charset="0"/>
            <a:cs typeface="Arial" panose="020B0604020202020204" pitchFamily="34" charset="0"/>
          </a:endParaRPr>
        </a:p>
      </xdr:txBody>
    </xdr:sp>
    <xdr:clientData/>
  </xdr:twoCellAnchor>
  <xdr:twoCellAnchor>
    <xdr:from>
      <xdr:col>14</xdr:col>
      <xdr:colOff>128873</xdr:colOff>
      <xdr:row>7</xdr:row>
      <xdr:rowOff>168088</xdr:rowOff>
    </xdr:from>
    <xdr:to>
      <xdr:col>18</xdr:col>
      <xdr:colOff>84041</xdr:colOff>
      <xdr:row>11</xdr:row>
      <xdr:rowOff>56030</xdr:rowOff>
    </xdr:to>
    <xdr:cxnSp macro="">
      <xdr:nvCxnSpPr>
        <xdr:cNvPr id="25" name="Connector: Elbow 24">
          <a:extLst>
            <a:ext uri="{FF2B5EF4-FFF2-40B4-BE49-F238E27FC236}">
              <a16:creationId xmlns:a16="http://schemas.microsoft.com/office/drawing/2014/main" id="{DBB0E3EC-9502-4D8E-A92A-12020F8664A1}"/>
            </a:ext>
          </a:extLst>
        </xdr:cNvPr>
        <xdr:cNvCxnSpPr>
          <a:stCxn id="3" idx="2"/>
          <a:endCxn id="18" idx="0"/>
        </xdr:cNvCxnSpPr>
      </xdr:nvCxnSpPr>
      <xdr:spPr>
        <a:xfrm rot="16200000" flipH="1">
          <a:off x="9463369" y="638739"/>
          <a:ext cx="649942" cy="2375639"/>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128873</xdr:colOff>
      <xdr:row>7</xdr:row>
      <xdr:rowOff>168088</xdr:rowOff>
    </xdr:from>
    <xdr:to>
      <xdr:col>22</xdr:col>
      <xdr:colOff>140071</xdr:colOff>
      <xdr:row>11</xdr:row>
      <xdr:rowOff>56030</xdr:rowOff>
    </xdr:to>
    <xdr:cxnSp macro="">
      <xdr:nvCxnSpPr>
        <xdr:cNvPr id="27" name="Connector: Elbow 26">
          <a:extLst>
            <a:ext uri="{FF2B5EF4-FFF2-40B4-BE49-F238E27FC236}">
              <a16:creationId xmlns:a16="http://schemas.microsoft.com/office/drawing/2014/main" id="{0C75C152-5427-4732-BE26-1D639E94D234}"/>
            </a:ext>
          </a:extLst>
        </xdr:cNvPr>
        <xdr:cNvCxnSpPr>
          <a:stCxn id="3" idx="2"/>
          <a:endCxn id="23" idx="0"/>
        </xdr:cNvCxnSpPr>
      </xdr:nvCxnSpPr>
      <xdr:spPr>
        <a:xfrm rot="16200000" flipH="1">
          <a:off x="10701619" y="-599511"/>
          <a:ext cx="649942" cy="4852139"/>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324969</xdr:colOff>
      <xdr:row>18</xdr:row>
      <xdr:rowOff>33618</xdr:rowOff>
    </xdr:from>
    <xdr:to>
      <xdr:col>3</xdr:col>
      <xdr:colOff>526677</xdr:colOff>
      <xdr:row>22</xdr:row>
      <xdr:rowOff>44824</xdr:rowOff>
    </xdr:to>
    <xdr:sp macro="" textlink="">
      <xdr:nvSpPr>
        <xdr:cNvPr id="29" name="Rectangle 28">
          <a:extLst>
            <a:ext uri="{FF2B5EF4-FFF2-40B4-BE49-F238E27FC236}">
              <a16:creationId xmlns:a16="http://schemas.microsoft.com/office/drawing/2014/main" id="{9C25E830-4E4F-41FE-8FE5-0FAF3F2A4578}"/>
            </a:ext>
          </a:extLst>
        </xdr:cNvPr>
        <xdr:cNvSpPr/>
      </xdr:nvSpPr>
      <xdr:spPr>
        <a:xfrm>
          <a:off x="324969" y="3462618"/>
          <a:ext cx="2017061" cy="773206"/>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aseline="0">
              <a:latin typeface="Arial" panose="020B0604020202020204" pitchFamily="34" charset="0"/>
              <a:cs typeface="Arial" panose="020B0604020202020204" pitchFamily="34" charset="0"/>
            </a:rPr>
            <a:t>Kĩ sư BIM KT-KC</a:t>
          </a:r>
          <a:endParaRPr lang="en-US" sz="1600" baseline="0">
            <a:latin typeface="Arial" panose="020B0604020202020204" pitchFamily="34" charset="0"/>
            <a:cs typeface="Arial" panose="020B0604020202020204" pitchFamily="34" charset="0"/>
          </a:endParaRPr>
        </a:p>
        <a:p>
          <a:pPr algn="ctr"/>
          <a:r>
            <a:rPr lang="en-US" sz="1200" baseline="0">
              <a:latin typeface="Arial" panose="020B0604020202020204" pitchFamily="34" charset="0"/>
              <a:cs typeface="Arial" panose="020B0604020202020204" pitchFamily="34" charset="0"/>
            </a:rPr>
            <a:t>(14)</a:t>
          </a:r>
          <a:endParaRPr lang="en-US" sz="1100">
            <a:latin typeface="Arial" panose="020B0604020202020204" pitchFamily="34" charset="0"/>
            <a:cs typeface="Arial" panose="020B0604020202020204" pitchFamily="34" charset="0"/>
          </a:endParaRPr>
        </a:p>
      </xdr:txBody>
    </xdr:sp>
    <xdr:clientData/>
  </xdr:twoCellAnchor>
  <xdr:twoCellAnchor>
    <xdr:from>
      <xdr:col>4</xdr:col>
      <xdr:colOff>168086</xdr:colOff>
      <xdr:row>18</xdr:row>
      <xdr:rowOff>33618</xdr:rowOff>
    </xdr:from>
    <xdr:to>
      <xdr:col>8</xdr:col>
      <xdr:colOff>11206</xdr:colOff>
      <xdr:row>22</xdr:row>
      <xdr:rowOff>44823</xdr:rowOff>
    </xdr:to>
    <xdr:sp macro="" textlink="">
      <xdr:nvSpPr>
        <xdr:cNvPr id="31" name="Rectangle 30">
          <a:extLst>
            <a:ext uri="{FF2B5EF4-FFF2-40B4-BE49-F238E27FC236}">
              <a16:creationId xmlns:a16="http://schemas.microsoft.com/office/drawing/2014/main" id="{0F34CFF4-2715-4A04-8788-21CBC78D616B}"/>
            </a:ext>
          </a:extLst>
        </xdr:cNvPr>
        <xdr:cNvSpPr/>
      </xdr:nvSpPr>
      <xdr:spPr>
        <a:xfrm>
          <a:off x="2588557" y="3462618"/>
          <a:ext cx="2263590" cy="77320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aseline="0">
              <a:latin typeface="Arial" panose="020B0604020202020204" pitchFamily="34" charset="0"/>
              <a:cs typeface="Arial" panose="020B0604020202020204" pitchFamily="34" charset="0"/>
            </a:rPr>
            <a:t>Kĩ Sư BIM MEPF</a:t>
          </a:r>
          <a:endParaRPr lang="en-US" sz="1600" baseline="0">
            <a:latin typeface="Arial" panose="020B0604020202020204" pitchFamily="34" charset="0"/>
            <a:cs typeface="Arial" panose="020B0604020202020204" pitchFamily="34" charset="0"/>
          </a:endParaRPr>
        </a:p>
        <a:p>
          <a:pPr algn="ctr"/>
          <a:r>
            <a:rPr lang="en-US" sz="1200" baseline="0">
              <a:latin typeface="Arial" panose="020B0604020202020204" pitchFamily="34" charset="0"/>
              <a:cs typeface="Arial" panose="020B0604020202020204" pitchFamily="34" charset="0"/>
            </a:rPr>
            <a:t>(2)</a:t>
          </a:r>
          <a:endParaRPr lang="en-US" sz="1100">
            <a:latin typeface="Arial" panose="020B0604020202020204" pitchFamily="34" charset="0"/>
            <a:cs typeface="Arial" panose="020B0604020202020204" pitchFamily="34" charset="0"/>
          </a:endParaRPr>
        </a:p>
      </xdr:txBody>
    </xdr:sp>
    <xdr:clientData/>
  </xdr:twoCellAnchor>
  <xdr:twoCellAnchor>
    <xdr:from>
      <xdr:col>8</xdr:col>
      <xdr:colOff>280144</xdr:colOff>
      <xdr:row>18</xdr:row>
      <xdr:rowOff>44824</xdr:rowOff>
    </xdr:from>
    <xdr:to>
      <xdr:col>12</xdr:col>
      <xdr:colOff>22410</xdr:colOff>
      <xdr:row>22</xdr:row>
      <xdr:rowOff>56029</xdr:rowOff>
    </xdr:to>
    <xdr:sp macro="" textlink="">
      <xdr:nvSpPr>
        <xdr:cNvPr id="33" name="Rectangle 32">
          <a:extLst>
            <a:ext uri="{FF2B5EF4-FFF2-40B4-BE49-F238E27FC236}">
              <a16:creationId xmlns:a16="http://schemas.microsoft.com/office/drawing/2014/main" id="{0997B05D-C19D-4B7A-ACD5-3FB2EB4E2983}"/>
            </a:ext>
          </a:extLst>
        </xdr:cNvPr>
        <xdr:cNvSpPr/>
      </xdr:nvSpPr>
      <xdr:spPr>
        <a:xfrm>
          <a:off x="5121085" y="3473824"/>
          <a:ext cx="2162737" cy="77320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aseline="0">
              <a:latin typeface="Arial" panose="020B0604020202020204" pitchFamily="34" charset="0"/>
              <a:cs typeface="Arial" panose="020B0604020202020204" pitchFamily="34" charset="0"/>
            </a:rPr>
            <a:t>Kiến trúc sư </a:t>
          </a:r>
        </a:p>
        <a:p>
          <a:pPr algn="ctr"/>
          <a:r>
            <a:rPr lang="en-US" sz="1200" baseline="0">
              <a:latin typeface="Arial" panose="020B0604020202020204" pitchFamily="34" charset="0"/>
              <a:cs typeface="Arial" panose="020B0604020202020204" pitchFamily="34" charset="0"/>
            </a:rPr>
            <a:t>(1)</a:t>
          </a:r>
          <a:endParaRPr lang="en-US" sz="1100">
            <a:latin typeface="Arial" panose="020B0604020202020204" pitchFamily="34" charset="0"/>
            <a:cs typeface="Arial" panose="020B0604020202020204" pitchFamily="34" charset="0"/>
          </a:endParaRPr>
        </a:p>
      </xdr:txBody>
    </xdr:sp>
    <xdr:clientData/>
  </xdr:twoCellAnchor>
  <xdr:twoCellAnchor>
    <xdr:from>
      <xdr:col>12</xdr:col>
      <xdr:colOff>257733</xdr:colOff>
      <xdr:row>18</xdr:row>
      <xdr:rowOff>22412</xdr:rowOff>
    </xdr:from>
    <xdr:to>
      <xdr:col>16</xdr:col>
      <xdr:colOff>0</xdr:colOff>
      <xdr:row>22</xdr:row>
      <xdr:rowOff>33617</xdr:rowOff>
    </xdr:to>
    <xdr:sp macro="" textlink="">
      <xdr:nvSpPr>
        <xdr:cNvPr id="34" name="Rectangle 33">
          <a:extLst>
            <a:ext uri="{FF2B5EF4-FFF2-40B4-BE49-F238E27FC236}">
              <a16:creationId xmlns:a16="http://schemas.microsoft.com/office/drawing/2014/main" id="{44500769-5BD5-4F84-8737-4CE0DDE33B03}"/>
            </a:ext>
          </a:extLst>
        </xdr:cNvPr>
        <xdr:cNvSpPr/>
      </xdr:nvSpPr>
      <xdr:spPr>
        <a:xfrm>
          <a:off x="7519145" y="3451412"/>
          <a:ext cx="2162737" cy="77320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aseline="0">
              <a:latin typeface="Arial" panose="020B0604020202020204" pitchFamily="34" charset="0"/>
              <a:cs typeface="Arial" panose="020B0604020202020204" pitchFamily="34" charset="0"/>
            </a:rPr>
            <a:t>Kĩ sư TK KC</a:t>
          </a:r>
          <a:endParaRPr lang="en-US" sz="1600" baseline="0">
            <a:latin typeface="Arial" panose="020B0604020202020204" pitchFamily="34" charset="0"/>
            <a:cs typeface="Arial" panose="020B0604020202020204" pitchFamily="34" charset="0"/>
          </a:endParaRPr>
        </a:p>
        <a:p>
          <a:pPr algn="ctr"/>
          <a:r>
            <a:rPr lang="en-US" sz="1200" baseline="0">
              <a:latin typeface="Arial" panose="020B0604020202020204" pitchFamily="34" charset="0"/>
              <a:cs typeface="Arial" panose="020B0604020202020204" pitchFamily="34" charset="0"/>
            </a:rPr>
            <a:t>(2)</a:t>
          </a:r>
          <a:endParaRPr lang="en-US" sz="1100">
            <a:latin typeface="Arial" panose="020B0604020202020204" pitchFamily="34" charset="0"/>
            <a:cs typeface="Arial" panose="020B0604020202020204" pitchFamily="34" charset="0"/>
          </a:endParaRPr>
        </a:p>
      </xdr:txBody>
    </xdr:sp>
    <xdr:clientData/>
  </xdr:twoCellAnchor>
  <xdr:twoCellAnchor>
    <xdr:from>
      <xdr:col>16</xdr:col>
      <xdr:colOff>190497</xdr:colOff>
      <xdr:row>18</xdr:row>
      <xdr:rowOff>11206</xdr:rowOff>
    </xdr:from>
    <xdr:to>
      <xdr:col>19</xdr:col>
      <xdr:colOff>582705</xdr:colOff>
      <xdr:row>22</xdr:row>
      <xdr:rowOff>22411</xdr:rowOff>
    </xdr:to>
    <xdr:sp macro="" textlink="">
      <xdr:nvSpPr>
        <xdr:cNvPr id="36" name="Rectangle 35">
          <a:extLst>
            <a:ext uri="{FF2B5EF4-FFF2-40B4-BE49-F238E27FC236}">
              <a16:creationId xmlns:a16="http://schemas.microsoft.com/office/drawing/2014/main" id="{5212DD3F-3CAF-4A02-991F-CF82DC5E9FA1}"/>
            </a:ext>
          </a:extLst>
        </xdr:cNvPr>
        <xdr:cNvSpPr/>
      </xdr:nvSpPr>
      <xdr:spPr>
        <a:xfrm>
          <a:off x="9872379" y="3440206"/>
          <a:ext cx="2207561" cy="77320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aseline="0">
              <a:latin typeface="Arial" panose="020B0604020202020204" pitchFamily="34" charset="0"/>
              <a:cs typeface="Arial" panose="020B0604020202020204" pitchFamily="34" charset="0"/>
            </a:rPr>
            <a:t>Kĩ Sư TK Cơ-Điện</a:t>
          </a:r>
          <a:endParaRPr lang="en-US" sz="1600" baseline="0">
            <a:latin typeface="Arial" panose="020B0604020202020204" pitchFamily="34" charset="0"/>
            <a:cs typeface="Arial" panose="020B0604020202020204" pitchFamily="34" charset="0"/>
          </a:endParaRPr>
        </a:p>
        <a:p>
          <a:pPr algn="ctr"/>
          <a:r>
            <a:rPr lang="en-US" sz="1200" baseline="0">
              <a:latin typeface="Arial" panose="020B0604020202020204" pitchFamily="34" charset="0"/>
              <a:cs typeface="Arial" panose="020B0604020202020204" pitchFamily="34" charset="0"/>
            </a:rPr>
            <a:t>(1)</a:t>
          </a:r>
          <a:endParaRPr lang="en-US" sz="1100">
            <a:latin typeface="Arial" panose="020B0604020202020204" pitchFamily="34" charset="0"/>
            <a:cs typeface="Arial" panose="020B0604020202020204" pitchFamily="34" charset="0"/>
          </a:endParaRPr>
        </a:p>
      </xdr:txBody>
    </xdr:sp>
    <xdr:clientData/>
  </xdr:twoCellAnchor>
  <xdr:twoCellAnchor>
    <xdr:from>
      <xdr:col>20</xdr:col>
      <xdr:colOff>246527</xdr:colOff>
      <xdr:row>17</xdr:row>
      <xdr:rowOff>179295</xdr:rowOff>
    </xdr:from>
    <xdr:to>
      <xdr:col>24</xdr:col>
      <xdr:colOff>33617</xdr:colOff>
      <xdr:row>22</xdr:row>
      <xdr:rowOff>0</xdr:rowOff>
    </xdr:to>
    <xdr:sp macro="" textlink="">
      <xdr:nvSpPr>
        <xdr:cNvPr id="38" name="Rectangle 37">
          <a:extLst>
            <a:ext uri="{FF2B5EF4-FFF2-40B4-BE49-F238E27FC236}">
              <a16:creationId xmlns:a16="http://schemas.microsoft.com/office/drawing/2014/main" id="{E59260DD-5794-44AA-997D-F618C04F0A87}"/>
            </a:ext>
          </a:extLst>
        </xdr:cNvPr>
        <xdr:cNvSpPr/>
      </xdr:nvSpPr>
      <xdr:spPr>
        <a:xfrm>
          <a:off x="12348880" y="3417795"/>
          <a:ext cx="2207561" cy="77320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aseline="0">
              <a:latin typeface="Arial" panose="020B0604020202020204" pitchFamily="34" charset="0"/>
              <a:cs typeface="Arial" panose="020B0604020202020204" pitchFamily="34" charset="0"/>
            </a:rPr>
            <a:t>Kĩ sư TK HVAC</a:t>
          </a:r>
          <a:endParaRPr lang="en-US" sz="1600" baseline="0">
            <a:latin typeface="Arial" panose="020B0604020202020204" pitchFamily="34" charset="0"/>
            <a:cs typeface="Arial" panose="020B0604020202020204" pitchFamily="34" charset="0"/>
          </a:endParaRPr>
        </a:p>
        <a:p>
          <a:pPr algn="ctr"/>
          <a:r>
            <a:rPr lang="en-US" sz="1200" baseline="0">
              <a:latin typeface="Arial" panose="020B0604020202020204" pitchFamily="34" charset="0"/>
              <a:cs typeface="Arial" panose="020B0604020202020204" pitchFamily="34" charset="0"/>
            </a:rPr>
            <a:t>(1)</a:t>
          </a:r>
          <a:endParaRPr lang="en-US" sz="1100">
            <a:latin typeface="Arial" panose="020B0604020202020204" pitchFamily="34" charset="0"/>
            <a:cs typeface="Arial" panose="020B0604020202020204" pitchFamily="34" charset="0"/>
          </a:endParaRPr>
        </a:p>
      </xdr:txBody>
    </xdr:sp>
    <xdr:clientData/>
  </xdr:twoCellAnchor>
  <xdr:twoCellAnchor>
    <xdr:from>
      <xdr:col>2</xdr:col>
      <xdr:colOff>112059</xdr:colOff>
      <xdr:row>15</xdr:row>
      <xdr:rowOff>67236</xdr:rowOff>
    </xdr:from>
    <xdr:to>
      <xdr:col>2</xdr:col>
      <xdr:colOff>123265</xdr:colOff>
      <xdr:row>18</xdr:row>
      <xdr:rowOff>33618</xdr:rowOff>
    </xdr:to>
    <xdr:cxnSp macro="">
      <xdr:nvCxnSpPr>
        <xdr:cNvPr id="43" name="Straight Arrow Connector 42">
          <a:extLst>
            <a:ext uri="{FF2B5EF4-FFF2-40B4-BE49-F238E27FC236}">
              <a16:creationId xmlns:a16="http://schemas.microsoft.com/office/drawing/2014/main" id="{C7A5AEF4-8E20-41E1-B263-B7BF050D3929}"/>
            </a:ext>
          </a:extLst>
        </xdr:cNvPr>
        <xdr:cNvCxnSpPr>
          <a:stCxn id="5" idx="2"/>
          <a:endCxn id="29" idx="0"/>
        </xdr:cNvCxnSpPr>
      </xdr:nvCxnSpPr>
      <xdr:spPr>
        <a:xfrm>
          <a:off x="1322294" y="2924736"/>
          <a:ext cx="11206" cy="53788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78440</xdr:colOff>
      <xdr:row>15</xdr:row>
      <xdr:rowOff>56029</xdr:rowOff>
    </xdr:from>
    <xdr:to>
      <xdr:col>6</xdr:col>
      <xdr:colOff>89646</xdr:colOff>
      <xdr:row>18</xdr:row>
      <xdr:rowOff>33618</xdr:rowOff>
    </xdr:to>
    <xdr:cxnSp macro="">
      <xdr:nvCxnSpPr>
        <xdr:cNvPr id="45" name="Straight Arrow Connector 44">
          <a:extLst>
            <a:ext uri="{FF2B5EF4-FFF2-40B4-BE49-F238E27FC236}">
              <a16:creationId xmlns:a16="http://schemas.microsoft.com/office/drawing/2014/main" id="{9D712A46-A28A-4151-92DF-CB59313F676F}"/>
            </a:ext>
          </a:extLst>
        </xdr:cNvPr>
        <xdr:cNvCxnSpPr>
          <a:stCxn id="6" idx="2"/>
          <a:endCxn id="31" idx="0"/>
        </xdr:cNvCxnSpPr>
      </xdr:nvCxnSpPr>
      <xdr:spPr>
        <a:xfrm>
          <a:off x="3709146" y="2913529"/>
          <a:ext cx="11206" cy="54908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140072</xdr:colOff>
      <xdr:row>15</xdr:row>
      <xdr:rowOff>56029</xdr:rowOff>
    </xdr:from>
    <xdr:to>
      <xdr:col>10</xdr:col>
      <xdr:colOff>151278</xdr:colOff>
      <xdr:row>18</xdr:row>
      <xdr:rowOff>44824</xdr:rowOff>
    </xdr:to>
    <xdr:cxnSp macro="">
      <xdr:nvCxnSpPr>
        <xdr:cNvPr id="48" name="Straight Arrow Connector 47">
          <a:extLst>
            <a:ext uri="{FF2B5EF4-FFF2-40B4-BE49-F238E27FC236}">
              <a16:creationId xmlns:a16="http://schemas.microsoft.com/office/drawing/2014/main" id="{1770C245-6C48-497B-A160-053DF2E24D24}"/>
            </a:ext>
          </a:extLst>
        </xdr:cNvPr>
        <xdr:cNvCxnSpPr>
          <a:endCxn id="33" idx="0"/>
        </xdr:cNvCxnSpPr>
      </xdr:nvCxnSpPr>
      <xdr:spPr>
        <a:xfrm>
          <a:off x="6191248" y="2913529"/>
          <a:ext cx="11206" cy="5602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123263</xdr:colOff>
      <xdr:row>15</xdr:row>
      <xdr:rowOff>67235</xdr:rowOff>
    </xdr:from>
    <xdr:to>
      <xdr:col>14</xdr:col>
      <xdr:colOff>128867</xdr:colOff>
      <xdr:row>18</xdr:row>
      <xdr:rowOff>22412</xdr:rowOff>
    </xdr:to>
    <xdr:cxnSp macro="">
      <xdr:nvCxnSpPr>
        <xdr:cNvPr id="51" name="Straight Arrow Connector 50">
          <a:extLst>
            <a:ext uri="{FF2B5EF4-FFF2-40B4-BE49-F238E27FC236}">
              <a16:creationId xmlns:a16="http://schemas.microsoft.com/office/drawing/2014/main" id="{982FE3C7-08FE-4BD2-8032-0C48C374C654}"/>
            </a:ext>
          </a:extLst>
        </xdr:cNvPr>
        <xdr:cNvCxnSpPr>
          <a:stCxn id="8" idx="2"/>
          <a:endCxn id="34" idx="0"/>
        </xdr:cNvCxnSpPr>
      </xdr:nvCxnSpPr>
      <xdr:spPr>
        <a:xfrm>
          <a:off x="8594910" y="2924735"/>
          <a:ext cx="5604" cy="52667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84042</xdr:colOff>
      <xdr:row>15</xdr:row>
      <xdr:rowOff>67235</xdr:rowOff>
    </xdr:from>
    <xdr:to>
      <xdr:col>18</xdr:col>
      <xdr:colOff>84042</xdr:colOff>
      <xdr:row>18</xdr:row>
      <xdr:rowOff>11206</xdr:rowOff>
    </xdr:to>
    <xdr:cxnSp macro="">
      <xdr:nvCxnSpPr>
        <xdr:cNvPr id="53" name="Straight Arrow Connector 52">
          <a:extLst>
            <a:ext uri="{FF2B5EF4-FFF2-40B4-BE49-F238E27FC236}">
              <a16:creationId xmlns:a16="http://schemas.microsoft.com/office/drawing/2014/main" id="{07B76196-D8D7-4573-80C8-E4FDABA1CBEB}"/>
            </a:ext>
          </a:extLst>
        </xdr:cNvPr>
        <xdr:cNvCxnSpPr>
          <a:stCxn id="18" idx="2"/>
          <a:endCxn id="36" idx="0"/>
        </xdr:cNvCxnSpPr>
      </xdr:nvCxnSpPr>
      <xdr:spPr>
        <a:xfrm>
          <a:off x="10976160" y="2924735"/>
          <a:ext cx="0" cy="51547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140072</xdr:colOff>
      <xdr:row>15</xdr:row>
      <xdr:rowOff>67235</xdr:rowOff>
    </xdr:from>
    <xdr:to>
      <xdr:col>22</xdr:col>
      <xdr:colOff>140073</xdr:colOff>
      <xdr:row>17</xdr:row>
      <xdr:rowOff>179295</xdr:rowOff>
    </xdr:to>
    <xdr:cxnSp macro="">
      <xdr:nvCxnSpPr>
        <xdr:cNvPr id="55" name="Straight Arrow Connector 54">
          <a:extLst>
            <a:ext uri="{FF2B5EF4-FFF2-40B4-BE49-F238E27FC236}">
              <a16:creationId xmlns:a16="http://schemas.microsoft.com/office/drawing/2014/main" id="{D0257273-E847-4285-967B-D2A3D06D0DD7}"/>
            </a:ext>
          </a:extLst>
        </xdr:cNvPr>
        <xdr:cNvCxnSpPr>
          <a:stCxn id="23" idx="2"/>
          <a:endCxn id="38" idx="0"/>
        </xdr:cNvCxnSpPr>
      </xdr:nvCxnSpPr>
      <xdr:spPr>
        <a:xfrm>
          <a:off x="13452660" y="2924735"/>
          <a:ext cx="1" cy="4930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437024</xdr:colOff>
      <xdr:row>11</xdr:row>
      <xdr:rowOff>56030</xdr:rowOff>
    </xdr:from>
    <xdr:to>
      <xdr:col>28</xdr:col>
      <xdr:colOff>224115</xdr:colOff>
      <xdr:row>15</xdr:row>
      <xdr:rowOff>67235</xdr:rowOff>
    </xdr:to>
    <xdr:sp macro="" textlink="">
      <xdr:nvSpPr>
        <xdr:cNvPr id="63" name="Rectangle 62">
          <a:extLst>
            <a:ext uri="{FF2B5EF4-FFF2-40B4-BE49-F238E27FC236}">
              <a16:creationId xmlns:a16="http://schemas.microsoft.com/office/drawing/2014/main" id="{439951DD-3C96-44FE-9E33-4BB913A24EFE}"/>
            </a:ext>
          </a:extLst>
        </xdr:cNvPr>
        <xdr:cNvSpPr/>
      </xdr:nvSpPr>
      <xdr:spPr>
        <a:xfrm>
          <a:off x="14959848" y="2151530"/>
          <a:ext cx="2207561" cy="77320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aseline="0">
              <a:latin typeface="Arial" panose="020B0604020202020204" pitchFamily="34" charset="0"/>
              <a:cs typeface="Arial" panose="020B0604020202020204" pitchFamily="34" charset="0"/>
            </a:rPr>
            <a:t>Kĩ sư BIM Hạ Tầng</a:t>
          </a:r>
          <a:endParaRPr lang="en-US" sz="1200" baseline="0">
            <a:latin typeface="Arial" panose="020B0604020202020204" pitchFamily="34" charset="0"/>
            <a:cs typeface="Arial" panose="020B0604020202020204" pitchFamily="34" charset="0"/>
          </a:endParaRPr>
        </a:p>
        <a:p>
          <a:pPr algn="ctr"/>
          <a:r>
            <a:rPr lang="en-US" sz="1200" baseline="0">
              <a:latin typeface="Arial" panose="020B0604020202020204" pitchFamily="34" charset="0"/>
              <a:cs typeface="Arial" panose="020B0604020202020204" pitchFamily="34" charset="0"/>
            </a:rPr>
            <a:t>(2)</a:t>
          </a:r>
          <a:endParaRPr lang="en-US" sz="1100">
            <a:latin typeface="Arial" panose="020B0604020202020204" pitchFamily="34" charset="0"/>
            <a:cs typeface="Arial" panose="020B0604020202020204" pitchFamily="34" charset="0"/>
          </a:endParaRPr>
        </a:p>
      </xdr:txBody>
    </xdr:sp>
    <xdr:clientData/>
  </xdr:twoCellAnchor>
  <xdr:twoCellAnchor>
    <xdr:from>
      <xdr:col>14</xdr:col>
      <xdr:colOff>128874</xdr:colOff>
      <xdr:row>7</xdr:row>
      <xdr:rowOff>168088</xdr:rowOff>
    </xdr:from>
    <xdr:to>
      <xdr:col>26</xdr:col>
      <xdr:colOff>330570</xdr:colOff>
      <xdr:row>11</xdr:row>
      <xdr:rowOff>56030</xdr:rowOff>
    </xdr:to>
    <xdr:cxnSp macro="">
      <xdr:nvCxnSpPr>
        <xdr:cNvPr id="67" name="Connector: Elbow 66">
          <a:extLst>
            <a:ext uri="{FF2B5EF4-FFF2-40B4-BE49-F238E27FC236}">
              <a16:creationId xmlns:a16="http://schemas.microsoft.com/office/drawing/2014/main" id="{1B0D4014-645E-48E0-BDA9-E8D5581090DF}"/>
            </a:ext>
          </a:extLst>
        </xdr:cNvPr>
        <xdr:cNvCxnSpPr>
          <a:stCxn id="3" idx="2"/>
          <a:endCxn id="63" idx="0"/>
        </xdr:cNvCxnSpPr>
      </xdr:nvCxnSpPr>
      <xdr:spPr>
        <a:xfrm rot="16200000" flipH="1">
          <a:off x="12007104" y="-1904995"/>
          <a:ext cx="649942" cy="7463108"/>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87085</xdr:colOff>
      <xdr:row>1</xdr:row>
      <xdr:rowOff>337457</xdr:rowOff>
    </xdr:from>
    <xdr:to>
      <xdr:col>2</xdr:col>
      <xdr:colOff>2634601</xdr:colOff>
      <xdr:row>1</xdr:row>
      <xdr:rowOff>1567543</xdr:rowOff>
    </xdr:to>
    <xdr:pic>
      <xdr:nvPicPr>
        <xdr:cNvPr id="2" name="Picture 1">
          <a:extLst>
            <a:ext uri="{FF2B5EF4-FFF2-40B4-BE49-F238E27FC236}">
              <a16:creationId xmlns:a16="http://schemas.microsoft.com/office/drawing/2014/main" id="{053B98AA-6C15-2993-C66A-BEECB5ED033E}"/>
            </a:ext>
          </a:extLst>
        </xdr:cNvPr>
        <xdr:cNvPicPr>
          <a:picLocks noChangeAspect="1"/>
        </xdr:cNvPicPr>
      </xdr:nvPicPr>
      <xdr:blipFill>
        <a:blip xmlns:r="http://schemas.openxmlformats.org/officeDocument/2006/relationships" r:embed="rId1"/>
        <a:stretch>
          <a:fillRect/>
        </a:stretch>
      </xdr:blipFill>
      <xdr:spPr>
        <a:xfrm>
          <a:off x="1284514" y="968828"/>
          <a:ext cx="2547516" cy="12300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200025</xdr:colOff>
      <xdr:row>1</xdr:row>
      <xdr:rowOff>295275</xdr:rowOff>
    </xdr:from>
    <xdr:to>
      <xdr:col>4</xdr:col>
      <xdr:colOff>285750</xdr:colOff>
      <xdr:row>1</xdr:row>
      <xdr:rowOff>904875</xdr:rowOff>
    </xdr:to>
    <xdr:sp macro="" textlink="">
      <xdr:nvSpPr>
        <xdr:cNvPr id="2" name="Oval 1">
          <a:extLst>
            <a:ext uri="{FF2B5EF4-FFF2-40B4-BE49-F238E27FC236}">
              <a16:creationId xmlns:a16="http://schemas.microsoft.com/office/drawing/2014/main" id="{F470F1D5-2A95-4E70-9318-6502F8A83E10}"/>
            </a:ext>
          </a:extLst>
        </xdr:cNvPr>
        <xdr:cNvSpPr/>
      </xdr:nvSpPr>
      <xdr:spPr>
        <a:xfrm>
          <a:off x="1866900" y="866775"/>
          <a:ext cx="1638300" cy="60960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Chuẩn</a:t>
          </a:r>
          <a:r>
            <a:rPr lang="en-US" sz="1400" b="1" baseline="0">
              <a:latin typeface="Arial" panose="020B0604020202020204" pitchFamily="34" charset="0"/>
              <a:cs typeface="Arial" panose="020B0604020202020204" pitchFamily="34" charset="0"/>
            </a:rPr>
            <a:t> bị</a:t>
          </a:r>
          <a:endParaRPr lang="en-US" sz="1400" b="1">
            <a:latin typeface="Arial" panose="020B0604020202020204" pitchFamily="34" charset="0"/>
            <a:cs typeface="Arial" panose="020B0604020202020204" pitchFamily="34" charset="0"/>
          </a:endParaRPr>
        </a:p>
      </xdr:txBody>
    </xdr:sp>
    <xdr:clientData/>
  </xdr:twoCellAnchor>
  <xdr:twoCellAnchor>
    <xdr:from>
      <xdr:col>1</xdr:col>
      <xdr:colOff>552450</xdr:colOff>
      <xdr:row>2</xdr:row>
      <xdr:rowOff>228600</xdr:rowOff>
    </xdr:from>
    <xdr:to>
      <xdr:col>4</xdr:col>
      <xdr:colOff>590549</xdr:colOff>
      <xdr:row>2</xdr:row>
      <xdr:rowOff>771525</xdr:rowOff>
    </xdr:to>
    <xdr:sp macro="" textlink="">
      <xdr:nvSpPr>
        <xdr:cNvPr id="3" name="Rectangle 2">
          <a:extLst>
            <a:ext uri="{FF2B5EF4-FFF2-40B4-BE49-F238E27FC236}">
              <a16:creationId xmlns:a16="http://schemas.microsoft.com/office/drawing/2014/main" id="{A81CF274-D366-420B-8402-38DF971923BC}"/>
            </a:ext>
          </a:extLst>
        </xdr:cNvPr>
        <xdr:cNvSpPr/>
      </xdr:nvSpPr>
      <xdr:spPr>
        <a:xfrm>
          <a:off x="1466850" y="2905125"/>
          <a:ext cx="2343149" cy="542925"/>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Hoạch</a:t>
          </a:r>
          <a:r>
            <a:rPr lang="en-US" sz="1400" b="1" baseline="0">
              <a:latin typeface="Arial" panose="020B0604020202020204" pitchFamily="34" charset="0"/>
              <a:cs typeface="Arial" panose="020B0604020202020204" pitchFamily="34" charset="0"/>
            </a:rPr>
            <a:t> định</a:t>
          </a:r>
          <a:endParaRPr lang="en-US" sz="1400" b="1">
            <a:latin typeface="Arial" panose="020B0604020202020204" pitchFamily="34" charset="0"/>
            <a:cs typeface="Arial" panose="020B0604020202020204" pitchFamily="34" charset="0"/>
          </a:endParaRPr>
        </a:p>
      </xdr:txBody>
    </xdr:sp>
    <xdr:clientData/>
  </xdr:twoCellAnchor>
  <xdr:twoCellAnchor>
    <xdr:from>
      <xdr:col>1</xdr:col>
      <xdr:colOff>552451</xdr:colOff>
      <xdr:row>4</xdr:row>
      <xdr:rowOff>85725</xdr:rowOff>
    </xdr:from>
    <xdr:to>
      <xdr:col>4</xdr:col>
      <xdr:colOff>590551</xdr:colOff>
      <xdr:row>7</xdr:row>
      <xdr:rowOff>57150</xdr:rowOff>
    </xdr:to>
    <xdr:sp macro="" textlink="">
      <xdr:nvSpPr>
        <xdr:cNvPr id="4" name="Rectangle 3">
          <a:extLst>
            <a:ext uri="{FF2B5EF4-FFF2-40B4-BE49-F238E27FC236}">
              <a16:creationId xmlns:a16="http://schemas.microsoft.com/office/drawing/2014/main" id="{BB7A3E74-3879-42E6-B9C7-BF90D294F5D4}"/>
            </a:ext>
          </a:extLst>
        </xdr:cNvPr>
        <xdr:cNvSpPr/>
      </xdr:nvSpPr>
      <xdr:spPr>
        <a:xfrm>
          <a:off x="1466851" y="4200525"/>
          <a:ext cx="2343150" cy="64770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Kế</a:t>
          </a:r>
          <a:r>
            <a:rPr lang="en-US" sz="1400" b="1" baseline="0">
              <a:latin typeface="Arial" panose="020B0604020202020204" pitchFamily="34" charset="0"/>
              <a:cs typeface="Arial" panose="020B0604020202020204" pitchFamily="34" charset="0"/>
            </a:rPr>
            <a:t> hoạch chi tiết</a:t>
          </a:r>
          <a:endParaRPr lang="en-US" sz="1400" b="1">
            <a:latin typeface="Arial" panose="020B0604020202020204" pitchFamily="34" charset="0"/>
            <a:cs typeface="Arial" panose="020B0604020202020204" pitchFamily="34" charset="0"/>
          </a:endParaRPr>
        </a:p>
      </xdr:txBody>
    </xdr:sp>
    <xdr:clientData/>
  </xdr:twoCellAnchor>
  <xdr:twoCellAnchor>
    <xdr:from>
      <xdr:col>1</xdr:col>
      <xdr:colOff>571500</xdr:colOff>
      <xdr:row>9</xdr:row>
      <xdr:rowOff>142875</xdr:rowOff>
    </xdr:from>
    <xdr:to>
      <xdr:col>4</xdr:col>
      <xdr:colOff>647700</xdr:colOff>
      <xdr:row>11</xdr:row>
      <xdr:rowOff>47625</xdr:rowOff>
    </xdr:to>
    <xdr:sp macro="" textlink="">
      <xdr:nvSpPr>
        <xdr:cNvPr id="5" name="Rectangle 4">
          <a:extLst>
            <a:ext uri="{FF2B5EF4-FFF2-40B4-BE49-F238E27FC236}">
              <a16:creationId xmlns:a16="http://schemas.microsoft.com/office/drawing/2014/main" id="{0EA45D39-5DA3-483B-9E28-694625B9001B}"/>
            </a:ext>
          </a:extLst>
        </xdr:cNvPr>
        <xdr:cNvSpPr/>
      </xdr:nvSpPr>
      <xdr:spPr>
        <a:xfrm>
          <a:off x="1485900" y="5800725"/>
          <a:ext cx="2381250" cy="733425"/>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Thực</a:t>
          </a:r>
          <a:r>
            <a:rPr lang="en-US" sz="1400" b="1" baseline="0">
              <a:latin typeface="Arial" panose="020B0604020202020204" pitchFamily="34" charset="0"/>
              <a:cs typeface="Arial" panose="020B0604020202020204" pitchFamily="34" charset="0"/>
            </a:rPr>
            <a:t> thi</a:t>
          </a:r>
          <a:endParaRPr lang="en-US" sz="1400" b="1">
            <a:latin typeface="Arial" panose="020B0604020202020204" pitchFamily="34" charset="0"/>
            <a:cs typeface="Arial" panose="020B0604020202020204" pitchFamily="34" charset="0"/>
          </a:endParaRPr>
        </a:p>
      </xdr:txBody>
    </xdr:sp>
    <xdr:clientData/>
  </xdr:twoCellAnchor>
  <xdr:twoCellAnchor>
    <xdr:from>
      <xdr:col>1</xdr:col>
      <xdr:colOff>590551</xdr:colOff>
      <xdr:row>13</xdr:row>
      <xdr:rowOff>333375</xdr:rowOff>
    </xdr:from>
    <xdr:to>
      <xdr:col>4</xdr:col>
      <xdr:colOff>628651</xdr:colOff>
      <xdr:row>15</xdr:row>
      <xdr:rowOff>409575</xdr:rowOff>
    </xdr:to>
    <xdr:sp macro="" textlink="">
      <xdr:nvSpPr>
        <xdr:cNvPr id="6" name="Rectangle 5">
          <a:extLst>
            <a:ext uri="{FF2B5EF4-FFF2-40B4-BE49-F238E27FC236}">
              <a16:creationId xmlns:a16="http://schemas.microsoft.com/office/drawing/2014/main" id="{2AF46754-D09B-4302-B887-E8210CD839C5}"/>
            </a:ext>
          </a:extLst>
        </xdr:cNvPr>
        <xdr:cNvSpPr/>
      </xdr:nvSpPr>
      <xdr:spPr>
        <a:xfrm>
          <a:off x="1504951" y="7419975"/>
          <a:ext cx="2343150" cy="93345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Kiểm</a:t>
          </a:r>
          <a:r>
            <a:rPr lang="en-US" sz="1400" b="1" baseline="0">
              <a:latin typeface="Arial" panose="020B0604020202020204" pitchFamily="34" charset="0"/>
              <a:cs typeface="Arial" panose="020B0604020202020204" pitchFamily="34" charset="0"/>
            </a:rPr>
            <a:t> soát chất lượng</a:t>
          </a:r>
          <a:endParaRPr lang="en-US" sz="1400" b="1">
            <a:latin typeface="Arial" panose="020B0604020202020204" pitchFamily="34" charset="0"/>
            <a:cs typeface="Arial" panose="020B0604020202020204" pitchFamily="34" charset="0"/>
          </a:endParaRPr>
        </a:p>
      </xdr:txBody>
    </xdr:sp>
    <xdr:clientData/>
  </xdr:twoCellAnchor>
  <xdr:twoCellAnchor>
    <xdr:from>
      <xdr:col>1</xdr:col>
      <xdr:colOff>590551</xdr:colOff>
      <xdr:row>19</xdr:row>
      <xdr:rowOff>57150</xdr:rowOff>
    </xdr:from>
    <xdr:to>
      <xdr:col>4</xdr:col>
      <xdr:colOff>628651</xdr:colOff>
      <xdr:row>24</xdr:row>
      <xdr:rowOff>38100</xdr:rowOff>
    </xdr:to>
    <xdr:sp macro="" textlink="">
      <xdr:nvSpPr>
        <xdr:cNvPr id="7" name="Rectangle 6">
          <a:extLst>
            <a:ext uri="{FF2B5EF4-FFF2-40B4-BE49-F238E27FC236}">
              <a16:creationId xmlns:a16="http://schemas.microsoft.com/office/drawing/2014/main" id="{17F2B27E-BCEE-418A-92F4-B83BD3331A32}"/>
            </a:ext>
          </a:extLst>
        </xdr:cNvPr>
        <xdr:cNvSpPr/>
      </xdr:nvSpPr>
      <xdr:spPr>
        <a:xfrm>
          <a:off x="1504951" y="9086850"/>
          <a:ext cx="2343150" cy="981075"/>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Phát</a:t>
          </a:r>
          <a:r>
            <a:rPr lang="en-US" sz="1400" b="1" baseline="0">
              <a:latin typeface="Arial" panose="020B0604020202020204" pitchFamily="34" charset="0"/>
              <a:cs typeface="Arial" panose="020B0604020202020204" pitchFamily="34" charset="0"/>
            </a:rPr>
            <a:t> hành</a:t>
          </a:r>
          <a:endParaRPr lang="en-US" sz="1400" b="1">
            <a:latin typeface="Arial" panose="020B0604020202020204" pitchFamily="34" charset="0"/>
            <a:cs typeface="Arial" panose="020B0604020202020204" pitchFamily="34" charset="0"/>
          </a:endParaRPr>
        </a:p>
      </xdr:txBody>
    </xdr:sp>
    <xdr:clientData/>
  </xdr:twoCellAnchor>
  <xdr:twoCellAnchor>
    <xdr:from>
      <xdr:col>3</xdr:col>
      <xdr:colOff>138114</xdr:colOff>
      <xdr:row>1</xdr:row>
      <xdr:rowOff>919162</xdr:rowOff>
    </xdr:from>
    <xdr:to>
      <xdr:col>3</xdr:col>
      <xdr:colOff>347664</xdr:colOff>
      <xdr:row>2</xdr:row>
      <xdr:rowOff>204787</xdr:rowOff>
    </xdr:to>
    <xdr:sp macro="" textlink="">
      <xdr:nvSpPr>
        <xdr:cNvPr id="8" name="Arrow: Left 7">
          <a:extLst>
            <a:ext uri="{FF2B5EF4-FFF2-40B4-BE49-F238E27FC236}">
              <a16:creationId xmlns:a16="http://schemas.microsoft.com/office/drawing/2014/main" id="{6945B863-23AE-42FE-A9EC-9C704D853859}"/>
            </a:ext>
          </a:extLst>
        </xdr:cNvPr>
        <xdr:cNvSpPr/>
      </xdr:nvSpPr>
      <xdr:spPr>
        <a:xfrm rot="16200000">
          <a:off x="1976439" y="2081212"/>
          <a:ext cx="1390650" cy="209550"/>
        </a:xfrm>
        <a:prstGeom prst="leftArrow">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157165</xdr:colOff>
      <xdr:row>2</xdr:row>
      <xdr:rowOff>757237</xdr:rowOff>
    </xdr:from>
    <xdr:to>
      <xdr:col>3</xdr:col>
      <xdr:colOff>352428</xdr:colOff>
      <xdr:row>4</xdr:row>
      <xdr:rowOff>76199</xdr:rowOff>
    </xdr:to>
    <xdr:sp macro="" textlink="">
      <xdr:nvSpPr>
        <xdr:cNvPr id="9" name="Arrow: Left 8">
          <a:extLst>
            <a:ext uri="{FF2B5EF4-FFF2-40B4-BE49-F238E27FC236}">
              <a16:creationId xmlns:a16="http://schemas.microsoft.com/office/drawing/2014/main" id="{AA43175F-E803-4EF2-8C23-00ADC22D81E4}"/>
            </a:ext>
          </a:extLst>
        </xdr:cNvPr>
        <xdr:cNvSpPr/>
      </xdr:nvSpPr>
      <xdr:spPr>
        <a:xfrm rot="16200000">
          <a:off x="2305053" y="3714749"/>
          <a:ext cx="757237" cy="195263"/>
        </a:xfrm>
        <a:prstGeom prst="leftArrow">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157165</xdr:colOff>
      <xdr:row>7</xdr:row>
      <xdr:rowOff>71436</xdr:rowOff>
    </xdr:from>
    <xdr:to>
      <xdr:col>3</xdr:col>
      <xdr:colOff>371475</xdr:colOff>
      <xdr:row>9</xdr:row>
      <xdr:rowOff>123824</xdr:rowOff>
    </xdr:to>
    <xdr:sp macro="" textlink="">
      <xdr:nvSpPr>
        <xdr:cNvPr id="10" name="Arrow: Left 9">
          <a:extLst>
            <a:ext uri="{FF2B5EF4-FFF2-40B4-BE49-F238E27FC236}">
              <a16:creationId xmlns:a16="http://schemas.microsoft.com/office/drawing/2014/main" id="{731522B7-E641-41F8-86D5-A049D0B90E38}"/>
            </a:ext>
          </a:extLst>
        </xdr:cNvPr>
        <xdr:cNvSpPr/>
      </xdr:nvSpPr>
      <xdr:spPr>
        <a:xfrm rot="16200000">
          <a:off x="2233613" y="5214938"/>
          <a:ext cx="919163" cy="214310"/>
        </a:xfrm>
        <a:prstGeom prst="leftArrow">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138116</xdr:colOff>
      <xdr:row>11</xdr:row>
      <xdr:rowOff>61912</xdr:rowOff>
    </xdr:from>
    <xdr:to>
      <xdr:col>3</xdr:col>
      <xdr:colOff>371478</xdr:colOff>
      <xdr:row>13</xdr:row>
      <xdr:rowOff>333375</xdr:rowOff>
    </xdr:to>
    <xdr:sp macro="" textlink="">
      <xdr:nvSpPr>
        <xdr:cNvPr id="11" name="Arrow: Left 10">
          <a:extLst>
            <a:ext uri="{FF2B5EF4-FFF2-40B4-BE49-F238E27FC236}">
              <a16:creationId xmlns:a16="http://schemas.microsoft.com/office/drawing/2014/main" id="{B3CAE274-FE57-4E1C-95D2-AF4EE17DD3CE}"/>
            </a:ext>
          </a:extLst>
        </xdr:cNvPr>
        <xdr:cNvSpPr/>
      </xdr:nvSpPr>
      <xdr:spPr>
        <a:xfrm rot="16200000">
          <a:off x="2247903" y="6867525"/>
          <a:ext cx="871538" cy="233362"/>
        </a:xfrm>
        <a:prstGeom prst="leftArrow">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209550</xdr:colOff>
      <xdr:row>28</xdr:row>
      <xdr:rowOff>57150</xdr:rowOff>
    </xdr:from>
    <xdr:to>
      <xdr:col>4</xdr:col>
      <xdr:colOff>295275</xdr:colOff>
      <xdr:row>31</xdr:row>
      <xdr:rowOff>95250</xdr:rowOff>
    </xdr:to>
    <xdr:sp macro="" textlink="">
      <xdr:nvSpPr>
        <xdr:cNvPr id="12" name="Oval 11">
          <a:extLst>
            <a:ext uri="{FF2B5EF4-FFF2-40B4-BE49-F238E27FC236}">
              <a16:creationId xmlns:a16="http://schemas.microsoft.com/office/drawing/2014/main" id="{2F60E78C-806E-4B28-993D-93DF6E7C0AC8}"/>
            </a:ext>
          </a:extLst>
        </xdr:cNvPr>
        <xdr:cNvSpPr/>
      </xdr:nvSpPr>
      <xdr:spPr>
        <a:xfrm>
          <a:off x="1876425" y="10877550"/>
          <a:ext cx="1638300" cy="6381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Kết</a:t>
          </a:r>
          <a:r>
            <a:rPr lang="en-US" sz="1400" b="1" baseline="0">
              <a:latin typeface="Arial" panose="020B0604020202020204" pitchFamily="34" charset="0"/>
              <a:cs typeface="Arial" panose="020B0604020202020204" pitchFamily="34" charset="0"/>
            </a:rPr>
            <a:t> thúc</a:t>
          </a:r>
          <a:endParaRPr lang="en-US" sz="1400" b="1">
            <a:latin typeface="Arial" panose="020B0604020202020204" pitchFamily="34" charset="0"/>
            <a:cs typeface="Arial" panose="020B0604020202020204" pitchFamily="34" charset="0"/>
          </a:endParaRPr>
        </a:p>
      </xdr:txBody>
    </xdr:sp>
    <xdr:clientData/>
  </xdr:twoCellAnchor>
  <xdr:twoCellAnchor>
    <xdr:from>
      <xdr:col>3</xdr:col>
      <xdr:colOff>119066</xdr:colOff>
      <xdr:row>15</xdr:row>
      <xdr:rowOff>419100</xdr:rowOff>
    </xdr:from>
    <xdr:to>
      <xdr:col>3</xdr:col>
      <xdr:colOff>361950</xdr:colOff>
      <xdr:row>19</xdr:row>
      <xdr:rowOff>76200</xdr:rowOff>
    </xdr:to>
    <xdr:sp macro="" textlink="">
      <xdr:nvSpPr>
        <xdr:cNvPr id="13" name="Arrow: Left 12">
          <a:extLst>
            <a:ext uri="{FF2B5EF4-FFF2-40B4-BE49-F238E27FC236}">
              <a16:creationId xmlns:a16="http://schemas.microsoft.com/office/drawing/2014/main" id="{51513F35-F480-45BE-A1A8-EF475A2591BB}"/>
            </a:ext>
          </a:extLst>
        </xdr:cNvPr>
        <xdr:cNvSpPr/>
      </xdr:nvSpPr>
      <xdr:spPr>
        <a:xfrm rot="16200000">
          <a:off x="2297908" y="8612983"/>
          <a:ext cx="742950" cy="242884"/>
        </a:xfrm>
        <a:prstGeom prst="leftArrow">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119066</xdr:colOff>
      <xdr:row>24</xdr:row>
      <xdr:rowOff>47624</xdr:rowOff>
    </xdr:from>
    <xdr:to>
      <xdr:col>3</xdr:col>
      <xdr:colOff>342900</xdr:colOff>
      <xdr:row>28</xdr:row>
      <xdr:rowOff>57149</xdr:rowOff>
    </xdr:to>
    <xdr:sp macro="" textlink="">
      <xdr:nvSpPr>
        <xdr:cNvPr id="14" name="Arrow: Left 13">
          <a:extLst>
            <a:ext uri="{FF2B5EF4-FFF2-40B4-BE49-F238E27FC236}">
              <a16:creationId xmlns:a16="http://schemas.microsoft.com/office/drawing/2014/main" id="{5DA6C62C-CDD9-4221-93FA-35B9970EF93D}"/>
            </a:ext>
          </a:extLst>
        </xdr:cNvPr>
        <xdr:cNvSpPr/>
      </xdr:nvSpPr>
      <xdr:spPr>
        <a:xfrm rot="16200000">
          <a:off x="2259808" y="10365582"/>
          <a:ext cx="800100" cy="223834"/>
        </a:xfrm>
        <a:prstGeom prst="leftArrow">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600075</xdr:colOff>
      <xdr:row>2</xdr:row>
      <xdr:rowOff>352424</xdr:rowOff>
    </xdr:from>
    <xdr:to>
      <xdr:col>5</xdr:col>
      <xdr:colOff>447675</xdr:colOff>
      <xdr:row>6</xdr:row>
      <xdr:rowOff>61912</xdr:rowOff>
    </xdr:to>
    <xdr:sp macro="" textlink="">
      <xdr:nvSpPr>
        <xdr:cNvPr id="15" name="Arrow: U-Turn 14">
          <a:extLst>
            <a:ext uri="{FF2B5EF4-FFF2-40B4-BE49-F238E27FC236}">
              <a16:creationId xmlns:a16="http://schemas.microsoft.com/office/drawing/2014/main" id="{558343E2-589B-46D4-97EB-5DAF80702DB3}"/>
            </a:ext>
          </a:extLst>
        </xdr:cNvPr>
        <xdr:cNvSpPr/>
      </xdr:nvSpPr>
      <xdr:spPr>
        <a:xfrm rot="5400000" flipH="1">
          <a:off x="3340893" y="3507581"/>
          <a:ext cx="1547813" cy="590550"/>
        </a:xfrm>
        <a:prstGeom prst="uturnArrow">
          <a:avLst>
            <a:gd name="adj1" fmla="val 10294"/>
            <a:gd name="adj2" fmla="val 25000"/>
            <a:gd name="adj3" fmla="val 31518"/>
            <a:gd name="adj4" fmla="val 40074"/>
            <a:gd name="adj5" fmla="val 100000"/>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4</xdr:col>
      <xdr:colOff>657224</xdr:colOff>
      <xdr:row>9</xdr:row>
      <xdr:rowOff>342898</xdr:rowOff>
    </xdr:from>
    <xdr:to>
      <xdr:col>5</xdr:col>
      <xdr:colOff>466725</xdr:colOff>
      <xdr:row>14</xdr:row>
      <xdr:rowOff>385761</xdr:rowOff>
    </xdr:to>
    <xdr:sp macro="" textlink="">
      <xdr:nvSpPr>
        <xdr:cNvPr id="16" name="Arrow: U-Turn 15">
          <a:extLst>
            <a:ext uri="{FF2B5EF4-FFF2-40B4-BE49-F238E27FC236}">
              <a16:creationId xmlns:a16="http://schemas.microsoft.com/office/drawing/2014/main" id="{062F4E0F-2CCA-4081-851E-011C9F3F8916}"/>
            </a:ext>
          </a:extLst>
        </xdr:cNvPr>
        <xdr:cNvSpPr/>
      </xdr:nvSpPr>
      <xdr:spPr>
        <a:xfrm rot="5400000" flipH="1">
          <a:off x="3188493" y="6688929"/>
          <a:ext cx="1928813" cy="552451"/>
        </a:xfrm>
        <a:prstGeom prst="uturnArrow">
          <a:avLst>
            <a:gd name="adj1" fmla="val 10294"/>
            <a:gd name="adj2" fmla="val 25000"/>
            <a:gd name="adj3" fmla="val 31518"/>
            <a:gd name="adj4" fmla="val 40074"/>
            <a:gd name="adj5" fmla="val 100000"/>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xdr:col>
      <xdr:colOff>57152</xdr:colOff>
      <xdr:row>9</xdr:row>
      <xdr:rowOff>342898</xdr:rowOff>
    </xdr:from>
    <xdr:to>
      <xdr:col>1</xdr:col>
      <xdr:colOff>581025</xdr:colOff>
      <xdr:row>21</xdr:row>
      <xdr:rowOff>138111</xdr:rowOff>
    </xdr:to>
    <xdr:sp macro="" textlink="">
      <xdr:nvSpPr>
        <xdr:cNvPr id="17" name="Arrow: U-Turn 16">
          <a:extLst>
            <a:ext uri="{FF2B5EF4-FFF2-40B4-BE49-F238E27FC236}">
              <a16:creationId xmlns:a16="http://schemas.microsoft.com/office/drawing/2014/main" id="{D283AAF0-1BC2-4649-96C7-5F9C802A39D4}"/>
            </a:ext>
          </a:extLst>
        </xdr:cNvPr>
        <xdr:cNvSpPr/>
      </xdr:nvSpPr>
      <xdr:spPr>
        <a:xfrm rot="5400000" flipH="1" flipV="1">
          <a:off x="-550068" y="7522368"/>
          <a:ext cx="3567113" cy="523873"/>
        </a:xfrm>
        <a:prstGeom prst="uturnArrow">
          <a:avLst>
            <a:gd name="adj1" fmla="val 10294"/>
            <a:gd name="adj2" fmla="val 25000"/>
            <a:gd name="adj3" fmla="val 31518"/>
            <a:gd name="adj4" fmla="val 40074"/>
            <a:gd name="adj5" fmla="val 100000"/>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oneCellAnchor>
    <xdr:from>
      <xdr:col>5</xdr:col>
      <xdr:colOff>83980</xdr:colOff>
      <xdr:row>2</xdr:row>
      <xdr:rowOff>662590</xdr:rowOff>
    </xdr:from>
    <xdr:ext cx="298800" cy="1092030"/>
    <xdr:sp macro="" textlink="">
      <xdr:nvSpPr>
        <xdr:cNvPr id="18" name="TextBox 17">
          <a:extLst>
            <a:ext uri="{FF2B5EF4-FFF2-40B4-BE49-F238E27FC236}">
              <a16:creationId xmlns:a16="http://schemas.microsoft.com/office/drawing/2014/main" id="{0CEC97DC-528C-4FAF-9474-6B1A357AC6B9}"/>
            </a:ext>
          </a:extLst>
        </xdr:cNvPr>
        <xdr:cNvSpPr txBox="1"/>
      </xdr:nvSpPr>
      <xdr:spPr>
        <a:xfrm rot="16200000">
          <a:off x="3649765" y="3735730"/>
          <a:ext cx="109203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anose="020B0604020202020204" pitchFamily="34" charset="0"/>
              <a:cs typeface="Arial" panose="020B0604020202020204" pitchFamily="34" charset="0"/>
            </a:rPr>
            <a:t>Không</a:t>
          </a:r>
          <a:r>
            <a:rPr lang="en-US" sz="1400" b="1" baseline="0">
              <a:latin typeface="Arial" panose="020B0604020202020204" pitchFamily="34" charset="0"/>
              <a:cs typeface="Arial" panose="020B0604020202020204" pitchFamily="34" charset="0"/>
            </a:rPr>
            <a:t> Đạt</a:t>
          </a:r>
          <a:endParaRPr lang="en-US" sz="1100" b="1">
            <a:latin typeface="Arial" panose="020B0604020202020204" pitchFamily="34" charset="0"/>
            <a:cs typeface="Arial" panose="020B0604020202020204" pitchFamily="34" charset="0"/>
          </a:endParaRPr>
        </a:p>
      </xdr:txBody>
    </xdr:sp>
    <xdr:clientData/>
  </xdr:oneCellAnchor>
  <xdr:oneCellAnchor>
    <xdr:from>
      <xdr:col>5</xdr:col>
      <xdr:colOff>112555</xdr:colOff>
      <xdr:row>10</xdr:row>
      <xdr:rowOff>357790</xdr:rowOff>
    </xdr:from>
    <xdr:ext cx="298800" cy="1092030"/>
    <xdr:sp macro="" textlink="">
      <xdr:nvSpPr>
        <xdr:cNvPr id="19" name="TextBox 18">
          <a:extLst>
            <a:ext uri="{FF2B5EF4-FFF2-40B4-BE49-F238E27FC236}">
              <a16:creationId xmlns:a16="http://schemas.microsoft.com/office/drawing/2014/main" id="{134B7289-964C-4F93-BE64-A9F4AA7271DD}"/>
            </a:ext>
          </a:extLst>
        </xdr:cNvPr>
        <xdr:cNvSpPr txBox="1"/>
      </xdr:nvSpPr>
      <xdr:spPr>
        <a:xfrm rot="16200000">
          <a:off x="3678340" y="6859930"/>
          <a:ext cx="109203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anose="020B0604020202020204" pitchFamily="34" charset="0"/>
              <a:cs typeface="Arial" panose="020B0604020202020204" pitchFamily="34" charset="0"/>
            </a:rPr>
            <a:t>Không</a:t>
          </a:r>
          <a:r>
            <a:rPr lang="en-US" sz="1400" b="1" baseline="0">
              <a:latin typeface="Arial" panose="020B0604020202020204" pitchFamily="34" charset="0"/>
              <a:cs typeface="Arial" panose="020B0604020202020204" pitchFamily="34" charset="0"/>
            </a:rPr>
            <a:t> Đạt</a:t>
          </a:r>
          <a:endParaRPr lang="en-US" sz="1100" b="1">
            <a:latin typeface="Arial" panose="020B0604020202020204" pitchFamily="34" charset="0"/>
            <a:cs typeface="Arial" panose="020B0604020202020204" pitchFamily="34" charset="0"/>
          </a:endParaRPr>
        </a:p>
      </xdr:txBody>
    </xdr:sp>
    <xdr:clientData/>
  </xdr:oneCellAnchor>
  <xdr:oneCellAnchor>
    <xdr:from>
      <xdr:col>1</xdr:col>
      <xdr:colOff>141130</xdr:colOff>
      <xdr:row>12</xdr:row>
      <xdr:rowOff>243490</xdr:rowOff>
    </xdr:from>
    <xdr:ext cx="298800" cy="1092030"/>
    <xdr:sp macro="" textlink="">
      <xdr:nvSpPr>
        <xdr:cNvPr id="20" name="TextBox 19">
          <a:extLst>
            <a:ext uri="{FF2B5EF4-FFF2-40B4-BE49-F238E27FC236}">
              <a16:creationId xmlns:a16="http://schemas.microsoft.com/office/drawing/2014/main" id="{F12BF255-41DA-415B-AEF1-B5A84098B919}"/>
            </a:ext>
          </a:extLst>
        </xdr:cNvPr>
        <xdr:cNvSpPr txBox="1"/>
      </xdr:nvSpPr>
      <xdr:spPr>
        <a:xfrm rot="16200000">
          <a:off x="658915" y="7440955"/>
          <a:ext cx="109203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anose="020B0604020202020204" pitchFamily="34" charset="0"/>
              <a:cs typeface="Arial" panose="020B0604020202020204" pitchFamily="34" charset="0"/>
            </a:rPr>
            <a:t>Không</a:t>
          </a:r>
          <a:r>
            <a:rPr lang="en-US" sz="1400" b="1" baseline="0">
              <a:latin typeface="Arial" panose="020B0604020202020204" pitchFamily="34" charset="0"/>
              <a:cs typeface="Arial" panose="020B0604020202020204" pitchFamily="34" charset="0"/>
            </a:rPr>
            <a:t> Đạt</a:t>
          </a:r>
          <a:endParaRPr lang="en-US" sz="1100" b="1">
            <a:latin typeface="Arial" panose="020B0604020202020204" pitchFamily="34" charset="0"/>
            <a:cs typeface="Arial" panose="020B0604020202020204" pitchFamily="34" charset="0"/>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2</xdr:col>
      <xdr:colOff>200025</xdr:colOff>
      <xdr:row>1</xdr:row>
      <xdr:rowOff>295275</xdr:rowOff>
    </xdr:from>
    <xdr:to>
      <xdr:col>4</xdr:col>
      <xdr:colOff>285750</xdr:colOff>
      <xdr:row>1</xdr:row>
      <xdr:rowOff>904875</xdr:rowOff>
    </xdr:to>
    <xdr:sp macro="" textlink="">
      <xdr:nvSpPr>
        <xdr:cNvPr id="2" name="Oval 1">
          <a:extLst>
            <a:ext uri="{FF2B5EF4-FFF2-40B4-BE49-F238E27FC236}">
              <a16:creationId xmlns:a16="http://schemas.microsoft.com/office/drawing/2014/main" id="{1EDF6CFB-9592-4CBE-BF3D-13FE50DFA455}"/>
            </a:ext>
          </a:extLst>
        </xdr:cNvPr>
        <xdr:cNvSpPr/>
      </xdr:nvSpPr>
      <xdr:spPr>
        <a:xfrm>
          <a:off x="1866900" y="866775"/>
          <a:ext cx="1638300" cy="60960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Chuẩn</a:t>
          </a:r>
          <a:r>
            <a:rPr lang="en-US" sz="1400" b="1" baseline="0">
              <a:latin typeface="Arial" panose="020B0604020202020204" pitchFamily="34" charset="0"/>
              <a:cs typeface="Arial" panose="020B0604020202020204" pitchFamily="34" charset="0"/>
            </a:rPr>
            <a:t> bị</a:t>
          </a:r>
          <a:endParaRPr lang="en-US" sz="1400" b="1">
            <a:latin typeface="Arial" panose="020B0604020202020204" pitchFamily="34" charset="0"/>
            <a:cs typeface="Arial" panose="020B0604020202020204" pitchFamily="34" charset="0"/>
          </a:endParaRPr>
        </a:p>
      </xdr:txBody>
    </xdr:sp>
    <xdr:clientData/>
  </xdr:twoCellAnchor>
  <xdr:twoCellAnchor>
    <xdr:from>
      <xdr:col>1</xdr:col>
      <xdr:colOff>552450</xdr:colOff>
      <xdr:row>2</xdr:row>
      <xdr:rowOff>219075</xdr:rowOff>
    </xdr:from>
    <xdr:to>
      <xdr:col>4</xdr:col>
      <xdr:colOff>590549</xdr:colOff>
      <xdr:row>2</xdr:row>
      <xdr:rowOff>762000</xdr:rowOff>
    </xdr:to>
    <xdr:sp macro="" textlink="">
      <xdr:nvSpPr>
        <xdr:cNvPr id="3" name="Rectangle 2">
          <a:extLst>
            <a:ext uri="{FF2B5EF4-FFF2-40B4-BE49-F238E27FC236}">
              <a16:creationId xmlns:a16="http://schemas.microsoft.com/office/drawing/2014/main" id="{8915FE30-D527-4C0E-802B-CE52EC233C1F}"/>
            </a:ext>
          </a:extLst>
        </xdr:cNvPr>
        <xdr:cNvSpPr/>
      </xdr:nvSpPr>
      <xdr:spPr>
        <a:xfrm>
          <a:off x="1466850" y="2638425"/>
          <a:ext cx="2343149" cy="542925"/>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Hoạch</a:t>
          </a:r>
          <a:r>
            <a:rPr lang="en-US" sz="1400" b="1" baseline="0">
              <a:latin typeface="Arial" panose="020B0604020202020204" pitchFamily="34" charset="0"/>
              <a:cs typeface="Arial" panose="020B0604020202020204" pitchFamily="34" charset="0"/>
            </a:rPr>
            <a:t> định</a:t>
          </a:r>
          <a:endParaRPr lang="en-US" sz="1400" b="1">
            <a:latin typeface="Arial" panose="020B0604020202020204" pitchFamily="34" charset="0"/>
            <a:cs typeface="Arial" panose="020B0604020202020204" pitchFamily="34" charset="0"/>
          </a:endParaRPr>
        </a:p>
      </xdr:txBody>
    </xdr:sp>
    <xdr:clientData/>
  </xdr:twoCellAnchor>
  <xdr:twoCellAnchor>
    <xdr:from>
      <xdr:col>1</xdr:col>
      <xdr:colOff>552451</xdr:colOff>
      <xdr:row>4</xdr:row>
      <xdr:rowOff>85725</xdr:rowOff>
    </xdr:from>
    <xdr:to>
      <xdr:col>4</xdr:col>
      <xdr:colOff>590551</xdr:colOff>
      <xdr:row>7</xdr:row>
      <xdr:rowOff>57150</xdr:rowOff>
    </xdr:to>
    <xdr:sp macro="" textlink="">
      <xdr:nvSpPr>
        <xdr:cNvPr id="4" name="Rectangle 3">
          <a:extLst>
            <a:ext uri="{FF2B5EF4-FFF2-40B4-BE49-F238E27FC236}">
              <a16:creationId xmlns:a16="http://schemas.microsoft.com/office/drawing/2014/main" id="{DFD2290F-FD55-4AEA-9592-DF64F94502DB}"/>
            </a:ext>
          </a:extLst>
        </xdr:cNvPr>
        <xdr:cNvSpPr/>
      </xdr:nvSpPr>
      <xdr:spPr>
        <a:xfrm>
          <a:off x="1466851" y="4305300"/>
          <a:ext cx="2343150" cy="64770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Kế</a:t>
          </a:r>
          <a:r>
            <a:rPr lang="en-US" sz="1400" b="1" baseline="0">
              <a:latin typeface="Arial" panose="020B0604020202020204" pitchFamily="34" charset="0"/>
              <a:cs typeface="Arial" panose="020B0604020202020204" pitchFamily="34" charset="0"/>
            </a:rPr>
            <a:t> hoạch chi tiết</a:t>
          </a:r>
          <a:endParaRPr lang="en-US" sz="1400" b="1">
            <a:latin typeface="Arial" panose="020B0604020202020204" pitchFamily="34" charset="0"/>
            <a:cs typeface="Arial" panose="020B0604020202020204" pitchFamily="34" charset="0"/>
          </a:endParaRPr>
        </a:p>
      </xdr:txBody>
    </xdr:sp>
    <xdr:clientData/>
  </xdr:twoCellAnchor>
  <xdr:twoCellAnchor>
    <xdr:from>
      <xdr:col>1</xdr:col>
      <xdr:colOff>571500</xdr:colOff>
      <xdr:row>9</xdr:row>
      <xdr:rowOff>142875</xdr:rowOff>
    </xdr:from>
    <xdr:to>
      <xdr:col>4</xdr:col>
      <xdr:colOff>647700</xdr:colOff>
      <xdr:row>11</xdr:row>
      <xdr:rowOff>47625</xdr:rowOff>
    </xdr:to>
    <xdr:sp macro="" textlink="">
      <xdr:nvSpPr>
        <xdr:cNvPr id="5" name="Rectangle 4">
          <a:extLst>
            <a:ext uri="{FF2B5EF4-FFF2-40B4-BE49-F238E27FC236}">
              <a16:creationId xmlns:a16="http://schemas.microsoft.com/office/drawing/2014/main" id="{1ED3E4FE-121C-48AA-8A7B-7D8E9900E79E}"/>
            </a:ext>
          </a:extLst>
        </xdr:cNvPr>
        <xdr:cNvSpPr/>
      </xdr:nvSpPr>
      <xdr:spPr>
        <a:xfrm>
          <a:off x="1485900" y="5905500"/>
          <a:ext cx="2381250" cy="733425"/>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Thực</a:t>
          </a:r>
          <a:r>
            <a:rPr lang="en-US" sz="1400" b="1" baseline="0">
              <a:latin typeface="Arial" panose="020B0604020202020204" pitchFamily="34" charset="0"/>
              <a:cs typeface="Arial" panose="020B0604020202020204" pitchFamily="34" charset="0"/>
            </a:rPr>
            <a:t> thi</a:t>
          </a:r>
          <a:endParaRPr lang="en-US" sz="1400" b="1">
            <a:latin typeface="Arial" panose="020B0604020202020204" pitchFamily="34" charset="0"/>
            <a:cs typeface="Arial" panose="020B0604020202020204" pitchFamily="34" charset="0"/>
          </a:endParaRPr>
        </a:p>
      </xdr:txBody>
    </xdr:sp>
    <xdr:clientData/>
  </xdr:twoCellAnchor>
  <xdr:twoCellAnchor>
    <xdr:from>
      <xdr:col>1</xdr:col>
      <xdr:colOff>590551</xdr:colOff>
      <xdr:row>13</xdr:row>
      <xdr:rowOff>333375</xdr:rowOff>
    </xdr:from>
    <xdr:to>
      <xdr:col>4</xdr:col>
      <xdr:colOff>628651</xdr:colOff>
      <xdr:row>15</xdr:row>
      <xdr:rowOff>409575</xdr:rowOff>
    </xdr:to>
    <xdr:sp macro="" textlink="">
      <xdr:nvSpPr>
        <xdr:cNvPr id="6" name="Rectangle 5">
          <a:extLst>
            <a:ext uri="{FF2B5EF4-FFF2-40B4-BE49-F238E27FC236}">
              <a16:creationId xmlns:a16="http://schemas.microsoft.com/office/drawing/2014/main" id="{EDF5D22E-3DF1-4DE3-935C-8316B2D6306D}"/>
            </a:ext>
          </a:extLst>
        </xdr:cNvPr>
        <xdr:cNvSpPr/>
      </xdr:nvSpPr>
      <xdr:spPr>
        <a:xfrm>
          <a:off x="1504951" y="7524750"/>
          <a:ext cx="2343150" cy="93345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Kiểm</a:t>
          </a:r>
          <a:r>
            <a:rPr lang="en-US" sz="1400" b="1" baseline="0">
              <a:latin typeface="Arial" panose="020B0604020202020204" pitchFamily="34" charset="0"/>
              <a:cs typeface="Arial" panose="020B0604020202020204" pitchFamily="34" charset="0"/>
            </a:rPr>
            <a:t> soát chất lượng</a:t>
          </a:r>
          <a:endParaRPr lang="en-US" sz="1400" b="1">
            <a:latin typeface="Arial" panose="020B0604020202020204" pitchFamily="34" charset="0"/>
            <a:cs typeface="Arial" panose="020B0604020202020204" pitchFamily="34" charset="0"/>
          </a:endParaRPr>
        </a:p>
      </xdr:txBody>
    </xdr:sp>
    <xdr:clientData/>
  </xdr:twoCellAnchor>
  <xdr:twoCellAnchor>
    <xdr:from>
      <xdr:col>1</xdr:col>
      <xdr:colOff>590551</xdr:colOff>
      <xdr:row>19</xdr:row>
      <xdr:rowOff>57150</xdr:rowOff>
    </xdr:from>
    <xdr:to>
      <xdr:col>4</xdr:col>
      <xdr:colOff>628651</xdr:colOff>
      <xdr:row>24</xdr:row>
      <xdr:rowOff>38100</xdr:rowOff>
    </xdr:to>
    <xdr:sp macro="" textlink="">
      <xdr:nvSpPr>
        <xdr:cNvPr id="7" name="Rectangle 6">
          <a:extLst>
            <a:ext uri="{FF2B5EF4-FFF2-40B4-BE49-F238E27FC236}">
              <a16:creationId xmlns:a16="http://schemas.microsoft.com/office/drawing/2014/main" id="{EB6D1402-8F6D-444B-BC6C-69FCDF6C6E95}"/>
            </a:ext>
          </a:extLst>
        </xdr:cNvPr>
        <xdr:cNvSpPr/>
      </xdr:nvSpPr>
      <xdr:spPr>
        <a:xfrm>
          <a:off x="1504951" y="9191625"/>
          <a:ext cx="2343150" cy="981075"/>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Phát</a:t>
          </a:r>
          <a:r>
            <a:rPr lang="en-US" sz="1400" b="1" baseline="0">
              <a:latin typeface="Arial" panose="020B0604020202020204" pitchFamily="34" charset="0"/>
              <a:cs typeface="Arial" panose="020B0604020202020204" pitchFamily="34" charset="0"/>
            </a:rPr>
            <a:t> hành</a:t>
          </a:r>
          <a:endParaRPr lang="en-US" sz="1400" b="1">
            <a:latin typeface="Arial" panose="020B0604020202020204" pitchFamily="34" charset="0"/>
            <a:cs typeface="Arial" panose="020B0604020202020204" pitchFamily="34" charset="0"/>
          </a:endParaRPr>
        </a:p>
      </xdr:txBody>
    </xdr:sp>
    <xdr:clientData/>
  </xdr:twoCellAnchor>
  <xdr:twoCellAnchor>
    <xdr:from>
      <xdr:col>3</xdr:col>
      <xdr:colOff>138114</xdr:colOff>
      <xdr:row>1</xdr:row>
      <xdr:rowOff>919162</xdr:rowOff>
    </xdr:from>
    <xdr:to>
      <xdr:col>3</xdr:col>
      <xdr:colOff>347664</xdr:colOff>
      <xdr:row>2</xdr:row>
      <xdr:rowOff>204787</xdr:rowOff>
    </xdr:to>
    <xdr:sp macro="" textlink="">
      <xdr:nvSpPr>
        <xdr:cNvPr id="8" name="Arrow: Left 7">
          <a:extLst>
            <a:ext uri="{FF2B5EF4-FFF2-40B4-BE49-F238E27FC236}">
              <a16:creationId xmlns:a16="http://schemas.microsoft.com/office/drawing/2014/main" id="{19E2EAE8-BC5B-4C92-8040-0A1DC2845EBC}"/>
            </a:ext>
          </a:extLst>
        </xdr:cNvPr>
        <xdr:cNvSpPr/>
      </xdr:nvSpPr>
      <xdr:spPr>
        <a:xfrm rot="16200000">
          <a:off x="2105026" y="1952625"/>
          <a:ext cx="1133475" cy="209550"/>
        </a:xfrm>
        <a:prstGeom prst="leftArrow">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157165</xdr:colOff>
      <xdr:row>2</xdr:row>
      <xdr:rowOff>757237</xdr:rowOff>
    </xdr:from>
    <xdr:to>
      <xdr:col>3</xdr:col>
      <xdr:colOff>352428</xdr:colOff>
      <xdr:row>4</xdr:row>
      <xdr:rowOff>76199</xdr:rowOff>
    </xdr:to>
    <xdr:sp macro="" textlink="">
      <xdr:nvSpPr>
        <xdr:cNvPr id="9" name="Arrow: Left 8">
          <a:extLst>
            <a:ext uri="{FF2B5EF4-FFF2-40B4-BE49-F238E27FC236}">
              <a16:creationId xmlns:a16="http://schemas.microsoft.com/office/drawing/2014/main" id="{D627877A-0957-4988-A9D6-FB70A656DE92}"/>
            </a:ext>
          </a:extLst>
        </xdr:cNvPr>
        <xdr:cNvSpPr/>
      </xdr:nvSpPr>
      <xdr:spPr>
        <a:xfrm rot="16200000">
          <a:off x="2124078" y="3638549"/>
          <a:ext cx="1119187" cy="195263"/>
        </a:xfrm>
        <a:prstGeom prst="leftArrow">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157165</xdr:colOff>
      <xdr:row>7</xdr:row>
      <xdr:rowOff>71436</xdr:rowOff>
    </xdr:from>
    <xdr:to>
      <xdr:col>3</xdr:col>
      <xdr:colOff>371475</xdr:colOff>
      <xdr:row>9</xdr:row>
      <xdr:rowOff>123824</xdr:rowOff>
    </xdr:to>
    <xdr:sp macro="" textlink="">
      <xdr:nvSpPr>
        <xdr:cNvPr id="10" name="Arrow: Left 9">
          <a:extLst>
            <a:ext uri="{FF2B5EF4-FFF2-40B4-BE49-F238E27FC236}">
              <a16:creationId xmlns:a16="http://schemas.microsoft.com/office/drawing/2014/main" id="{6EEB409D-D658-4E41-8E48-D5FA9AA2C78F}"/>
            </a:ext>
          </a:extLst>
        </xdr:cNvPr>
        <xdr:cNvSpPr/>
      </xdr:nvSpPr>
      <xdr:spPr>
        <a:xfrm rot="16200000">
          <a:off x="2233613" y="5319713"/>
          <a:ext cx="919163" cy="214310"/>
        </a:xfrm>
        <a:prstGeom prst="leftArrow">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138116</xdr:colOff>
      <xdr:row>11</xdr:row>
      <xdr:rowOff>61912</xdr:rowOff>
    </xdr:from>
    <xdr:to>
      <xdr:col>3</xdr:col>
      <xdr:colOff>371478</xdr:colOff>
      <xdr:row>13</xdr:row>
      <xdr:rowOff>333375</xdr:rowOff>
    </xdr:to>
    <xdr:sp macro="" textlink="">
      <xdr:nvSpPr>
        <xdr:cNvPr id="11" name="Arrow: Left 10">
          <a:extLst>
            <a:ext uri="{FF2B5EF4-FFF2-40B4-BE49-F238E27FC236}">
              <a16:creationId xmlns:a16="http://schemas.microsoft.com/office/drawing/2014/main" id="{3A16EABA-5E8F-4D45-81DB-0E5DA20A2146}"/>
            </a:ext>
          </a:extLst>
        </xdr:cNvPr>
        <xdr:cNvSpPr/>
      </xdr:nvSpPr>
      <xdr:spPr>
        <a:xfrm rot="16200000">
          <a:off x="2247903" y="6972300"/>
          <a:ext cx="871538" cy="233362"/>
        </a:xfrm>
        <a:prstGeom prst="leftArrow">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209550</xdr:colOff>
      <xdr:row>28</xdr:row>
      <xdr:rowOff>57150</xdr:rowOff>
    </xdr:from>
    <xdr:to>
      <xdr:col>4</xdr:col>
      <xdr:colOff>295275</xdr:colOff>
      <xdr:row>31</xdr:row>
      <xdr:rowOff>95250</xdr:rowOff>
    </xdr:to>
    <xdr:sp macro="" textlink="">
      <xdr:nvSpPr>
        <xdr:cNvPr id="12" name="Oval 11">
          <a:extLst>
            <a:ext uri="{FF2B5EF4-FFF2-40B4-BE49-F238E27FC236}">
              <a16:creationId xmlns:a16="http://schemas.microsoft.com/office/drawing/2014/main" id="{C3B7522D-ABEE-4BD7-B411-31930902C65F}"/>
            </a:ext>
          </a:extLst>
        </xdr:cNvPr>
        <xdr:cNvSpPr/>
      </xdr:nvSpPr>
      <xdr:spPr>
        <a:xfrm>
          <a:off x="1876425" y="11353800"/>
          <a:ext cx="1638300" cy="6381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Kết</a:t>
          </a:r>
          <a:r>
            <a:rPr lang="en-US" sz="1400" b="1" baseline="0">
              <a:latin typeface="Arial" panose="020B0604020202020204" pitchFamily="34" charset="0"/>
              <a:cs typeface="Arial" panose="020B0604020202020204" pitchFamily="34" charset="0"/>
            </a:rPr>
            <a:t> thúc</a:t>
          </a:r>
          <a:endParaRPr lang="en-US" sz="1400" b="1">
            <a:latin typeface="Arial" panose="020B0604020202020204" pitchFamily="34" charset="0"/>
            <a:cs typeface="Arial" panose="020B0604020202020204" pitchFamily="34" charset="0"/>
          </a:endParaRPr>
        </a:p>
      </xdr:txBody>
    </xdr:sp>
    <xdr:clientData/>
  </xdr:twoCellAnchor>
  <xdr:twoCellAnchor>
    <xdr:from>
      <xdr:col>3</xdr:col>
      <xdr:colOff>119066</xdr:colOff>
      <xdr:row>15</xdr:row>
      <xdr:rowOff>419100</xdr:rowOff>
    </xdr:from>
    <xdr:to>
      <xdr:col>3</xdr:col>
      <xdr:colOff>361950</xdr:colOff>
      <xdr:row>19</xdr:row>
      <xdr:rowOff>76200</xdr:rowOff>
    </xdr:to>
    <xdr:sp macro="" textlink="">
      <xdr:nvSpPr>
        <xdr:cNvPr id="13" name="Arrow: Left 12">
          <a:extLst>
            <a:ext uri="{FF2B5EF4-FFF2-40B4-BE49-F238E27FC236}">
              <a16:creationId xmlns:a16="http://schemas.microsoft.com/office/drawing/2014/main" id="{D84C2AB6-0821-47EE-BBC7-659CF312EA30}"/>
            </a:ext>
          </a:extLst>
        </xdr:cNvPr>
        <xdr:cNvSpPr/>
      </xdr:nvSpPr>
      <xdr:spPr>
        <a:xfrm rot="16200000">
          <a:off x="2297908" y="8717758"/>
          <a:ext cx="742950" cy="242884"/>
        </a:xfrm>
        <a:prstGeom prst="leftArrow">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119066</xdr:colOff>
      <xdr:row>24</xdr:row>
      <xdr:rowOff>47624</xdr:rowOff>
    </xdr:from>
    <xdr:to>
      <xdr:col>3</xdr:col>
      <xdr:colOff>342900</xdr:colOff>
      <xdr:row>28</xdr:row>
      <xdr:rowOff>57149</xdr:rowOff>
    </xdr:to>
    <xdr:sp macro="" textlink="">
      <xdr:nvSpPr>
        <xdr:cNvPr id="14" name="Arrow: Left 13">
          <a:extLst>
            <a:ext uri="{FF2B5EF4-FFF2-40B4-BE49-F238E27FC236}">
              <a16:creationId xmlns:a16="http://schemas.microsoft.com/office/drawing/2014/main" id="{2D102CFD-8EAA-4F95-A36C-7FB0E390611D}"/>
            </a:ext>
          </a:extLst>
        </xdr:cNvPr>
        <xdr:cNvSpPr/>
      </xdr:nvSpPr>
      <xdr:spPr>
        <a:xfrm rot="16200000">
          <a:off x="2074070" y="10656095"/>
          <a:ext cx="1171575" cy="223834"/>
        </a:xfrm>
        <a:prstGeom prst="leftArrow">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600075</xdr:colOff>
      <xdr:row>2</xdr:row>
      <xdr:rowOff>352424</xdr:rowOff>
    </xdr:from>
    <xdr:to>
      <xdr:col>5</xdr:col>
      <xdr:colOff>447675</xdr:colOff>
      <xdr:row>6</xdr:row>
      <xdr:rowOff>61912</xdr:rowOff>
    </xdr:to>
    <xdr:sp macro="" textlink="">
      <xdr:nvSpPr>
        <xdr:cNvPr id="15" name="Arrow: U-Turn 14">
          <a:extLst>
            <a:ext uri="{FF2B5EF4-FFF2-40B4-BE49-F238E27FC236}">
              <a16:creationId xmlns:a16="http://schemas.microsoft.com/office/drawing/2014/main" id="{A2CCD736-07E5-4DC7-B0F6-356F58D95D70}"/>
            </a:ext>
          </a:extLst>
        </xdr:cNvPr>
        <xdr:cNvSpPr/>
      </xdr:nvSpPr>
      <xdr:spPr>
        <a:xfrm rot="5400000" flipH="1">
          <a:off x="3159918" y="3431381"/>
          <a:ext cx="1909763" cy="590550"/>
        </a:xfrm>
        <a:prstGeom prst="uturnArrow">
          <a:avLst>
            <a:gd name="adj1" fmla="val 10294"/>
            <a:gd name="adj2" fmla="val 25000"/>
            <a:gd name="adj3" fmla="val 31518"/>
            <a:gd name="adj4" fmla="val 40074"/>
            <a:gd name="adj5" fmla="val 100000"/>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4</xdr:col>
      <xdr:colOff>657224</xdr:colOff>
      <xdr:row>9</xdr:row>
      <xdr:rowOff>342898</xdr:rowOff>
    </xdr:from>
    <xdr:to>
      <xdr:col>5</xdr:col>
      <xdr:colOff>466725</xdr:colOff>
      <xdr:row>14</xdr:row>
      <xdr:rowOff>385761</xdr:rowOff>
    </xdr:to>
    <xdr:sp macro="" textlink="">
      <xdr:nvSpPr>
        <xdr:cNvPr id="16" name="Arrow: U-Turn 15">
          <a:extLst>
            <a:ext uri="{FF2B5EF4-FFF2-40B4-BE49-F238E27FC236}">
              <a16:creationId xmlns:a16="http://schemas.microsoft.com/office/drawing/2014/main" id="{0104DA55-E649-4D9C-B465-9DEA13FB225B}"/>
            </a:ext>
          </a:extLst>
        </xdr:cNvPr>
        <xdr:cNvSpPr/>
      </xdr:nvSpPr>
      <xdr:spPr>
        <a:xfrm rot="5400000" flipH="1">
          <a:off x="3188493" y="6793704"/>
          <a:ext cx="1928813" cy="552451"/>
        </a:xfrm>
        <a:prstGeom prst="uturnArrow">
          <a:avLst>
            <a:gd name="adj1" fmla="val 10294"/>
            <a:gd name="adj2" fmla="val 25000"/>
            <a:gd name="adj3" fmla="val 31518"/>
            <a:gd name="adj4" fmla="val 40074"/>
            <a:gd name="adj5" fmla="val 100000"/>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xdr:col>
      <xdr:colOff>57152</xdr:colOff>
      <xdr:row>9</xdr:row>
      <xdr:rowOff>342898</xdr:rowOff>
    </xdr:from>
    <xdr:to>
      <xdr:col>1</xdr:col>
      <xdr:colOff>581025</xdr:colOff>
      <xdr:row>21</xdr:row>
      <xdr:rowOff>138111</xdr:rowOff>
    </xdr:to>
    <xdr:sp macro="" textlink="">
      <xdr:nvSpPr>
        <xdr:cNvPr id="17" name="Arrow: U-Turn 16">
          <a:extLst>
            <a:ext uri="{FF2B5EF4-FFF2-40B4-BE49-F238E27FC236}">
              <a16:creationId xmlns:a16="http://schemas.microsoft.com/office/drawing/2014/main" id="{F7ED2427-BF38-4A66-BFC8-FA3652795BCD}"/>
            </a:ext>
          </a:extLst>
        </xdr:cNvPr>
        <xdr:cNvSpPr/>
      </xdr:nvSpPr>
      <xdr:spPr>
        <a:xfrm rot="5400000" flipH="1" flipV="1">
          <a:off x="-550068" y="7627143"/>
          <a:ext cx="3567113" cy="523873"/>
        </a:xfrm>
        <a:prstGeom prst="uturnArrow">
          <a:avLst>
            <a:gd name="adj1" fmla="val 10294"/>
            <a:gd name="adj2" fmla="val 25000"/>
            <a:gd name="adj3" fmla="val 31518"/>
            <a:gd name="adj4" fmla="val 40074"/>
            <a:gd name="adj5" fmla="val 100000"/>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oneCellAnchor>
    <xdr:from>
      <xdr:col>5</xdr:col>
      <xdr:colOff>83980</xdr:colOff>
      <xdr:row>2</xdr:row>
      <xdr:rowOff>662590</xdr:rowOff>
    </xdr:from>
    <xdr:ext cx="298800" cy="1092030"/>
    <xdr:sp macro="" textlink="">
      <xdr:nvSpPr>
        <xdr:cNvPr id="18" name="TextBox 17">
          <a:extLst>
            <a:ext uri="{FF2B5EF4-FFF2-40B4-BE49-F238E27FC236}">
              <a16:creationId xmlns:a16="http://schemas.microsoft.com/office/drawing/2014/main" id="{8BE5F8CD-8A44-4B52-820D-41CFED7C5211}"/>
            </a:ext>
          </a:extLst>
        </xdr:cNvPr>
        <xdr:cNvSpPr txBox="1"/>
      </xdr:nvSpPr>
      <xdr:spPr>
        <a:xfrm rot="16200000">
          <a:off x="3649765" y="3478555"/>
          <a:ext cx="109203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anose="020B0604020202020204" pitchFamily="34" charset="0"/>
              <a:cs typeface="Arial" panose="020B0604020202020204" pitchFamily="34" charset="0"/>
            </a:rPr>
            <a:t>Không</a:t>
          </a:r>
          <a:r>
            <a:rPr lang="en-US" sz="1400" b="1" baseline="0">
              <a:latin typeface="Arial" panose="020B0604020202020204" pitchFamily="34" charset="0"/>
              <a:cs typeface="Arial" panose="020B0604020202020204" pitchFamily="34" charset="0"/>
            </a:rPr>
            <a:t> Đạt</a:t>
          </a:r>
          <a:endParaRPr lang="en-US" sz="1100" b="1">
            <a:latin typeface="Arial" panose="020B0604020202020204" pitchFamily="34" charset="0"/>
            <a:cs typeface="Arial" panose="020B0604020202020204" pitchFamily="34" charset="0"/>
          </a:endParaRPr>
        </a:p>
      </xdr:txBody>
    </xdr:sp>
    <xdr:clientData/>
  </xdr:oneCellAnchor>
  <xdr:oneCellAnchor>
    <xdr:from>
      <xdr:col>5</xdr:col>
      <xdr:colOff>112555</xdr:colOff>
      <xdr:row>10</xdr:row>
      <xdr:rowOff>357790</xdr:rowOff>
    </xdr:from>
    <xdr:ext cx="298800" cy="1092030"/>
    <xdr:sp macro="" textlink="">
      <xdr:nvSpPr>
        <xdr:cNvPr id="19" name="TextBox 18">
          <a:extLst>
            <a:ext uri="{FF2B5EF4-FFF2-40B4-BE49-F238E27FC236}">
              <a16:creationId xmlns:a16="http://schemas.microsoft.com/office/drawing/2014/main" id="{DAC5DC8B-3433-42BE-86B7-61D616BB3977}"/>
            </a:ext>
          </a:extLst>
        </xdr:cNvPr>
        <xdr:cNvSpPr txBox="1"/>
      </xdr:nvSpPr>
      <xdr:spPr>
        <a:xfrm rot="16200000">
          <a:off x="3678340" y="6964705"/>
          <a:ext cx="109203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anose="020B0604020202020204" pitchFamily="34" charset="0"/>
              <a:cs typeface="Arial" panose="020B0604020202020204" pitchFamily="34" charset="0"/>
            </a:rPr>
            <a:t>Không</a:t>
          </a:r>
          <a:r>
            <a:rPr lang="en-US" sz="1400" b="1" baseline="0">
              <a:latin typeface="Arial" panose="020B0604020202020204" pitchFamily="34" charset="0"/>
              <a:cs typeface="Arial" panose="020B0604020202020204" pitchFamily="34" charset="0"/>
            </a:rPr>
            <a:t> Đạt</a:t>
          </a:r>
          <a:endParaRPr lang="en-US" sz="1100" b="1">
            <a:latin typeface="Arial" panose="020B0604020202020204" pitchFamily="34" charset="0"/>
            <a:cs typeface="Arial" panose="020B0604020202020204" pitchFamily="34" charset="0"/>
          </a:endParaRPr>
        </a:p>
      </xdr:txBody>
    </xdr:sp>
    <xdr:clientData/>
  </xdr:oneCellAnchor>
  <xdr:oneCellAnchor>
    <xdr:from>
      <xdr:col>1</xdr:col>
      <xdr:colOff>141130</xdr:colOff>
      <xdr:row>12</xdr:row>
      <xdr:rowOff>243490</xdr:rowOff>
    </xdr:from>
    <xdr:ext cx="298800" cy="1092030"/>
    <xdr:sp macro="" textlink="">
      <xdr:nvSpPr>
        <xdr:cNvPr id="20" name="TextBox 19">
          <a:extLst>
            <a:ext uri="{FF2B5EF4-FFF2-40B4-BE49-F238E27FC236}">
              <a16:creationId xmlns:a16="http://schemas.microsoft.com/office/drawing/2014/main" id="{EDD07350-8E83-457E-A009-3EF33DD9348B}"/>
            </a:ext>
          </a:extLst>
        </xdr:cNvPr>
        <xdr:cNvSpPr txBox="1"/>
      </xdr:nvSpPr>
      <xdr:spPr>
        <a:xfrm rot="16200000">
          <a:off x="658915" y="7545730"/>
          <a:ext cx="109203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anose="020B0604020202020204" pitchFamily="34" charset="0"/>
              <a:cs typeface="Arial" panose="020B0604020202020204" pitchFamily="34" charset="0"/>
            </a:rPr>
            <a:t>Không</a:t>
          </a:r>
          <a:r>
            <a:rPr lang="en-US" sz="1400" b="1" baseline="0">
              <a:latin typeface="Arial" panose="020B0604020202020204" pitchFamily="34" charset="0"/>
              <a:cs typeface="Arial" panose="020B0604020202020204" pitchFamily="34" charset="0"/>
            </a:rPr>
            <a:t> Đạt</a:t>
          </a:r>
          <a:endParaRPr lang="en-US" sz="1100" b="1">
            <a:latin typeface="Arial" panose="020B0604020202020204" pitchFamily="34" charset="0"/>
            <a:cs typeface="Arial" panose="020B0604020202020204" pitchFamily="34" charset="0"/>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2</xdr:col>
      <xdr:colOff>200025</xdr:colOff>
      <xdr:row>1</xdr:row>
      <xdr:rowOff>295275</xdr:rowOff>
    </xdr:from>
    <xdr:to>
      <xdr:col>4</xdr:col>
      <xdr:colOff>285750</xdr:colOff>
      <xdr:row>1</xdr:row>
      <xdr:rowOff>904875</xdr:rowOff>
    </xdr:to>
    <xdr:sp macro="" textlink="">
      <xdr:nvSpPr>
        <xdr:cNvPr id="2" name="Oval 1">
          <a:extLst>
            <a:ext uri="{FF2B5EF4-FFF2-40B4-BE49-F238E27FC236}">
              <a16:creationId xmlns:a16="http://schemas.microsoft.com/office/drawing/2014/main" id="{D41D32A9-D4DD-4AEC-9FEF-EDE4F758D728}"/>
            </a:ext>
          </a:extLst>
        </xdr:cNvPr>
        <xdr:cNvSpPr/>
      </xdr:nvSpPr>
      <xdr:spPr>
        <a:xfrm>
          <a:off x="1866900" y="866775"/>
          <a:ext cx="1638300" cy="60960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Chuẩn</a:t>
          </a:r>
          <a:r>
            <a:rPr lang="en-US" sz="1400" b="1" baseline="0">
              <a:latin typeface="Arial" panose="020B0604020202020204" pitchFamily="34" charset="0"/>
              <a:cs typeface="Arial" panose="020B0604020202020204" pitchFamily="34" charset="0"/>
            </a:rPr>
            <a:t> bị</a:t>
          </a:r>
          <a:endParaRPr lang="en-US" sz="1400" b="1">
            <a:latin typeface="Arial" panose="020B0604020202020204" pitchFamily="34" charset="0"/>
            <a:cs typeface="Arial" panose="020B0604020202020204" pitchFamily="34" charset="0"/>
          </a:endParaRPr>
        </a:p>
      </xdr:txBody>
    </xdr:sp>
    <xdr:clientData/>
  </xdr:twoCellAnchor>
  <xdr:twoCellAnchor>
    <xdr:from>
      <xdr:col>1</xdr:col>
      <xdr:colOff>552450</xdr:colOff>
      <xdr:row>2</xdr:row>
      <xdr:rowOff>228600</xdr:rowOff>
    </xdr:from>
    <xdr:to>
      <xdr:col>4</xdr:col>
      <xdr:colOff>590549</xdr:colOff>
      <xdr:row>2</xdr:row>
      <xdr:rowOff>771525</xdr:rowOff>
    </xdr:to>
    <xdr:sp macro="" textlink="">
      <xdr:nvSpPr>
        <xdr:cNvPr id="3" name="Rectangle 2">
          <a:extLst>
            <a:ext uri="{FF2B5EF4-FFF2-40B4-BE49-F238E27FC236}">
              <a16:creationId xmlns:a16="http://schemas.microsoft.com/office/drawing/2014/main" id="{4C641BDC-73A0-4DFD-8017-69C80792CF6C}"/>
            </a:ext>
          </a:extLst>
        </xdr:cNvPr>
        <xdr:cNvSpPr/>
      </xdr:nvSpPr>
      <xdr:spPr>
        <a:xfrm>
          <a:off x="1466850" y="2905125"/>
          <a:ext cx="2343149" cy="542925"/>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Hoạch</a:t>
          </a:r>
          <a:r>
            <a:rPr lang="en-US" sz="1400" b="1" baseline="0">
              <a:latin typeface="Arial" panose="020B0604020202020204" pitchFamily="34" charset="0"/>
              <a:cs typeface="Arial" panose="020B0604020202020204" pitchFamily="34" charset="0"/>
            </a:rPr>
            <a:t> định</a:t>
          </a:r>
          <a:endParaRPr lang="en-US" sz="1400" b="1">
            <a:latin typeface="Arial" panose="020B0604020202020204" pitchFamily="34" charset="0"/>
            <a:cs typeface="Arial" panose="020B0604020202020204" pitchFamily="34" charset="0"/>
          </a:endParaRPr>
        </a:p>
      </xdr:txBody>
    </xdr:sp>
    <xdr:clientData/>
  </xdr:twoCellAnchor>
  <xdr:twoCellAnchor>
    <xdr:from>
      <xdr:col>1</xdr:col>
      <xdr:colOff>552451</xdr:colOff>
      <xdr:row>4</xdr:row>
      <xdr:rowOff>85725</xdr:rowOff>
    </xdr:from>
    <xdr:to>
      <xdr:col>4</xdr:col>
      <xdr:colOff>590551</xdr:colOff>
      <xdr:row>7</xdr:row>
      <xdr:rowOff>57150</xdr:rowOff>
    </xdr:to>
    <xdr:sp macro="" textlink="">
      <xdr:nvSpPr>
        <xdr:cNvPr id="4" name="Rectangle 3">
          <a:extLst>
            <a:ext uri="{FF2B5EF4-FFF2-40B4-BE49-F238E27FC236}">
              <a16:creationId xmlns:a16="http://schemas.microsoft.com/office/drawing/2014/main" id="{FB686545-B5DC-42F8-AC30-1013C87944EA}"/>
            </a:ext>
          </a:extLst>
        </xdr:cNvPr>
        <xdr:cNvSpPr/>
      </xdr:nvSpPr>
      <xdr:spPr>
        <a:xfrm>
          <a:off x="1466851" y="4391025"/>
          <a:ext cx="2343150" cy="64770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Kế</a:t>
          </a:r>
          <a:r>
            <a:rPr lang="en-US" sz="1400" b="1" baseline="0">
              <a:latin typeface="Arial" panose="020B0604020202020204" pitchFamily="34" charset="0"/>
              <a:cs typeface="Arial" panose="020B0604020202020204" pitchFamily="34" charset="0"/>
            </a:rPr>
            <a:t> hoạch chi tiết</a:t>
          </a:r>
          <a:endParaRPr lang="en-US" sz="1400" b="1">
            <a:latin typeface="Arial" panose="020B0604020202020204" pitchFamily="34" charset="0"/>
            <a:cs typeface="Arial" panose="020B0604020202020204" pitchFamily="34" charset="0"/>
          </a:endParaRPr>
        </a:p>
      </xdr:txBody>
    </xdr:sp>
    <xdr:clientData/>
  </xdr:twoCellAnchor>
  <xdr:twoCellAnchor>
    <xdr:from>
      <xdr:col>1</xdr:col>
      <xdr:colOff>571500</xdr:colOff>
      <xdr:row>9</xdr:row>
      <xdr:rowOff>142875</xdr:rowOff>
    </xdr:from>
    <xdr:to>
      <xdr:col>4</xdr:col>
      <xdr:colOff>647700</xdr:colOff>
      <xdr:row>11</xdr:row>
      <xdr:rowOff>47625</xdr:rowOff>
    </xdr:to>
    <xdr:sp macro="" textlink="">
      <xdr:nvSpPr>
        <xdr:cNvPr id="5" name="Rectangle 4">
          <a:extLst>
            <a:ext uri="{FF2B5EF4-FFF2-40B4-BE49-F238E27FC236}">
              <a16:creationId xmlns:a16="http://schemas.microsoft.com/office/drawing/2014/main" id="{015FE711-D941-4F65-8142-E2D1FD91F502}"/>
            </a:ext>
          </a:extLst>
        </xdr:cNvPr>
        <xdr:cNvSpPr/>
      </xdr:nvSpPr>
      <xdr:spPr>
        <a:xfrm>
          <a:off x="1485900" y="5991225"/>
          <a:ext cx="2381250" cy="733425"/>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Thực</a:t>
          </a:r>
          <a:r>
            <a:rPr lang="en-US" sz="1400" b="1" baseline="0">
              <a:latin typeface="Arial" panose="020B0604020202020204" pitchFamily="34" charset="0"/>
              <a:cs typeface="Arial" panose="020B0604020202020204" pitchFamily="34" charset="0"/>
            </a:rPr>
            <a:t> thi</a:t>
          </a:r>
          <a:endParaRPr lang="en-US" sz="1400" b="1">
            <a:latin typeface="Arial" panose="020B0604020202020204" pitchFamily="34" charset="0"/>
            <a:cs typeface="Arial" panose="020B0604020202020204" pitchFamily="34" charset="0"/>
          </a:endParaRPr>
        </a:p>
      </xdr:txBody>
    </xdr:sp>
    <xdr:clientData/>
  </xdr:twoCellAnchor>
  <xdr:twoCellAnchor>
    <xdr:from>
      <xdr:col>1</xdr:col>
      <xdr:colOff>590551</xdr:colOff>
      <xdr:row>13</xdr:row>
      <xdr:rowOff>333375</xdr:rowOff>
    </xdr:from>
    <xdr:to>
      <xdr:col>4</xdr:col>
      <xdr:colOff>628651</xdr:colOff>
      <xdr:row>15</xdr:row>
      <xdr:rowOff>409575</xdr:rowOff>
    </xdr:to>
    <xdr:sp macro="" textlink="">
      <xdr:nvSpPr>
        <xdr:cNvPr id="6" name="Rectangle 5">
          <a:extLst>
            <a:ext uri="{FF2B5EF4-FFF2-40B4-BE49-F238E27FC236}">
              <a16:creationId xmlns:a16="http://schemas.microsoft.com/office/drawing/2014/main" id="{78A90731-3B36-4E74-B101-C079DB500E7A}"/>
            </a:ext>
          </a:extLst>
        </xdr:cNvPr>
        <xdr:cNvSpPr/>
      </xdr:nvSpPr>
      <xdr:spPr>
        <a:xfrm>
          <a:off x="1504951" y="7610475"/>
          <a:ext cx="2343150" cy="93345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Kiểm</a:t>
          </a:r>
          <a:r>
            <a:rPr lang="en-US" sz="1400" b="1" baseline="0">
              <a:latin typeface="Arial" panose="020B0604020202020204" pitchFamily="34" charset="0"/>
              <a:cs typeface="Arial" panose="020B0604020202020204" pitchFamily="34" charset="0"/>
            </a:rPr>
            <a:t> soát chất lượng</a:t>
          </a:r>
          <a:endParaRPr lang="en-US" sz="1400" b="1">
            <a:latin typeface="Arial" panose="020B0604020202020204" pitchFamily="34" charset="0"/>
            <a:cs typeface="Arial" panose="020B0604020202020204" pitchFamily="34" charset="0"/>
          </a:endParaRPr>
        </a:p>
      </xdr:txBody>
    </xdr:sp>
    <xdr:clientData/>
  </xdr:twoCellAnchor>
  <xdr:twoCellAnchor>
    <xdr:from>
      <xdr:col>1</xdr:col>
      <xdr:colOff>590551</xdr:colOff>
      <xdr:row>19</xdr:row>
      <xdr:rowOff>57150</xdr:rowOff>
    </xdr:from>
    <xdr:to>
      <xdr:col>4</xdr:col>
      <xdr:colOff>628651</xdr:colOff>
      <xdr:row>24</xdr:row>
      <xdr:rowOff>38100</xdr:rowOff>
    </xdr:to>
    <xdr:sp macro="" textlink="">
      <xdr:nvSpPr>
        <xdr:cNvPr id="7" name="Rectangle 6">
          <a:extLst>
            <a:ext uri="{FF2B5EF4-FFF2-40B4-BE49-F238E27FC236}">
              <a16:creationId xmlns:a16="http://schemas.microsoft.com/office/drawing/2014/main" id="{ECA57EF9-248C-4B95-A4FB-E3FAAACA951C}"/>
            </a:ext>
          </a:extLst>
        </xdr:cNvPr>
        <xdr:cNvSpPr/>
      </xdr:nvSpPr>
      <xdr:spPr>
        <a:xfrm>
          <a:off x="1504951" y="9277350"/>
          <a:ext cx="2343150" cy="981075"/>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Phát</a:t>
          </a:r>
          <a:r>
            <a:rPr lang="en-US" sz="1400" b="1" baseline="0">
              <a:latin typeface="Arial" panose="020B0604020202020204" pitchFamily="34" charset="0"/>
              <a:cs typeface="Arial" panose="020B0604020202020204" pitchFamily="34" charset="0"/>
            </a:rPr>
            <a:t> hành</a:t>
          </a:r>
          <a:endParaRPr lang="en-US" sz="1400" b="1">
            <a:latin typeface="Arial" panose="020B0604020202020204" pitchFamily="34" charset="0"/>
            <a:cs typeface="Arial" panose="020B0604020202020204" pitchFamily="34" charset="0"/>
          </a:endParaRPr>
        </a:p>
      </xdr:txBody>
    </xdr:sp>
    <xdr:clientData/>
  </xdr:twoCellAnchor>
  <xdr:twoCellAnchor>
    <xdr:from>
      <xdr:col>3</xdr:col>
      <xdr:colOff>138114</xdr:colOff>
      <xdr:row>1</xdr:row>
      <xdr:rowOff>919162</xdr:rowOff>
    </xdr:from>
    <xdr:to>
      <xdr:col>3</xdr:col>
      <xdr:colOff>347664</xdr:colOff>
      <xdr:row>2</xdr:row>
      <xdr:rowOff>204787</xdr:rowOff>
    </xdr:to>
    <xdr:sp macro="" textlink="">
      <xdr:nvSpPr>
        <xdr:cNvPr id="8" name="Arrow: Left 7">
          <a:extLst>
            <a:ext uri="{FF2B5EF4-FFF2-40B4-BE49-F238E27FC236}">
              <a16:creationId xmlns:a16="http://schemas.microsoft.com/office/drawing/2014/main" id="{3A11E034-BDB8-4C1B-8226-CB7362C65B2C}"/>
            </a:ext>
          </a:extLst>
        </xdr:cNvPr>
        <xdr:cNvSpPr/>
      </xdr:nvSpPr>
      <xdr:spPr>
        <a:xfrm rot="16200000">
          <a:off x="1976439" y="2081212"/>
          <a:ext cx="1390650" cy="209550"/>
        </a:xfrm>
        <a:prstGeom prst="leftArrow">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157165</xdr:colOff>
      <xdr:row>2</xdr:row>
      <xdr:rowOff>757237</xdr:rowOff>
    </xdr:from>
    <xdr:to>
      <xdr:col>3</xdr:col>
      <xdr:colOff>352428</xdr:colOff>
      <xdr:row>4</xdr:row>
      <xdr:rowOff>76199</xdr:rowOff>
    </xdr:to>
    <xdr:sp macro="" textlink="">
      <xdr:nvSpPr>
        <xdr:cNvPr id="9" name="Arrow: Left 8">
          <a:extLst>
            <a:ext uri="{FF2B5EF4-FFF2-40B4-BE49-F238E27FC236}">
              <a16:creationId xmlns:a16="http://schemas.microsoft.com/office/drawing/2014/main" id="{65C4F5B3-0D8A-492E-A7E1-96B2ABF9203E}"/>
            </a:ext>
          </a:extLst>
        </xdr:cNvPr>
        <xdr:cNvSpPr/>
      </xdr:nvSpPr>
      <xdr:spPr>
        <a:xfrm rot="16200000">
          <a:off x="2209803" y="3809999"/>
          <a:ext cx="947737" cy="195263"/>
        </a:xfrm>
        <a:prstGeom prst="leftArrow">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157165</xdr:colOff>
      <xdr:row>7</xdr:row>
      <xdr:rowOff>71436</xdr:rowOff>
    </xdr:from>
    <xdr:to>
      <xdr:col>3</xdr:col>
      <xdr:colOff>371475</xdr:colOff>
      <xdr:row>9</xdr:row>
      <xdr:rowOff>123824</xdr:rowOff>
    </xdr:to>
    <xdr:sp macro="" textlink="">
      <xdr:nvSpPr>
        <xdr:cNvPr id="10" name="Arrow: Left 9">
          <a:extLst>
            <a:ext uri="{FF2B5EF4-FFF2-40B4-BE49-F238E27FC236}">
              <a16:creationId xmlns:a16="http://schemas.microsoft.com/office/drawing/2014/main" id="{C03580FD-DDC0-4253-AB47-B72DD94ABF9F}"/>
            </a:ext>
          </a:extLst>
        </xdr:cNvPr>
        <xdr:cNvSpPr/>
      </xdr:nvSpPr>
      <xdr:spPr>
        <a:xfrm rot="16200000">
          <a:off x="2233613" y="5405438"/>
          <a:ext cx="919163" cy="214310"/>
        </a:xfrm>
        <a:prstGeom prst="leftArrow">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138116</xdr:colOff>
      <xdr:row>11</xdr:row>
      <xdr:rowOff>61912</xdr:rowOff>
    </xdr:from>
    <xdr:to>
      <xdr:col>3</xdr:col>
      <xdr:colOff>371478</xdr:colOff>
      <xdr:row>13</xdr:row>
      <xdr:rowOff>333375</xdr:rowOff>
    </xdr:to>
    <xdr:sp macro="" textlink="">
      <xdr:nvSpPr>
        <xdr:cNvPr id="11" name="Arrow: Left 10">
          <a:extLst>
            <a:ext uri="{FF2B5EF4-FFF2-40B4-BE49-F238E27FC236}">
              <a16:creationId xmlns:a16="http://schemas.microsoft.com/office/drawing/2014/main" id="{39ACF70F-8A01-4977-B9E6-25194CD157B9}"/>
            </a:ext>
          </a:extLst>
        </xdr:cNvPr>
        <xdr:cNvSpPr/>
      </xdr:nvSpPr>
      <xdr:spPr>
        <a:xfrm rot="16200000">
          <a:off x="2247903" y="7058025"/>
          <a:ext cx="871538" cy="233362"/>
        </a:xfrm>
        <a:prstGeom prst="leftArrow">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209550</xdr:colOff>
      <xdr:row>28</xdr:row>
      <xdr:rowOff>57150</xdr:rowOff>
    </xdr:from>
    <xdr:to>
      <xdr:col>4</xdr:col>
      <xdr:colOff>295275</xdr:colOff>
      <xdr:row>31</xdr:row>
      <xdr:rowOff>95250</xdr:rowOff>
    </xdr:to>
    <xdr:sp macro="" textlink="">
      <xdr:nvSpPr>
        <xdr:cNvPr id="12" name="Oval 11">
          <a:extLst>
            <a:ext uri="{FF2B5EF4-FFF2-40B4-BE49-F238E27FC236}">
              <a16:creationId xmlns:a16="http://schemas.microsoft.com/office/drawing/2014/main" id="{0938B4A9-C8A9-4C0E-BB2B-504F6177AD26}"/>
            </a:ext>
          </a:extLst>
        </xdr:cNvPr>
        <xdr:cNvSpPr/>
      </xdr:nvSpPr>
      <xdr:spPr>
        <a:xfrm>
          <a:off x="1876425" y="11068050"/>
          <a:ext cx="1638300" cy="6381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Arial" panose="020B0604020202020204" pitchFamily="34" charset="0"/>
              <a:cs typeface="Arial" panose="020B0604020202020204" pitchFamily="34" charset="0"/>
            </a:rPr>
            <a:t>Kết</a:t>
          </a:r>
          <a:r>
            <a:rPr lang="en-US" sz="1400" b="1" baseline="0">
              <a:latin typeface="Arial" panose="020B0604020202020204" pitchFamily="34" charset="0"/>
              <a:cs typeface="Arial" panose="020B0604020202020204" pitchFamily="34" charset="0"/>
            </a:rPr>
            <a:t> thúc</a:t>
          </a:r>
          <a:endParaRPr lang="en-US" sz="1400" b="1">
            <a:latin typeface="Arial" panose="020B0604020202020204" pitchFamily="34" charset="0"/>
            <a:cs typeface="Arial" panose="020B0604020202020204" pitchFamily="34" charset="0"/>
          </a:endParaRPr>
        </a:p>
      </xdr:txBody>
    </xdr:sp>
    <xdr:clientData/>
  </xdr:twoCellAnchor>
  <xdr:twoCellAnchor>
    <xdr:from>
      <xdr:col>3</xdr:col>
      <xdr:colOff>119066</xdr:colOff>
      <xdr:row>15</xdr:row>
      <xdr:rowOff>419100</xdr:rowOff>
    </xdr:from>
    <xdr:to>
      <xdr:col>3</xdr:col>
      <xdr:colOff>361950</xdr:colOff>
      <xdr:row>19</xdr:row>
      <xdr:rowOff>76200</xdr:rowOff>
    </xdr:to>
    <xdr:sp macro="" textlink="">
      <xdr:nvSpPr>
        <xdr:cNvPr id="13" name="Arrow: Left 12">
          <a:extLst>
            <a:ext uri="{FF2B5EF4-FFF2-40B4-BE49-F238E27FC236}">
              <a16:creationId xmlns:a16="http://schemas.microsoft.com/office/drawing/2014/main" id="{075559DA-8342-4164-BAF3-A56EAA389E9E}"/>
            </a:ext>
          </a:extLst>
        </xdr:cNvPr>
        <xdr:cNvSpPr/>
      </xdr:nvSpPr>
      <xdr:spPr>
        <a:xfrm rot="16200000">
          <a:off x="2297908" y="8803483"/>
          <a:ext cx="742950" cy="242884"/>
        </a:xfrm>
        <a:prstGeom prst="leftArrow">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119066</xdr:colOff>
      <xdr:row>24</xdr:row>
      <xdr:rowOff>47624</xdr:rowOff>
    </xdr:from>
    <xdr:to>
      <xdr:col>3</xdr:col>
      <xdr:colOff>342900</xdr:colOff>
      <xdr:row>28</xdr:row>
      <xdr:rowOff>57149</xdr:rowOff>
    </xdr:to>
    <xdr:sp macro="" textlink="">
      <xdr:nvSpPr>
        <xdr:cNvPr id="14" name="Arrow: Left 13">
          <a:extLst>
            <a:ext uri="{FF2B5EF4-FFF2-40B4-BE49-F238E27FC236}">
              <a16:creationId xmlns:a16="http://schemas.microsoft.com/office/drawing/2014/main" id="{9E39B74E-9B2E-45F6-86E9-F128074C3113}"/>
            </a:ext>
          </a:extLst>
        </xdr:cNvPr>
        <xdr:cNvSpPr/>
      </xdr:nvSpPr>
      <xdr:spPr>
        <a:xfrm rot="16200000">
          <a:off x="2259808" y="10556082"/>
          <a:ext cx="800100" cy="223834"/>
        </a:xfrm>
        <a:prstGeom prst="leftArrow">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600075</xdr:colOff>
      <xdr:row>2</xdr:row>
      <xdr:rowOff>352424</xdr:rowOff>
    </xdr:from>
    <xdr:to>
      <xdr:col>5</xdr:col>
      <xdr:colOff>447675</xdr:colOff>
      <xdr:row>6</xdr:row>
      <xdr:rowOff>61912</xdr:rowOff>
    </xdr:to>
    <xdr:sp macro="" textlink="">
      <xdr:nvSpPr>
        <xdr:cNvPr id="15" name="Arrow: U-Turn 14">
          <a:extLst>
            <a:ext uri="{FF2B5EF4-FFF2-40B4-BE49-F238E27FC236}">
              <a16:creationId xmlns:a16="http://schemas.microsoft.com/office/drawing/2014/main" id="{189F6AA0-9F49-43A5-90EE-97489A919FDF}"/>
            </a:ext>
          </a:extLst>
        </xdr:cNvPr>
        <xdr:cNvSpPr/>
      </xdr:nvSpPr>
      <xdr:spPr>
        <a:xfrm rot="5400000" flipH="1">
          <a:off x="3245643" y="3602831"/>
          <a:ext cx="1738313" cy="590550"/>
        </a:xfrm>
        <a:prstGeom prst="uturnArrow">
          <a:avLst>
            <a:gd name="adj1" fmla="val 10294"/>
            <a:gd name="adj2" fmla="val 25000"/>
            <a:gd name="adj3" fmla="val 31518"/>
            <a:gd name="adj4" fmla="val 40074"/>
            <a:gd name="adj5" fmla="val 100000"/>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4</xdr:col>
      <xdr:colOff>657224</xdr:colOff>
      <xdr:row>9</xdr:row>
      <xdr:rowOff>342898</xdr:rowOff>
    </xdr:from>
    <xdr:to>
      <xdr:col>5</xdr:col>
      <xdr:colOff>466725</xdr:colOff>
      <xdr:row>14</xdr:row>
      <xdr:rowOff>385761</xdr:rowOff>
    </xdr:to>
    <xdr:sp macro="" textlink="">
      <xdr:nvSpPr>
        <xdr:cNvPr id="16" name="Arrow: U-Turn 15">
          <a:extLst>
            <a:ext uri="{FF2B5EF4-FFF2-40B4-BE49-F238E27FC236}">
              <a16:creationId xmlns:a16="http://schemas.microsoft.com/office/drawing/2014/main" id="{0989D1D9-5253-48F7-A852-1428DBF3175E}"/>
            </a:ext>
          </a:extLst>
        </xdr:cNvPr>
        <xdr:cNvSpPr/>
      </xdr:nvSpPr>
      <xdr:spPr>
        <a:xfrm rot="5400000" flipH="1">
          <a:off x="3188493" y="6879429"/>
          <a:ext cx="1928813" cy="552451"/>
        </a:xfrm>
        <a:prstGeom prst="uturnArrow">
          <a:avLst>
            <a:gd name="adj1" fmla="val 10294"/>
            <a:gd name="adj2" fmla="val 25000"/>
            <a:gd name="adj3" fmla="val 31518"/>
            <a:gd name="adj4" fmla="val 40074"/>
            <a:gd name="adj5" fmla="val 100000"/>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xdr:col>
      <xdr:colOff>57152</xdr:colOff>
      <xdr:row>9</xdr:row>
      <xdr:rowOff>342898</xdr:rowOff>
    </xdr:from>
    <xdr:to>
      <xdr:col>1</xdr:col>
      <xdr:colOff>581025</xdr:colOff>
      <xdr:row>21</xdr:row>
      <xdr:rowOff>138111</xdr:rowOff>
    </xdr:to>
    <xdr:sp macro="" textlink="">
      <xdr:nvSpPr>
        <xdr:cNvPr id="17" name="Arrow: U-Turn 16">
          <a:extLst>
            <a:ext uri="{FF2B5EF4-FFF2-40B4-BE49-F238E27FC236}">
              <a16:creationId xmlns:a16="http://schemas.microsoft.com/office/drawing/2014/main" id="{E42C9E9C-8581-47D7-9B83-532DDF419E87}"/>
            </a:ext>
          </a:extLst>
        </xdr:cNvPr>
        <xdr:cNvSpPr/>
      </xdr:nvSpPr>
      <xdr:spPr>
        <a:xfrm rot="5400000" flipH="1" flipV="1">
          <a:off x="-550068" y="7712868"/>
          <a:ext cx="3567113" cy="523873"/>
        </a:xfrm>
        <a:prstGeom prst="uturnArrow">
          <a:avLst>
            <a:gd name="adj1" fmla="val 10294"/>
            <a:gd name="adj2" fmla="val 25000"/>
            <a:gd name="adj3" fmla="val 31518"/>
            <a:gd name="adj4" fmla="val 40074"/>
            <a:gd name="adj5" fmla="val 100000"/>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oneCellAnchor>
    <xdr:from>
      <xdr:col>5</xdr:col>
      <xdr:colOff>83980</xdr:colOff>
      <xdr:row>2</xdr:row>
      <xdr:rowOff>662590</xdr:rowOff>
    </xdr:from>
    <xdr:ext cx="298800" cy="1092030"/>
    <xdr:sp macro="" textlink="">
      <xdr:nvSpPr>
        <xdr:cNvPr id="18" name="TextBox 17">
          <a:extLst>
            <a:ext uri="{FF2B5EF4-FFF2-40B4-BE49-F238E27FC236}">
              <a16:creationId xmlns:a16="http://schemas.microsoft.com/office/drawing/2014/main" id="{205A18D0-C3F7-4AA9-A76D-3210E469D6EB}"/>
            </a:ext>
          </a:extLst>
        </xdr:cNvPr>
        <xdr:cNvSpPr txBox="1"/>
      </xdr:nvSpPr>
      <xdr:spPr>
        <a:xfrm rot="16200000">
          <a:off x="3649765" y="3735730"/>
          <a:ext cx="109203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anose="020B0604020202020204" pitchFamily="34" charset="0"/>
              <a:cs typeface="Arial" panose="020B0604020202020204" pitchFamily="34" charset="0"/>
            </a:rPr>
            <a:t>Không</a:t>
          </a:r>
          <a:r>
            <a:rPr lang="en-US" sz="1400" b="1" baseline="0">
              <a:latin typeface="Arial" panose="020B0604020202020204" pitchFamily="34" charset="0"/>
              <a:cs typeface="Arial" panose="020B0604020202020204" pitchFamily="34" charset="0"/>
            </a:rPr>
            <a:t> Đạt</a:t>
          </a:r>
          <a:endParaRPr lang="en-US" sz="1100" b="1">
            <a:latin typeface="Arial" panose="020B0604020202020204" pitchFamily="34" charset="0"/>
            <a:cs typeface="Arial" panose="020B0604020202020204" pitchFamily="34" charset="0"/>
          </a:endParaRPr>
        </a:p>
      </xdr:txBody>
    </xdr:sp>
    <xdr:clientData/>
  </xdr:oneCellAnchor>
  <xdr:oneCellAnchor>
    <xdr:from>
      <xdr:col>5</xdr:col>
      <xdr:colOff>112555</xdr:colOff>
      <xdr:row>10</xdr:row>
      <xdr:rowOff>357790</xdr:rowOff>
    </xdr:from>
    <xdr:ext cx="298800" cy="1092030"/>
    <xdr:sp macro="" textlink="">
      <xdr:nvSpPr>
        <xdr:cNvPr id="19" name="TextBox 18">
          <a:extLst>
            <a:ext uri="{FF2B5EF4-FFF2-40B4-BE49-F238E27FC236}">
              <a16:creationId xmlns:a16="http://schemas.microsoft.com/office/drawing/2014/main" id="{5C982F5B-0D89-489C-8D22-899CDD7A879C}"/>
            </a:ext>
          </a:extLst>
        </xdr:cNvPr>
        <xdr:cNvSpPr txBox="1"/>
      </xdr:nvSpPr>
      <xdr:spPr>
        <a:xfrm rot="16200000">
          <a:off x="3678340" y="7050430"/>
          <a:ext cx="109203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anose="020B0604020202020204" pitchFamily="34" charset="0"/>
              <a:cs typeface="Arial" panose="020B0604020202020204" pitchFamily="34" charset="0"/>
            </a:rPr>
            <a:t>Không</a:t>
          </a:r>
          <a:r>
            <a:rPr lang="en-US" sz="1400" b="1" baseline="0">
              <a:latin typeface="Arial" panose="020B0604020202020204" pitchFamily="34" charset="0"/>
              <a:cs typeface="Arial" panose="020B0604020202020204" pitchFamily="34" charset="0"/>
            </a:rPr>
            <a:t> Đạt</a:t>
          </a:r>
          <a:endParaRPr lang="en-US" sz="1100" b="1">
            <a:latin typeface="Arial" panose="020B0604020202020204" pitchFamily="34" charset="0"/>
            <a:cs typeface="Arial" panose="020B0604020202020204" pitchFamily="34" charset="0"/>
          </a:endParaRPr>
        </a:p>
      </xdr:txBody>
    </xdr:sp>
    <xdr:clientData/>
  </xdr:oneCellAnchor>
  <xdr:oneCellAnchor>
    <xdr:from>
      <xdr:col>1</xdr:col>
      <xdr:colOff>141130</xdr:colOff>
      <xdr:row>12</xdr:row>
      <xdr:rowOff>243490</xdr:rowOff>
    </xdr:from>
    <xdr:ext cx="298800" cy="1092030"/>
    <xdr:sp macro="" textlink="">
      <xdr:nvSpPr>
        <xdr:cNvPr id="20" name="TextBox 19">
          <a:extLst>
            <a:ext uri="{FF2B5EF4-FFF2-40B4-BE49-F238E27FC236}">
              <a16:creationId xmlns:a16="http://schemas.microsoft.com/office/drawing/2014/main" id="{B403D69A-7638-4479-9B0C-561B1F1020BB}"/>
            </a:ext>
          </a:extLst>
        </xdr:cNvPr>
        <xdr:cNvSpPr txBox="1"/>
      </xdr:nvSpPr>
      <xdr:spPr>
        <a:xfrm rot="16200000">
          <a:off x="658915" y="7631455"/>
          <a:ext cx="109203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anose="020B0604020202020204" pitchFamily="34" charset="0"/>
              <a:cs typeface="Arial" panose="020B0604020202020204" pitchFamily="34" charset="0"/>
            </a:rPr>
            <a:t>Không</a:t>
          </a:r>
          <a:r>
            <a:rPr lang="en-US" sz="1400" b="1" baseline="0">
              <a:latin typeface="Arial" panose="020B0604020202020204" pitchFamily="34" charset="0"/>
              <a:cs typeface="Arial" panose="020B0604020202020204" pitchFamily="34" charset="0"/>
            </a:rPr>
            <a:t> Đạt</a:t>
          </a:r>
          <a:endParaRPr lang="en-US" sz="1100" b="1">
            <a:latin typeface="Arial" panose="020B0604020202020204" pitchFamily="34" charset="0"/>
            <a:cs typeface="Arial" panose="020B0604020202020204" pitchFamily="34" charset="0"/>
          </a:endParaRPr>
        </a:p>
      </xdr:txBody>
    </xdr:sp>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60408_BSV_HoachDinhHeThong_BoPhanThietKe_CLMTK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 Assessment &amp; Control"/>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ienLuocMucTieuNVTK"/>
      <sheetName val="DanhMucKT"/>
      <sheetName val="DanhMucKC"/>
      <sheetName val="DanhMucDien"/>
      <sheetName val="DanhMucHVAC"/>
      <sheetName val="DanhMucCTN"/>
      <sheetName val="DanhMucPCCC"/>
      <sheetName val="Sheet1"/>
      <sheetName val="MoTaNguonLuc"/>
    </sheetNames>
    <sheetDataSet>
      <sheetData sheetId="0" refreshError="1"/>
      <sheetData sheetId="1">
        <row r="1">
          <cell r="A1" t="str">
            <v>STT</v>
          </cell>
          <cell r="B1" t="str">
            <v>Tài liệu</v>
          </cell>
          <cell r="C1" t="str">
            <v>Mô tả yêu cầu</v>
          </cell>
          <cell r="D1" t="str">
            <v>Mục đích</v>
          </cell>
        </row>
        <row r="4">
          <cell r="D4" t="str">
            <v>Phải thống nhất để phục vụ quá trình tìm kiếm thông tin nhanh, hiệu quả, sử dụng thông tin cho các mục đích như chuyển giao, lấy khối lượng, tự động hoá, quản lý hệ thống….</v>
          </cell>
        </row>
        <row r="6">
          <cell r="D6" t="str">
            <v>Nhằm chuẩn bị nhanh chóng trước khi làm việc với khách hàng, giảm thời gian làm rõ thông tin, tránh hiểu nhầm dẫn đến điều chỉnh thiết kế nhiều, thiết kê sai ý đồ khách hàng</v>
          </cell>
        </row>
        <row r="7">
          <cell r="D7" t="str">
            <v>Nhằm kiểm soát nhanh các tài liệu đầu vào để kịp thời bổ sung trong quá trình làm việc với khách hàng, tránh thiết kế ở trạng thái thiếu thông tin dẫn đến điều chỉnh nhiều</v>
          </cell>
        </row>
        <row r="8">
          <cell r="D8" t="str">
            <v>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BSV có lợi thế đối tác chiến lượng hoặc liên quan đến BPTC, hồ sơ chất lượng QAQC...</v>
          </cell>
        </row>
        <row r="9">
          <cell r="D9" t="str">
            <v>Đồng bộ toàn bộ bản vẽ, hồ sơ, cách thể hiện thông tin trên tât cả các dự án, là cơ sở triển khai hàng loạt công cụ tự động hoá trên toàn hệ thống, giúp tăng hiệu suất triển khai trên toàn hệ thống</v>
          </cell>
        </row>
        <row r="10">
          <cell r="D10" t="str">
            <v>Triển khai nhanh tiến độ thiết kế khi làm việc với khách hàng, căn cứ kiểm soát kết qủa công việc khi triển khai, căn cứ phối hợp các bộ môn khác khi triển khai</v>
          </cell>
        </row>
        <row r="11">
          <cell r="D11" t="str">
            <v>Triển khai nhanh kế hoạch triển khai bản vẽ, căn cứ để quản lý thay đổi, quản lý hồ sơ đóng gói, tự động hoá một số thao tác khi triển khai bản vẽ, đồng bộ cách đặt tên trên toàn hệ thống</v>
          </cell>
        </row>
        <row r="12">
          <cell r="D12" t="str">
            <v>Vai trò như 1 tài liệu mô tả, hướng dẫn, giải thích cho cả khách hàng lẫn các cán bộ trẻ có nhu cầu tìm hiểu trong nội bộ, đào tạo trẻ</v>
          </cell>
        </row>
        <row r="13">
          <cell r="D13" t="str">
            <v>Hướng dẫn quản lý thông tin thay đổi, giảm rủi ro làm lại nhiều lần, sai xót do không đồng bộ giữa các bộ môn</v>
          </cell>
        </row>
        <row r="14">
          <cell r="D14" t="str">
            <v>Nhằm cung cấp công cụ tính toán, quy định, quy chuẩn, tiêu châunr tính toán nhanh nhất cho cán bộ triển khai, phục vụ giải trình khi được các bên yêu cầu</v>
          </cell>
        </row>
        <row r="15">
          <cell r="D15" t="str">
            <v>Đồng bộ toàn bộ bản vẽ, hồ sơ, cách thể hiện thông tin trên tât cả các dự án, là cơ sở triển khai hàng loạt công cụ tự động hoá trên toàn hệ thống, giúp tăng hiệu suất triển khai trên toàn hệ thống</v>
          </cell>
        </row>
        <row r="16">
          <cell r="D16" t="str">
            <v>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v>
          </cell>
        </row>
        <row r="17">
          <cell r="D17" t="str">
            <v>Giảm thao tác thủ công, tăng hiệu suất triển khai các sản phẩm thiết kế, hỗ trợ tự động hoá, tính đầy đủ cho các bước tiếp theo hoặc chuyển giao thông tin</v>
          </cell>
        </row>
        <row r="18">
          <cell r="D18" t="str">
            <v>Nhằm rút ra các bài học trọng yếu, tránh sai lầm, tối ưu thiết kế qua từng dự án</v>
          </cell>
        </row>
        <row r="20">
          <cell r="D20" t="str">
            <v>Nhằm điển hình hoá các hạng mục trong phân khúc công ty hay triển khai, nhờ đó giảm thời gian triển khai trên toàn hệ thống, mang lại lợi thế khi đấu thầu, thi công, là tài liệu định hướng, đề xuất cho khách hàng, từ đây có thể định hướng BPTC, giảm chi phí, đẩy nhanh tiến độ, nâng cao chất lượng khi xây dựng</v>
          </cell>
        </row>
        <row r="21">
          <cell r="D21" t="str">
            <v>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v>
          </cell>
        </row>
      </sheetData>
      <sheetData sheetId="2" refreshError="1"/>
      <sheetData sheetId="3">
        <row r="2">
          <cell r="D2" t="str">
            <v>Có biểu mẫu triển khai theo một kiểu nhất định từ bố cục thông tin đến diễn giải chi tiết , chia thuyết minh ra theo phân loại hệ thống đã thiết kế, các dự án có thay đổi thì chỉ cần xác định chính xác các vị trí cần thay đổi thôi, phục vụ hồ sơ pháp lý, giải trình khi được yêu cầu</v>
          </cell>
        </row>
        <row r="3">
          <cell r="D3" t="str">
            <v>Phải thống nhất để phục vụ quá trình tìm kiếm thông tin nhanh, hiệu quả, sử dụng thông tin cho các mục đích như chuyển giao, lấy khối lượng, tự động hoá, quản lý hệ thống….</v>
          </cell>
        </row>
        <row r="4">
          <cell r="D4" t="str">
            <v>Nhằm cung cấp công cụ tính toán, quy định, quy chuẩn, tiêu châunr tính toán nhanh nhất cho cán bộ triển khai, phục vụ giải trình khi được các bên yêu cầu</v>
          </cell>
        </row>
        <row r="5">
          <cell r="D5" t="str">
            <v>Nhằm chuẩn bị nhanh chóng trước khi làm việc với khách hàng, giảm thời gian làm rõ thông tin, tránh hiểu nhầm dẫn đến điều chỉnh thiết kế nhiều, thiết kê sai ý đồ khách hàng</v>
          </cell>
        </row>
        <row r="6">
          <cell r="D6" t="str">
            <v>Nhằm kiểm soát nhanh các tài liệu đầu vào để kịp thời bổ sung trong quá trình làm việc với khách hàng, tránh thiết kế ở trạng thái thiếu thông tin dẫn đến điều chỉnh nhiều</v>
          </cell>
        </row>
        <row r="7">
          <cell r="D7" t="str">
            <v>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BSV có lợi thế đối tác chiến lượng hoặc liên quan đến BPTC, hồ sơ chất lượng QAQC...</v>
          </cell>
        </row>
        <row r="8">
          <cell r="D8" t="str">
            <v>Đồng bộ toàn bộ bản vẽ, hồ sơ, cách thể hiện thông tin trên tât cả các dự án, là cơ sở triển khai hàng loạt công cụ tự động hoá trên toàn hệ thống, giúp tăng hiệu suất triển khai trên toàn hệ thống</v>
          </cell>
        </row>
        <row r="9">
          <cell r="D9" t="str">
            <v>Triển khai nhanh tiến độ thiết kế khi làm việc với khách hàng, căn cứ kiểm soát kết qủa công việc khi triển khai, căn cứ phối hợp các bộ môn khác khi triển khai</v>
          </cell>
        </row>
        <row r="10">
          <cell r="D10" t="str">
            <v>Triển khai nhanh kế hoạch triển khai bản vẽ, căn cứ để quản lý thay đổi, quản lý hồ sơ đóng gói, tự động hoá một số thao tác khi triển khai bản vẽ, đồng bộ cách đặt tên trên toàn hệ thống</v>
          </cell>
        </row>
        <row r="11">
          <cell r="D11" t="str">
            <v>Vai trò như 1 tài liệu mô tả, hướng dẫn, giải thích cho cả khách hàng lẫn các cán bộ trẻ có nhu cầu tìm hiểu trong nội bộ, đào tạo trẻ</v>
          </cell>
        </row>
        <row r="12">
          <cell r="D12" t="str">
            <v>Như một định hướng thiết kế và tài liệu mẫu để điều chỉnh nhanh trong quá trình triển khai thiết kế</v>
          </cell>
        </row>
        <row r="13">
          <cell r="D13" t="str">
            <v>Đồng bộ toàn bộ bản vẽ, hồ sơ, cách thể hiện thông tin trên tât cả các dự án, là cơ sở triển khai hàng loạt công cụ tự động hoá trên toàn hệ thống, giúp tăng hiệu suất triển khai trên toàn hệ thống</v>
          </cell>
        </row>
        <row r="14">
          <cell r="D14" t="str">
            <v>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v>
          </cell>
        </row>
        <row r="15">
          <cell r="D15" t="str">
            <v>Giảm thao tác thủ công, tăng hiệu suất triển khai các sản phẩm thiết kế, hỗ trợ tự động hoá, tính đầy đủ cho các bước tiếp theo hoặc chuyển giao thông tin</v>
          </cell>
        </row>
        <row r="16">
          <cell r="D16" t="str">
            <v>Nhằm rút ra các bài học trọng yếu, tránh sai lầm, tối ưu thiết kế qua từng dự án</v>
          </cell>
        </row>
        <row r="17">
          <cell r="D17" t="str">
            <v>Nhằm điển hình hoá các hạng mục trong phân khúc công ty hay triển khai, nhờ đó giảm thời gian triển khai trên toàn hệ thống, mang lại lợi thế khi đấu thầu, thi công, là tài liệu định hướng, đề xuất cho khách hàng, từ đây có thể định hướng BPTC, giảm chi phí, đẩy nhanh tiến độ, nâng cao chất lượng khi xây dựng</v>
          </cell>
        </row>
        <row r="18">
          <cell r="D18" t="str">
            <v>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v>
          </cell>
        </row>
        <row r="19">
          <cell r="B19" t="str">
            <v>Các biểu mẫu so sánh giữa các phương án thiết kế</v>
          </cell>
          <cell r="C19" t="str">
            <v>Bao gồm đầy đủ các tiêu chí so sánh giữa 2 hoặc 3 phương án thiết kế, các tiêu chí như : thông số kĩ thuật, vân hành, thi công, chi phí, tiến độ, thẩm mỹ, an toàn…</v>
          </cell>
          <cell r="D19" t="str">
            <v>Nhằm triển khai nhanh phục vụ khách hàng hoặc lãnh đạo hoặc chính kĩ sư, chủ trì thiết kế ra quyết định trong việc lựa chon các phương án thiết kế chính</v>
          </cell>
        </row>
      </sheetData>
      <sheetData sheetId="4">
        <row r="2">
          <cell r="D2" t="str">
            <v>Có biểu mẫu triển khai theo một kiểu nhất định từ bố cục thông tin đến diễn giải chi tiết , chia thuyết minh ra theo phân loại hệ thống đã thiết kế, các dự án có thay đổi thì chỉ cần xác định chính xác các vị trí cần thay đổi thôi, phục vụ hồ sơ pháp lý, giải trình khi được yêu cầu</v>
          </cell>
        </row>
        <row r="3">
          <cell r="D3" t="str">
            <v>Phải thống nhất để phục vụ quá trình tìm kiếm thông tin nhanh, hiệu quả, sử dụng thông tin cho các mục đích như chuyển giao, lấy khối lượng, tự động hoá, quản lý hệ thống….</v>
          </cell>
        </row>
        <row r="4">
          <cell r="D4" t="str">
            <v>Nhằm cung cấp công cụ tính toán, quy định, quy chuẩn, tiêu châunr tính toán nhanh nhất cho cán bộ triển khai, phục vụ giải trình khi được các bên yêu cầu</v>
          </cell>
        </row>
        <row r="5">
          <cell r="D5" t="str">
            <v>Nhằm chuẩn bị nhanh chóng trước khi làm việc với khách hàng, giảm thời gian làm rõ thông tin, tránh hiểu nhầm dẫn đến điều chỉnh thiết kế nhiều, thiết kê sai ý đồ khách hàng</v>
          </cell>
        </row>
        <row r="6">
          <cell r="D6" t="str">
            <v>Nhằm kiểm soát nhanh các tài liệu đầu vào để kịp thời bổ sung trong quá trình làm việc với khách hàng, tránh thiết kế ở trạng thái thiếu thông tin dẫn đến điều chỉnh nhiều</v>
          </cell>
        </row>
        <row r="7">
          <cell r="D7" t="str">
            <v>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BSV có lợi thế đối tác chiến lượng hoặc liên quan đến BPTC, hồ sơ chất lượng QAQC...</v>
          </cell>
        </row>
        <row r="8">
          <cell r="D8" t="str">
            <v>Đồng bộ toàn bộ bản vẽ, hồ sơ, cách thể hiện thông tin trên tât cả các dự án, là cơ sở triển khai hàng loạt công cụ tự động hoá trên toàn hệ thống, giúp tăng hiệu suất triển khai trên toàn hệ thống</v>
          </cell>
        </row>
        <row r="9">
          <cell r="D9" t="str">
            <v>Triển khai nhanh tiến độ thiết kế khi làm việc với khách hàng, căn cứ kiểm soát kết qủa công việc khi triển khai, căn cứ phối hợp các bộ môn khác khi triển khai</v>
          </cell>
        </row>
        <row r="10">
          <cell r="D10" t="str">
            <v>Triển khai nhanh kế hoạch triển khai bản vẽ, căn cứ để quản lý thay đổi, quản lý hồ sơ đóng gói, tự động hoá một số thao tác khi triển khai bản vẽ, đồng bộ cách đặt tên trên toàn hệ thống</v>
          </cell>
        </row>
        <row r="11">
          <cell r="D11" t="str">
            <v>Vai trò như 1 tài liệu mô tả, hướng dẫn, giải thích cho cả khách hàng lẫn các cán bộ trẻ có nhu cầu tìm hiểu trong nội bộ, đào tạo trẻ</v>
          </cell>
        </row>
        <row r="12">
          <cell r="D12" t="str">
            <v>Như một định hướng thiết kế và tài liệu mẫu để điều chỉnh nhanh trong quá trình triển khai thiết kế</v>
          </cell>
        </row>
        <row r="13">
          <cell r="D13" t="str">
            <v>Đồng bộ toàn bộ bản vẽ, hồ sơ, cách thể hiện thông tin trên tât cả các dự án, là cơ sở triển khai hàng loạt công cụ tự động hoá trên toàn hệ thống, giúp tăng hiệu suất triển khai trên toàn hệ thống</v>
          </cell>
        </row>
        <row r="14">
          <cell r="D14" t="str">
            <v>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v>
          </cell>
        </row>
        <row r="15">
          <cell r="D15" t="str">
            <v>Giảm thao tác thủ công, tăng hiệu suất triển khai các sản phẩm thiết kế, hỗ trợ tự động hoá, tính đầy đủ cho các bước tiếp theo hoặc chuyển giao thông tin</v>
          </cell>
        </row>
        <row r="16">
          <cell r="D16" t="str">
            <v>Nhằm rút ra các bài học trọng yếu, tránh sai lầm, tối ưu thiết kế qua từng dự án</v>
          </cell>
        </row>
        <row r="17">
          <cell r="D17" t="str">
            <v>Nhằm điển hình hoá các hạng mục trong phân khúc công ty hay triển khai, nhờ đó giảm thời gian triển khai trên toàn hệ thống, mang lại lợi thế khi đấu thầu, thi công, là tài liệu định hướng, đề xuất cho khách hàng, từ đây có thể định hướng BPTC, giảm chi phí, đẩy nhanh tiến độ, nâng cao chất lượng khi xây dựng</v>
          </cell>
        </row>
        <row r="18">
          <cell r="D18" t="str">
            <v>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v>
          </cell>
        </row>
        <row r="19">
          <cell r="B19" t="str">
            <v>Các biểu mẫu so sánh giữa các phương án thiết kế</v>
          </cell>
          <cell r="C19" t="str">
            <v>Bao gồm đầy đủ các tiêu chí so sánh giữa 2 hoặc 3 phương án thiết kế, các tiêu chí như : thông số kĩ thuật, vân hành, thi công, chi phí, tiến độ, thẩm mỹ, an toàn…</v>
          </cell>
          <cell r="D19" t="str">
            <v>Nhằm triển khai nhanh phục vụ khách hàng hoặc lãnh đạo hoặc chính kĩ sư, chủ trì thiết kế ra quyết định trong việc lựa chon các phương án thiết kế chính</v>
          </cell>
        </row>
      </sheetData>
      <sheetData sheetId="5">
        <row r="19">
          <cell r="B19" t="str">
            <v>Các biểu mẫu so sánh giữa các phương án thiết kế</v>
          </cell>
          <cell r="C19" t="str">
            <v>Bao gồm đầy đủ các tiêu chí so sánh giữa 2 hoặc 3 phương án thiết kế, các tiêu chí như : thông số kĩ thuật, vân hành, thi công, chi phí, tiến độ, thẩm mỹ, an toàn…</v>
          </cell>
          <cell r="D19" t="str">
            <v>Nhằm triển khai nhanh phục vụ khách hàng hoặc lãnh đạo hoặc chính kĩ sư, chủ trì thiết kế ra quyết định trong việc lựa chon các phương án thiết kế chính</v>
          </cell>
        </row>
      </sheetData>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4E247-7C5C-499D-A183-1B3F881D197D}">
  <sheetPr>
    <tabColor rgb="FFFF0000"/>
  </sheetPr>
  <dimension ref="A1:Y30"/>
  <sheetViews>
    <sheetView showGridLines="0" zoomScale="85" zoomScaleNormal="85" workbookViewId="0">
      <selection activeCell="V33" sqref="V33"/>
    </sheetView>
  </sheetViews>
  <sheetFormatPr defaultRowHeight="15" x14ac:dyDescent="0.25"/>
  <sheetData>
    <row r="1" spans="1:25" x14ac:dyDescent="0.25">
      <c r="A1" s="200"/>
      <c r="B1" s="200"/>
      <c r="C1" s="200"/>
      <c r="D1" s="200"/>
      <c r="E1" s="200"/>
      <c r="F1" s="200"/>
      <c r="G1" s="200"/>
      <c r="H1" s="200"/>
      <c r="I1" s="200"/>
      <c r="J1" s="200"/>
      <c r="K1" s="200"/>
      <c r="L1" s="200"/>
      <c r="M1" s="200"/>
      <c r="N1" s="200"/>
      <c r="O1" s="200"/>
      <c r="P1" s="200"/>
      <c r="Q1" s="200"/>
      <c r="R1" s="200"/>
      <c r="S1" s="200"/>
      <c r="T1" s="200"/>
      <c r="U1" s="200"/>
      <c r="V1" s="200"/>
      <c r="W1" s="200"/>
      <c r="X1" s="200"/>
      <c r="Y1" s="200"/>
    </row>
    <row r="2" spans="1:25" x14ac:dyDescent="0.25">
      <c r="A2" s="200"/>
      <c r="B2" s="200"/>
      <c r="C2" s="200"/>
      <c r="D2" s="200"/>
      <c r="E2" s="200"/>
      <c r="F2" s="200"/>
      <c r="G2" s="200"/>
      <c r="H2" s="200"/>
      <c r="I2" s="200"/>
      <c r="J2" s="200"/>
      <c r="K2" s="200"/>
      <c r="L2" s="200"/>
      <c r="M2" s="200"/>
      <c r="N2" s="200"/>
      <c r="O2" s="200"/>
      <c r="P2" s="200"/>
      <c r="Q2" s="200"/>
      <c r="R2" s="200"/>
      <c r="S2" s="200"/>
      <c r="T2" s="200"/>
      <c r="U2" s="200"/>
      <c r="V2" s="200"/>
      <c r="W2" s="200"/>
      <c r="X2" s="200"/>
      <c r="Y2" s="200"/>
    </row>
    <row r="3" spans="1:25" x14ac:dyDescent="0.25">
      <c r="A3" s="200"/>
      <c r="B3" s="200"/>
      <c r="C3" s="200"/>
      <c r="D3" s="200"/>
      <c r="E3" s="200"/>
      <c r="F3" s="200"/>
      <c r="G3" s="200"/>
      <c r="H3" s="200"/>
      <c r="I3" s="200"/>
      <c r="J3" s="200"/>
      <c r="K3" s="200"/>
      <c r="L3" s="200"/>
      <c r="M3" s="200"/>
      <c r="N3" s="200"/>
      <c r="O3" s="200"/>
      <c r="P3" s="200"/>
      <c r="Q3" s="200"/>
      <c r="R3" s="200"/>
      <c r="S3" s="200"/>
      <c r="T3" s="200"/>
      <c r="U3" s="200"/>
      <c r="V3" s="200"/>
      <c r="W3" s="200"/>
      <c r="X3" s="200"/>
      <c r="Y3" s="200"/>
    </row>
    <row r="4" spans="1:25" x14ac:dyDescent="0.25">
      <c r="A4" s="200"/>
      <c r="B4" s="200"/>
      <c r="C4" s="200"/>
      <c r="D4" s="200"/>
      <c r="E4" s="200"/>
      <c r="F4" s="200"/>
      <c r="G4" s="200"/>
      <c r="H4" s="200"/>
      <c r="I4" s="200"/>
      <c r="J4" s="200"/>
      <c r="K4" s="200"/>
      <c r="L4" s="200"/>
      <c r="M4" s="200"/>
      <c r="N4" s="200"/>
      <c r="O4" s="200"/>
      <c r="P4" s="200"/>
      <c r="Q4" s="200"/>
      <c r="R4" s="200"/>
      <c r="S4" s="200"/>
      <c r="T4" s="200"/>
      <c r="U4" s="200"/>
      <c r="V4" s="200"/>
      <c r="W4" s="200"/>
      <c r="X4" s="200"/>
      <c r="Y4" s="200"/>
    </row>
    <row r="5" spans="1:25" x14ac:dyDescent="0.25">
      <c r="A5" s="200"/>
      <c r="B5" s="200"/>
      <c r="C5" s="200"/>
      <c r="D5" s="200"/>
      <c r="E5" s="200"/>
      <c r="F5" s="200"/>
      <c r="G5" s="200"/>
      <c r="H5" s="200"/>
      <c r="I5" s="200"/>
      <c r="J5" s="200"/>
      <c r="K5" s="200"/>
      <c r="L5" s="200"/>
      <c r="M5" s="200"/>
      <c r="N5" s="200"/>
      <c r="O5" s="200"/>
      <c r="P5" s="200"/>
      <c r="Q5" s="200"/>
      <c r="R5" s="200"/>
      <c r="S5" s="200"/>
      <c r="T5" s="200"/>
      <c r="U5" s="200"/>
      <c r="V5" s="200"/>
      <c r="W5" s="200"/>
      <c r="X5" s="200"/>
      <c r="Y5" s="200"/>
    </row>
    <row r="6" spans="1:25" x14ac:dyDescent="0.25">
      <c r="A6" s="200"/>
      <c r="B6" s="200"/>
      <c r="C6" s="200"/>
      <c r="D6" s="200"/>
      <c r="E6" s="200"/>
      <c r="F6" s="200"/>
      <c r="G6" s="200"/>
      <c r="H6" s="200"/>
      <c r="I6" s="200"/>
      <c r="J6" s="200"/>
      <c r="K6" s="200"/>
      <c r="L6" s="200"/>
      <c r="M6" s="200"/>
      <c r="N6" s="200"/>
      <c r="O6" s="200"/>
      <c r="P6" s="200"/>
      <c r="Q6" s="200"/>
      <c r="R6" s="200"/>
      <c r="S6" s="200"/>
      <c r="T6" s="200"/>
      <c r="U6" s="200"/>
      <c r="V6" s="200"/>
      <c r="W6" s="200"/>
      <c r="X6" s="200"/>
      <c r="Y6" s="200"/>
    </row>
    <row r="7" spans="1:25" x14ac:dyDescent="0.25">
      <c r="A7" s="200"/>
      <c r="B7" s="200"/>
      <c r="C7" s="200"/>
      <c r="D7" s="200"/>
      <c r="E7" s="200"/>
      <c r="F7" s="200"/>
      <c r="G7" s="200"/>
      <c r="H7" s="200"/>
      <c r="I7" s="200"/>
      <c r="J7" s="200"/>
      <c r="K7" s="200"/>
      <c r="L7" s="200"/>
      <c r="M7" s="200"/>
      <c r="N7" s="200"/>
      <c r="O7" s="200"/>
      <c r="P7" s="200"/>
      <c r="Q7" s="200"/>
      <c r="R7" s="200"/>
      <c r="S7" s="200"/>
      <c r="T7" s="200"/>
      <c r="U7" s="200"/>
      <c r="V7" s="200"/>
      <c r="W7" s="200"/>
      <c r="X7" s="200"/>
      <c r="Y7" s="200"/>
    </row>
    <row r="8" spans="1:25" x14ac:dyDescent="0.25">
      <c r="A8" s="200"/>
      <c r="B8" s="200"/>
      <c r="C8" s="200"/>
      <c r="D8" s="200"/>
      <c r="E8" s="200"/>
      <c r="F8" s="200"/>
      <c r="G8" s="200"/>
      <c r="H8" s="200"/>
      <c r="I8" s="200"/>
      <c r="J8" s="200"/>
      <c r="K8" s="200"/>
      <c r="L8" s="200"/>
      <c r="M8" s="200"/>
      <c r="N8" s="200"/>
      <c r="O8" s="200"/>
      <c r="P8" s="200"/>
      <c r="Q8" s="200"/>
      <c r="R8" s="200"/>
      <c r="S8" s="200"/>
      <c r="T8" s="200"/>
      <c r="U8" s="200"/>
      <c r="V8" s="200"/>
      <c r="W8" s="200"/>
      <c r="X8" s="200"/>
      <c r="Y8" s="200"/>
    </row>
    <row r="9" spans="1:25" x14ac:dyDescent="0.25">
      <c r="A9" s="200"/>
      <c r="B9" s="200"/>
      <c r="C9" s="200"/>
      <c r="D9" s="200"/>
      <c r="E9" s="200"/>
      <c r="F9" s="200"/>
      <c r="G9" s="200"/>
      <c r="H9" s="200"/>
      <c r="I9" s="200"/>
      <c r="J9" s="200"/>
      <c r="K9" s="200"/>
      <c r="L9" s="200"/>
      <c r="M9" s="200"/>
      <c r="N9" s="200"/>
      <c r="O9" s="200"/>
      <c r="P9" s="200"/>
      <c r="Q9" s="200"/>
      <c r="R9" s="200"/>
      <c r="S9" s="200"/>
      <c r="T9" s="200"/>
      <c r="U9" s="200"/>
      <c r="V9" s="200"/>
      <c r="W9" s="200"/>
      <c r="X9" s="200"/>
      <c r="Y9" s="200"/>
    </row>
    <row r="10" spans="1:25" x14ac:dyDescent="0.25">
      <c r="A10" s="200"/>
      <c r="B10" s="200"/>
      <c r="C10" s="200"/>
      <c r="D10" s="200"/>
      <c r="E10" s="200"/>
      <c r="F10" s="200"/>
      <c r="G10" s="200"/>
      <c r="H10" s="200"/>
      <c r="I10" s="200"/>
      <c r="J10" s="200"/>
      <c r="K10" s="200"/>
      <c r="L10" s="200"/>
      <c r="M10" s="200"/>
      <c r="N10" s="200"/>
      <c r="O10" s="200"/>
      <c r="P10" s="200"/>
      <c r="Q10" s="200"/>
      <c r="R10" s="200"/>
      <c r="S10" s="200"/>
      <c r="T10" s="200"/>
      <c r="U10" s="200"/>
      <c r="V10" s="200"/>
      <c r="W10" s="200"/>
      <c r="X10" s="200"/>
      <c r="Y10" s="200"/>
    </row>
    <row r="11" spans="1:25" x14ac:dyDescent="0.25">
      <c r="A11" s="200"/>
      <c r="B11" s="200"/>
      <c r="C11" s="200"/>
      <c r="D11" s="200"/>
      <c r="E11" s="200"/>
      <c r="F11" s="200"/>
      <c r="G11" s="200"/>
      <c r="H11" s="200"/>
      <c r="I11" s="200"/>
      <c r="J11" s="200"/>
      <c r="K11" s="200"/>
      <c r="L11" s="200"/>
      <c r="M11" s="200"/>
      <c r="N11" s="200"/>
      <c r="O11" s="200"/>
      <c r="P11" s="200"/>
      <c r="Q11" s="200"/>
      <c r="R11" s="200"/>
      <c r="S11" s="200"/>
      <c r="T11" s="200"/>
      <c r="U11" s="200"/>
      <c r="V11" s="200"/>
      <c r="W11" s="200"/>
      <c r="X11" s="200"/>
      <c r="Y11" s="200"/>
    </row>
    <row r="12" spans="1:25" x14ac:dyDescent="0.25">
      <c r="A12" s="200"/>
      <c r="B12" s="200"/>
      <c r="C12" s="200"/>
      <c r="D12" s="200"/>
      <c r="E12" s="200"/>
      <c r="F12" s="200"/>
      <c r="G12" s="200"/>
      <c r="H12" s="200"/>
      <c r="I12" s="200"/>
      <c r="J12" s="200"/>
      <c r="K12" s="200"/>
      <c r="L12" s="200"/>
      <c r="M12" s="200"/>
      <c r="N12" s="200"/>
      <c r="O12" s="200"/>
      <c r="P12" s="200"/>
      <c r="Q12" s="200"/>
      <c r="R12" s="200"/>
      <c r="S12" s="200"/>
      <c r="T12" s="200"/>
      <c r="U12" s="200"/>
      <c r="V12" s="200"/>
      <c r="W12" s="200"/>
      <c r="X12" s="200"/>
      <c r="Y12" s="200"/>
    </row>
    <row r="13" spans="1:25" x14ac:dyDescent="0.25">
      <c r="A13" s="200"/>
      <c r="B13" s="200"/>
      <c r="C13" s="200"/>
      <c r="D13" s="200"/>
      <c r="E13" s="200"/>
      <c r="F13" s="200"/>
      <c r="G13" s="200"/>
      <c r="H13" s="200"/>
      <c r="I13" s="200"/>
      <c r="J13" s="200"/>
      <c r="K13" s="200"/>
      <c r="L13" s="200"/>
      <c r="M13" s="200"/>
      <c r="N13" s="200"/>
      <c r="O13" s="200"/>
      <c r="P13" s="200"/>
      <c r="Q13" s="200"/>
      <c r="R13" s="200"/>
      <c r="S13" s="200"/>
      <c r="T13" s="200"/>
      <c r="U13" s="200"/>
      <c r="V13" s="200"/>
      <c r="W13" s="200"/>
      <c r="X13" s="200"/>
      <c r="Y13" s="200"/>
    </row>
    <row r="14" spans="1:25" x14ac:dyDescent="0.25">
      <c r="A14" s="200"/>
      <c r="B14" s="200"/>
      <c r="C14" s="200"/>
      <c r="D14" s="200"/>
      <c r="E14" s="200"/>
      <c r="F14" s="200"/>
      <c r="G14" s="200"/>
      <c r="H14" s="200"/>
      <c r="I14" s="200"/>
      <c r="J14" s="200"/>
      <c r="K14" s="200"/>
      <c r="L14" s="200"/>
      <c r="M14" s="200"/>
      <c r="N14" s="200"/>
      <c r="O14" s="200"/>
      <c r="P14" s="200"/>
      <c r="Q14" s="200"/>
      <c r="R14" s="200"/>
      <c r="S14" s="200"/>
      <c r="T14" s="200"/>
      <c r="U14" s="200"/>
      <c r="V14" s="200"/>
      <c r="W14" s="200"/>
      <c r="X14" s="200"/>
      <c r="Y14" s="200"/>
    </row>
    <row r="15" spans="1:25" x14ac:dyDescent="0.25">
      <c r="A15" s="200"/>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row>
    <row r="16" spans="1:25" x14ac:dyDescent="0.25">
      <c r="A16" s="200"/>
      <c r="B16" s="200"/>
      <c r="C16" s="200"/>
      <c r="D16" s="200"/>
      <c r="E16" s="200"/>
      <c r="F16" s="200"/>
      <c r="G16" s="200"/>
      <c r="H16" s="200"/>
      <c r="I16" s="200"/>
      <c r="J16" s="200"/>
      <c r="K16" s="200"/>
      <c r="L16" s="200"/>
      <c r="M16" s="200"/>
      <c r="N16" s="200"/>
      <c r="O16" s="200"/>
      <c r="P16" s="200"/>
      <c r="Q16" s="200"/>
      <c r="R16" s="200"/>
      <c r="S16" s="200"/>
      <c r="T16" s="200"/>
      <c r="U16" s="200"/>
      <c r="V16" s="200"/>
      <c r="W16" s="200"/>
      <c r="X16" s="200"/>
      <c r="Y16" s="200"/>
    </row>
    <row r="17" spans="1:25" x14ac:dyDescent="0.25">
      <c r="A17" s="200"/>
      <c r="B17" s="200"/>
      <c r="C17" s="200"/>
      <c r="D17" s="200"/>
      <c r="E17" s="200"/>
      <c r="F17" s="200"/>
      <c r="G17" s="200"/>
      <c r="H17" s="200"/>
      <c r="I17" s="200"/>
      <c r="J17" s="200"/>
      <c r="K17" s="200"/>
      <c r="L17" s="200"/>
      <c r="M17" s="200"/>
      <c r="N17" s="200"/>
      <c r="O17" s="200"/>
      <c r="P17" s="200"/>
      <c r="Q17" s="200"/>
      <c r="R17" s="200"/>
      <c r="S17" s="200"/>
      <c r="T17" s="200"/>
      <c r="U17" s="200"/>
      <c r="V17" s="200"/>
      <c r="W17" s="200"/>
      <c r="X17" s="200"/>
      <c r="Y17" s="200"/>
    </row>
    <row r="18" spans="1:25" x14ac:dyDescent="0.25">
      <c r="A18" s="200"/>
      <c r="B18" s="200"/>
      <c r="C18" s="200"/>
      <c r="D18" s="200"/>
      <c r="E18" s="200"/>
      <c r="F18" s="200"/>
      <c r="G18" s="200"/>
      <c r="H18" s="200"/>
      <c r="I18" s="200"/>
      <c r="J18" s="200"/>
      <c r="K18" s="200"/>
      <c r="L18" s="200"/>
      <c r="M18" s="200"/>
      <c r="N18" s="200"/>
      <c r="O18" s="200"/>
      <c r="P18" s="200"/>
      <c r="Q18" s="200"/>
      <c r="R18" s="200"/>
      <c r="S18" s="200"/>
      <c r="T18" s="200"/>
      <c r="U18" s="200"/>
      <c r="V18" s="200"/>
      <c r="W18" s="200"/>
      <c r="X18" s="200"/>
      <c r="Y18" s="200"/>
    </row>
    <row r="19" spans="1:25" x14ac:dyDescent="0.25">
      <c r="A19" s="200"/>
      <c r="B19" s="200"/>
      <c r="C19" s="200"/>
      <c r="D19" s="200"/>
      <c r="E19" s="200"/>
      <c r="F19" s="200"/>
      <c r="G19" s="200"/>
      <c r="H19" s="200"/>
      <c r="I19" s="200"/>
      <c r="J19" s="200"/>
      <c r="K19" s="200"/>
      <c r="L19" s="200"/>
      <c r="M19" s="200"/>
      <c r="N19" s="200"/>
      <c r="O19" s="200"/>
      <c r="P19" s="200"/>
      <c r="Q19" s="200"/>
      <c r="R19" s="200"/>
      <c r="S19" s="200"/>
      <c r="T19" s="200"/>
      <c r="U19" s="200"/>
      <c r="V19" s="200"/>
      <c r="W19" s="200"/>
      <c r="X19" s="200"/>
      <c r="Y19" s="200"/>
    </row>
    <row r="20" spans="1:25" x14ac:dyDescent="0.25">
      <c r="A20" s="200"/>
      <c r="B20" s="200"/>
      <c r="C20" s="200"/>
      <c r="D20" s="200"/>
      <c r="E20" s="200"/>
      <c r="F20" s="200"/>
      <c r="G20" s="200"/>
      <c r="H20" s="200"/>
      <c r="I20" s="200"/>
      <c r="J20" s="200"/>
      <c r="K20" s="200"/>
      <c r="L20" s="200"/>
      <c r="M20" s="200"/>
      <c r="N20" s="200"/>
      <c r="O20" s="200"/>
      <c r="P20" s="200"/>
      <c r="Q20" s="200"/>
      <c r="R20" s="200"/>
      <c r="S20" s="200"/>
      <c r="T20" s="200"/>
      <c r="U20" s="200"/>
      <c r="V20" s="200"/>
      <c r="W20" s="200"/>
      <c r="X20" s="200"/>
      <c r="Y20" s="200"/>
    </row>
    <row r="21" spans="1:25" x14ac:dyDescent="0.25">
      <c r="A21" s="200"/>
      <c r="B21" s="200"/>
      <c r="C21" s="200"/>
      <c r="D21" s="200"/>
      <c r="E21" s="200"/>
      <c r="F21" s="200"/>
      <c r="G21" s="200"/>
      <c r="H21" s="200"/>
      <c r="I21" s="200"/>
      <c r="J21" s="200"/>
      <c r="K21" s="200"/>
      <c r="L21" s="200"/>
      <c r="M21" s="200"/>
      <c r="N21" s="200"/>
      <c r="O21" s="200"/>
      <c r="P21" s="200"/>
      <c r="Q21" s="200"/>
      <c r="R21" s="200"/>
      <c r="S21" s="200"/>
      <c r="T21" s="200"/>
      <c r="U21" s="200"/>
      <c r="V21" s="200"/>
      <c r="W21" s="200"/>
      <c r="X21" s="200"/>
      <c r="Y21" s="200"/>
    </row>
    <row r="22" spans="1:25" x14ac:dyDescent="0.25">
      <c r="A22" s="200"/>
      <c r="B22" s="200"/>
      <c r="C22" s="200"/>
      <c r="D22" s="200"/>
      <c r="E22" s="200"/>
      <c r="F22" s="200"/>
      <c r="G22" s="200"/>
      <c r="H22" s="200"/>
      <c r="I22" s="200"/>
      <c r="J22" s="200"/>
      <c r="K22" s="200"/>
      <c r="L22" s="200"/>
      <c r="M22" s="200"/>
      <c r="N22" s="200"/>
      <c r="O22" s="200"/>
      <c r="P22" s="200"/>
      <c r="Q22" s="200"/>
      <c r="R22" s="200"/>
      <c r="S22" s="200"/>
      <c r="T22" s="200"/>
      <c r="U22" s="200"/>
      <c r="V22" s="200"/>
      <c r="W22" s="200"/>
      <c r="X22" s="200"/>
      <c r="Y22" s="200"/>
    </row>
    <row r="23" spans="1:25" x14ac:dyDescent="0.25">
      <c r="A23" s="200"/>
      <c r="B23" s="200"/>
      <c r="C23" s="200"/>
      <c r="D23" s="200"/>
      <c r="E23" s="200"/>
      <c r="F23" s="200"/>
      <c r="G23" s="200"/>
      <c r="H23" s="200"/>
      <c r="I23" s="200"/>
      <c r="J23" s="200"/>
      <c r="K23" s="200"/>
      <c r="L23" s="200"/>
      <c r="M23" s="200"/>
      <c r="N23" s="200"/>
      <c r="O23" s="200"/>
      <c r="P23" s="200"/>
      <c r="Q23" s="200"/>
      <c r="R23" s="200"/>
      <c r="S23" s="200"/>
      <c r="T23" s="200"/>
      <c r="U23" s="200"/>
      <c r="V23" s="200"/>
      <c r="W23" s="200"/>
      <c r="X23" s="200"/>
      <c r="Y23" s="200"/>
    </row>
    <row r="24" spans="1:25" x14ac:dyDescent="0.25">
      <c r="A24" s="200"/>
      <c r="B24" s="200"/>
      <c r="C24" s="200"/>
      <c r="D24" s="200"/>
      <c r="E24" s="200"/>
      <c r="F24" s="200"/>
      <c r="G24" s="200"/>
      <c r="H24" s="200"/>
      <c r="I24" s="200"/>
      <c r="J24" s="200"/>
      <c r="K24" s="200"/>
      <c r="L24" s="200"/>
      <c r="M24" s="200"/>
      <c r="N24" s="200"/>
      <c r="O24" s="200"/>
      <c r="P24" s="200"/>
      <c r="Q24" s="200"/>
      <c r="R24" s="200"/>
      <c r="S24" s="200"/>
      <c r="T24" s="200"/>
      <c r="U24" s="200"/>
      <c r="V24" s="200"/>
      <c r="W24" s="200"/>
      <c r="X24" s="200"/>
      <c r="Y24" s="200"/>
    </row>
    <row r="26" spans="1:25" ht="18" x14ac:dyDescent="0.25">
      <c r="B26" s="201" t="s">
        <v>394</v>
      </c>
    </row>
    <row r="27" spans="1:25" ht="18" x14ac:dyDescent="0.25">
      <c r="B27" s="201" t="s">
        <v>395</v>
      </c>
    </row>
    <row r="28" spans="1:25" ht="18" x14ac:dyDescent="0.25">
      <c r="B28" s="201" t="s">
        <v>391</v>
      </c>
    </row>
    <row r="29" spans="1:25" ht="18" x14ac:dyDescent="0.25">
      <c r="B29" s="201" t="s">
        <v>392</v>
      </c>
    </row>
    <row r="30" spans="1:25" ht="18" x14ac:dyDescent="0.25">
      <c r="B30" s="201" t="s">
        <v>393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outlinePr summaryBelow="0"/>
    <pageSetUpPr fitToPage="1"/>
  </sheetPr>
  <dimension ref="B1:M49"/>
  <sheetViews>
    <sheetView showGridLines="0" zoomScale="70" zoomScaleNormal="70" workbookViewId="0">
      <pane xSplit="1" ySplit="3" topLeftCell="B4" activePane="bottomRight" state="frozen"/>
      <selection pane="topRight" activeCell="C1" sqref="C1"/>
      <selection pane="bottomLeft" activeCell="A4" sqref="A4"/>
      <selection pane="bottomRight" activeCell="V11" sqref="V11"/>
    </sheetView>
  </sheetViews>
  <sheetFormatPr defaultColWidth="8.7109375" defaultRowHeight="14.25" outlineLevelRow="1" outlineLevelCol="1" x14ac:dyDescent="0.2"/>
  <cols>
    <col min="1" max="1" width="5.85546875" style="15" customWidth="1"/>
    <col min="2" max="2" width="11.5703125" style="19" customWidth="1"/>
    <col min="3" max="3" width="81.5703125" style="15" customWidth="1"/>
    <col min="4" max="11" width="6.5703125" style="15" customWidth="1" outlineLevel="1"/>
    <col min="12" max="13" width="14.140625" style="15" customWidth="1" outlineLevel="1"/>
    <col min="14" max="16384" width="8.7109375" style="15"/>
  </cols>
  <sheetData>
    <row r="1" spans="2:13" s="14" customFormat="1" ht="49.9" customHeight="1" thickBot="1" x14ac:dyDescent="0.3">
      <c r="B1" s="18" t="s">
        <v>70</v>
      </c>
    </row>
    <row r="2" spans="2:13" ht="139.15" customHeight="1" x14ac:dyDescent="0.2">
      <c r="B2" s="28"/>
      <c r="C2" s="29"/>
      <c r="D2" s="30" t="s">
        <v>63</v>
      </c>
      <c r="E2" s="31" t="s">
        <v>20</v>
      </c>
      <c r="F2" s="31" t="s">
        <v>21</v>
      </c>
      <c r="G2" s="31" t="s">
        <v>22</v>
      </c>
      <c r="H2" s="30" t="s">
        <v>23</v>
      </c>
      <c r="I2" s="30" t="s">
        <v>154</v>
      </c>
      <c r="J2" s="31" t="s">
        <v>25</v>
      </c>
      <c r="K2" s="31" t="s">
        <v>26</v>
      </c>
      <c r="L2" s="31" t="s">
        <v>29</v>
      </c>
      <c r="M2" s="31" t="s">
        <v>29</v>
      </c>
    </row>
    <row r="3" spans="2:13" s="27" customFormat="1" ht="34.9" customHeight="1" thickBot="1" x14ac:dyDescent="0.3">
      <c r="B3" s="32" t="s">
        <v>11</v>
      </c>
      <c r="C3" s="33" t="s">
        <v>14</v>
      </c>
      <c r="D3" s="34" t="s">
        <v>62</v>
      </c>
      <c r="E3" s="94" t="s">
        <v>18</v>
      </c>
      <c r="F3" s="94"/>
      <c r="G3" s="94"/>
      <c r="H3" s="95" t="s">
        <v>19</v>
      </c>
      <c r="I3" s="95"/>
      <c r="J3" s="94" t="s">
        <v>24</v>
      </c>
      <c r="K3" s="94"/>
      <c r="L3" s="35" t="s">
        <v>28</v>
      </c>
      <c r="M3" s="141"/>
    </row>
    <row r="4" spans="2:13" s="43" customFormat="1" ht="18" x14ac:dyDescent="0.25">
      <c r="B4" s="40">
        <v>1</v>
      </c>
      <c r="C4" s="41" t="s">
        <v>15</v>
      </c>
      <c r="D4" s="42"/>
      <c r="E4" s="42"/>
      <c r="F4" s="42"/>
      <c r="G4" s="42"/>
      <c r="H4" s="42"/>
      <c r="I4" s="42"/>
      <c r="J4" s="42"/>
      <c r="K4" s="42"/>
      <c r="L4" s="42"/>
      <c r="M4" s="142"/>
    </row>
    <row r="5" spans="2:13" s="16" customFormat="1" ht="18" outlineLevel="1" x14ac:dyDescent="0.25">
      <c r="B5" s="49">
        <v>1.1000000000000001</v>
      </c>
      <c r="C5" s="46" t="s">
        <v>33</v>
      </c>
      <c r="D5" s="38" t="s">
        <v>1</v>
      </c>
      <c r="E5" s="39" t="s">
        <v>0</v>
      </c>
      <c r="F5" s="39" t="s">
        <v>12</v>
      </c>
      <c r="G5" s="39" t="s">
        <v>12</v>
      </c>
      <c r="H5" s="39" t="s">
        <v>12</v>
      </c>
      <c r="I5" s="39" t="s">
        <v>12</v>
      </c>
      <c r="J5" s="39" t="s">
        <v>12</v>
      </c>
      <c r="K5" s="39" t="s">
        <v>12</v>
      </c>
      <c r="L5" s="39" t="s">
        <v>12</v>
      </c>
      <c r="M5" s="143"/>
    </row>
    <row r="6" spans="2:13" s="16" customFormat="1" ht="18" outlineLevel="1" x14ac:dyDescent="0.25">
      <c r="B6" s="49">
        <v>1.2</v>
      </c>
      <c r="C6" s="46" t="s">
        <v>39</v>
      </c>
      <c r="D6" s="38" t="s">
        <v>1</v>
      </c>
      <c r="E6" s="39" t="s">
        <v>0</v>
      </c>
      <c r="F6" s="39" t="s">
        <v>12</v>
      </c>
      <c r="G6" s="39" t="s">
        <v>12</v>
      </c>
      <c r="H6" s="39" t="s">
        <v>12</v>
      </c>
      <c r="I6" s="39" t="s">
        <v>12</v>
      </c>
      <c r="J6" s="39" t="s">
        <v>12</v>
      </c>
      <c r="K6" s="39" t="s">
        <v>12</v>
      </c>
      <c r="L6" s="39" t="s">
        <v>12</v>
      </c>
      <c r="M6" s="143"/>
    </row>
    <row r="7" spans="2:13" s="16" customFormat="1" ht="18" outlineLevel="1" x14ac:dyDescent="0.25">
      <c r="B7" s="49">
        <v>1.3</v>
      </c>
      <c r="C7" s="46" t="s">
        <v>40</v>
      </c>
      <c r="D7" s="38" t="s">
        <v>1</v>
      </c>
      <c r="E7" s="39" t="s">
        <v>12</v>
      </c>
      <c r="F7" s="39" t="s">
        <v>12</v>
      </c>
      <c r="G7" s="39" t="s">
        <v>12</v>
      </c>
      <c r="H7" s="38" t="s">
        <v>0</v>
      </c>
      <c r="I7" s="38" t="s">
        <v>12</v>
      </c>
      <c r="J7" s="38" t="s">
        <v>12</v>
      </c>
      <c r="K7" s="38" t="s">
        <v>12</v>
      </c>
      <c r="L7" s="38" t="s">
        <v>12</v>
      </c>
      <c r="M7" s="144"/>
    </row>
    <row r="8" spans="2:13" s="16" customFormat="1" ht="30" outlineLevel="1" x14ac:dyDescent="0.25">
      <c r="B8" s="49">
        <v>1.4</v>
      </c>
      <c r="C8" s="46" t="s">
        <v>27</v>
      </c>
      <c r="D8" s="38" t="s">
        <v>1</v>
      </c>
      <c r="E8" s="38" t="s">
        <v>12</v>
      </c>
      <c r="F8" s="38" t="s">
        <v>12</v>
      </c>
      <c r="G8" s="38" t="s">
        <v>12</v>
      </c>
      <c r="H8" s="38" t="s">
        <v>12</v>
      </c>
      <c r="I8" s="38" t="s">
        <v>12</v>
      </c>
      <c r="J8" s="39" t="s">
        <v>0</v>
      </c>
      <c r="K8" s="39" t="s">
        <v>12</v>
      </c>
      <c r="L8" s="39" t="s">
        <v>12</v>
      </c>
      <c r="M8" s="143"/>
    </row>
    <row r="9" spans="2:13" s="16" customFormat="1" ht="18" outlineLevel="1" x14ac:dyDescent="0.25">
      <c r="B9" s="49">
        <v>1.5</v>
      </c>
      <c r="C9" s="46" t="s">
        <v>36</v>
      </c>
      <c r="D9" s="38" t="s">
        <v>1</v>
      </c>
      <c r="E9" s="39" t="s">
        <v>12</v>
      </c>
      <c r="F9" s="39" t="s">
        <v>12</v>
      </c>
      <c r="G9" s="39" t="s">
        <v>12</v>
      </c>
      <c r="H9" s="39" t="s">
        <v>12</v>
      </c>
      <c r="I9" s="39" t="s">
        <v>12</v>
      </c>
      <c r="J9" s="39" t="s">
        <v>12</v>
      </c>
      <c r="K9" s="39" t="s">
        <v>12</v>
      </c>
      <c r="L9" s="39" t="s">
        <v>0</v>
      </c>
      <c r="M9" s="143"/>
    </row>
    <row r="10" spans="2:13" ht="18" outlineLevel="1" x14ac:dyDescent="0.2">
      <c r="B10" s="49">
        <v>1.6</v>
      </c>
      <c r="C10" s="47" t="s">
        <v>30</v>
      </c>
      <c r="D10" s="38" t="s">
        <v>1</v>
      </c>
      <c r="E10" s="21" t="s">
        <v>12</v>
      </c>
      <c r="F10" s="21" t="s">
        <v>12</v>
      </c>
      <c r="G10" s="21" t="s">
        <v>12</v>
      </c>
      <c r="H10" s="20" t="s">
        <v>12</v>
      </c>
      <c r="I10" s="20" t="s">
        <v>12</v>
      </c>
      <c r="J10" s="21" t="s">
        <v>0</v>
      </c>
      <c r="K10" s="21" t="s">
        <v>12</v>
      </c>
      <c r="L10" s="21" t="s">
        <v>12</v>
      </c>
      <c r="M10" s="145"/>
    </row>
    <row r="11" spans="2:13" ht="18" outlineLevel="1" x14ac:dyDescent="0.2">
      <c r="B11" s="49">
        <v>1.7</v>
      </c>
      <c r="C11" s="47" t="s">
        <v>31</v>
      </c>
      <c r="D11" s="38" t="s">
        <v>1</v>
      </c>
      <c r="E11" s="21" t="s">
        <v>12</v>
      </c>
      <c r="F11" s="21" t="s">
        <v>0</v>
      </c>
      <c r="G11" s="21" t="s">
        <v>12</v>
      </c>
      <c r="H11" s="20" t="s">
        <v>12</v>
      </c>
      <c r="I11" s="20" t="s">
        <v>12</v>
      </c>
      <c r="J11" s="21" t="s">
        <v>12</v>
      </c>
      <c r="K11" s="21" t="s">
        <v>12</v>
      </c>
      <c r="L11" s="21" t="s">
        <v>12</v>
      </c>
      <c r="M11" s="145"/>
    </row>
    <row r="12" spans="2:13" ht="18" outlineLevel="1" x14ac:dyDescent="0.2">
      <c r="B12" s="49">
        <v>1.8</v>
      </c>
      <c r="C12" s="47" t="s">
        <v>32</v>
      </c>
      <c r="D12" s="38" t="s">
        <v>1</v>
      </c>
      <c r="E12" s="21" t="s">
        <v>12</v>
      </c>
      <c r="F12" s="21" t="s">
        <v>12</v>
      </c>
      <c r="G12" s="21" t="s">
        <v>12</v>
      </c>
      <c r="H12" s="21" t="s">
        <v>0</v>
      </c>
      <c r="I12" s="21" t="s">
        <v>12</v>
      </c>
      <c r="J12" s="21" t="s">
        <v>12</v>
      </c>
      <c r="K12" s="21" t="s">
        <v>12</v>
      </c>
      <c r="L12" s="21" t="s">
        <v>12</v>
      </c>
      <c r="M12" s="145"/>
    </row>
    <row r="13" spans="2:13" ht="18" outlineLevel="1" x14ac:dyDescent="0.2">
      <c r="B13" s="49">
        <v>1.9</v>
      </c>
      <c r="C13" s="48" t="s">
        <v>34</v>
      </c>
      <c r="D13" s="38" t="s">
        <v>1</v>
      </c>
      <c r="E13" s="21" t="s">
        <v>12</v>
      </c>
      <c r="F13" s="21" t="s">
        <v>0</v>
      </c>
      <c r="G13" s="21" t="s">
        <v>12</v>
      </c>
      <c r="H13" s="20" t="s">
        <v>12</v>
      </c>
      <c r="I13" s="20" t="s">
        <v>12</v>
      </c>
      <c r="J13" s="20" t="s">
        <v>12</v>
      </c>
      <c r="K13" s="20" t="s">
        <v>12</v>
      </c>
      <c r="L13" s="20" t="s">
        <v>12</v>
      </c>
      <c r="M13" s="146"/>
    </row>
    <row r="14" spans="2:13" ht="18.75" outlineLevel="1" thickBot="1" x14ac:dyDescent="0.25">
      <c r="B14" s="49" t="s">
        <v>37</v>
      </c>
      <c r="C14" s="48" t="s">
        <v>35</v>
      </c>
      <c r="D14" s="38" t="s">
        <v>1</v>
      </c>
      <c r="E14" s="21" t="s">
        <v>0</v>
      </c>
      <c r="F14" s="21" t="s">
        <v>12</v>
      </c>
      <c r="G14" s="21" t="s">
        <v>12</v>
      </c>
      <c r="H14" s="21" t="s">
        <v>12</v>
      </c>
      <c r="I14" s="21" t="s">
        <v>12</v>
      </c>
      <c r="J14" s="21" t="s">
        <v>12</v>
      </c>
      <c r="K14" s="21" t="s">
        <v>12</v>
      </c>
      <c r="L14" s="21" t="s">
        <v>12</v>
      </c>
      <c r="M14" s="145"/>
    </row>
    <row r="15" spans="2:13" s="43" customFormat="1" ht="18" x14ac:dyDescent="0.25">
      <c r="B15" s="40">
        <v>2</v>
      </c>
      <c r="C15" s="41" t="s">
        <v>17</v>
      </c>
      <c r="D15" s="42"/>
      <c r="E15" s="42"/>
      <c r="F15" s="42"/>
      <c r="G15" s="42"/>
      <c r="H15" s="42"/>
      <c r="I15" s="42"/>
      <c r="J15" s="42"/>
      <c r="K15" s="42"/>
      <c r="L15" s="42"/>
      <c r="M15" s="142"/>
    </row>
    <row r="16" spans="2:13" s="16" customFormat="1" ht="18" outlineLevel="1" x14ac:dyDescent="0.25">
      <c r="B16" s="50">
        <v>2.1</v>
      </c>
      <c r="C16" s="46" t="s">
        <v>60</v>
      </c>
      <c r="D16" s="38" t="s">
        <v>1</v>
      </c>
      <c r="E16" s="39" t="s">
        <v>0</v>
      </c>
      <c r="F16" s="39" t="s">
        <v>12</v>
      </c>
      <c r="G16" s="39" t="s">
        <v>12</v>
      </c>
      <c r="H16" s="39" t="s">
        <v>12</v>
      </c>
      <c r="I16" s="39" t="s">
        <v>12</v>
      </c>
      <c r="J16" s="39" t="s">
        <v>12</v>
      </c>
      <c r="K16" s="39" t="s">
        <v>12</v>
      </c>
      <c r="L16" s="39" t="s">
        <v>12</v>
      </c>
      <c r="M16" s="143"/>
    </row>
    <row r="17" spans="2:13" ht="18" outlineLevel="1" x14ac:dyDescent="0.2">
      <c r="B17" s="51">
        <v>2.2000000000000002</v>
      </c>
      <c r="C17" s="46" t="s">
        <v>61</v>
      </c>
      <c r="D17" s="20" t="s">
        <v>1</v>
      </c>
      <c r="E17" s="21" t="s">
        <v>12</v>
      </c>
      <c r="F17" s="21" t="s">
        <v>12</v>
      </c>
      <c r="G17" s="21" t="s">
        <v>12</v>
      </c>
      <c r="H17" s="20" t="s">
        <v>0</v>
      </c>
      <c r="I17" s="20" t="s">
        <v>12</v>
      </c>
      <c r="J17" s="21" t="s">
        <v>12</v>
      </c>
      <c r="K17" s="21" t="s">
        <v>12</v>
      </c>
      <c r="L17" s="21" t="s">
        <v>12</v>
      </c>
      <c r="M17" s="145"/>
    </row>
    <row r="18" spans="2:13" ht="18" outlineLevel="1" x14ac:dyDescent="0.2">
      <c r="B18" s="50">
        <v>2.2999999999999998</v>
      </c>
      <c r="C18" s="46" t="s">
        <v>38</v>
      </c>
      <c r="D18" s="38" t="s">
        <v>1</v>
      </c>
      <c r="E18" s="21" t="s">
        <v>12</v>
      </c>
      <c r="F18" s="21" t="s">
        <v>12</v>
      </c>
      <c r="G18" s="21" t="s">
        <v>12</v>
      </c>
      <c r="H18" s="20" t="s">
        <v>12</v>
      </c>
      <c r="I18" s="20" t="s">
        <v>12</v>
      </c>
      <c r="J18" s="21" t="s">
        <v>0</v>
      </c>
      <c r="K18" s="21" t="s">
        <v>12</v>
      </c>
      <c r="L18" s="21" t="s">
        <v>12</v>
      </c>
      <c r="M18" s="145"/>
    </row>
    <row r="19" spans="2:13" ht="18" outlineLevel="1" x14ac:dyDescent="0.2">
      <c r="B19" s="51">
        <v>2.4</v>
      </c>
      <c r="C19" s="46" t="s">
        <v>41</v>
      </c>
      <c r="D19" s="20" t="s">
        <v>1</v>
      </c>
      <c r="E19" s="21" t="s">
        <v>12</v>
      </c>
      <c r="F19" s="21" t="s">
        <v>12</v>
      </c>
      <c r="G19" s="21" t="s">
        <v>12</v>
      </c>
      <c r="H19" s="21" t="s">
        <v>12</v>
      </c>
      <c r="I19" s="21" t="s">
        <v>12</v>
      </c>
      <c r="J19" s="21" t="s">
        <v>12</v>
      </c>
      <c r="K19" s="21" t="s">
        <v>12</v>
      </c>
      <c r="L19" s="21" t="s">
        <v>0</v>
      </c>
      <c r="M19" s="145"/>
    </row>
    <row r="20" spans="2:13" ht="30" outlineLevel="1" x14ac:dyDescent="0.2">
      <c r="B20" s="50">
        <v>2.5</v>
      </c>
      <c r="C20" s="45" t="s">
        <v>42</v>
      </c>
      <c r="D20" s="38" t="s">
        <v>1</v>
      </c>
      <c r="E20" s="21" t="s">
        <v>0</v>
      </c>
      <c r="F20" s="21" t="s">
        <v>12</v>
      </c>
      <c r="G20" s="21" t="s">
        <v>12</v>
      </c>
      <c r="H20" s="21" t="s">
        <v>12</v>
      </c>
      <c r="I20" s="21" t="s">
        <v>12</v>
      </c>
      <c r="J20" s="21" t="s">
        <v>12</v>
      </c>
      <c r="K20" s="21" t="s">
        <v>12</v>
      </c>
      <c r="L20" s="21" t="s">
        <v>12</v>
      </c>
      <c r="M20" s="145"/>
    </row>
    <row r="21" spans="2:13" ht="18.75" outlineLevel="1" thickBot="1" x14ac:dyDescent="0.25">
      <c r="B21" s="51">
        <v>2.6</v>
      </c>
      <c r="C21" s="52" t="s">
        <v>64</v>
      </c>
      <c r="D21" s="53" t="s">
        <v>1</v>
      </c>
      <c r="E21" s="21" t="s">
        <v>0</v>
      </c>
      <c r="F21" s="21" t="s">
        <v>12</v>
      </c>
      <c r="G21" s="21" t="s">
        <v>12</v>
      </c>
      <c r="H21" s="21" t="s">
        <v>12</v>
      </c>
      <c r="I21" s="21" t="s">
        <v>12</v>
      </c>
      <c r="J21" s="21" t="s">
        <v>12</v>
      </c>
      <c r="K21" s="21" t="s">
        <v>12</v>
      </c>
      <c r="L21" s="21" t="s">
        <v>12</v>
      </c>
      <c r="M21" s="145"/>
    </row>
    <row r="22" spans="2:13" ht="18" x14ac:dyDescent="0.2">
      <c r="B22" s="40">
        <v>3</v>
      </c>
      <c r="C22" s="41" t="s">
        <v>43</v>
      </c>
      <c r="D22" s="42"/>
      <c r="E22" s="42"/>
      <c r="F22" s="42"/>
      <c r="G22" s="42"/>
      <c r="H22" s="42"/>
      <c r="I22" s="42"/>
      <c r="J22" s="42"/>
      <c r="K22" s="42"/>
      <c r="L22" s="42"/>
      <c r="M22" s="142"/>
    </row>
    <row r="23" spans="2:13" ht="18" outlineLevel="1" x14ac:dyDescent="0.2">
      <c r="B23" s="50">
        <v>3.1</v>
      </c>
      <c r="C23" s="45" t="s">
        <v>44</v>
      </c>
      <c r="D23" s="20" t="s">
        <v>0</v>
      </c>
      <c r="E23" s="21" t="s">
        <v>3</v>
      </c>
      <c r="F23" s="21" t="s">
        <v>3</v>
      </c>
      <c r="G23" s="21" t="s">
        <v>3</v>
      </c>
      <c r="H23" s="21" t="s">
        <v>3</v>
      </c>
      <c r="I23" s="21" t="s">
        <v>3</v>
      </c>
      <c r="J23" s="21" t="s">
        <v>3</v>
      </c>
      <c r="K23" s="21" t="s">
        <v>3</v>
      </c>
      <c r="L23" s="21" t="s">
        <v>3</v>
      </c>
      <c r="M23" s="145"/>
    </row>
    <row r="24" spans="2:13" ht="30" outlineLevel="1" x14ac:dyDescent="0.2">
      <c r="B24" s="50">
        <v>3.2</v>
      </c>
      <c r="C24" s="45" t="s">
        <v>45</v>
      </c>
      <c r="D24" s="20" t="s">
        <v>0</v>
      </c>
      <c r="E24" s="21" t="s">
        <v>3</v>
      </c>
      <c r="F24" s="21" t="s">
        <v>3</v>
      </c>
      <c r="G24" s="21" t="s">
        <v>3</v>
      </c>
      <c r="H24" s="21" t="s">
        <v>3</v>
      </c>
      <c r="I24" s="21" t="s">
        <v>3</v>
      </c>
      <c r="J24" s="21" t="s">
        <v>3</v>
      </c>
      <c r="K24" s="21" t="s">
        <v>3</v>
      </c>
      <c r="L24" s="21" t="s">
        <v>3</v>
      </c>
      <c r="M24" s="145"/>
    </row>
    <row r="25" spans="2:13" ht="18" outlineLevel="1" x14ac:dyDescent="0.2">
      <c r="B25" s="50">
        <v>3.3</v>
      </c>
      <c r="C25" s="45" t="s">
        <v>46</v>
      </c>
      <c r="D25" s="20" t="s">
        <v>0</v>
      </c>
      <c r="E25" s="21" t="s">
        <v>3</v>
      </c>
      <c r="F25" s="21" t="s">
        <v>3</v>
      </c>
      <c r="G25" s="21" t="s">
        <v>3</v>
      </c>
      <c r="H25" s="21" t="s">
        <v>3</v>
      </c>
      <c r="I25" s="21" t="s">
        <v>3</v>
      </c>
      <c r="J25" s="21" t="s">
        <v>3</v>
      </c>
      <c r="K25" s="21" t="s">
        <v>3</v>
      </c>
      <c r="L25" s="21" t="s">
        <v>3</v>
      </c>
      <c r="M25" s="145"/>
    </row>
    <row r="26" spans="2:13" ht="30" outlineLevel="1" x14ac:dyDescent="0.2">
      <c r="B26" s="50">
        <v>3.4</v>
      </c>
      <c r="C26" s="45" t="s">
        <v>47</v>
      </c>
      <c r="D26" s="20" t="s">
        <v>0</v>
      </c>
      <c r="E26" s="21" t="s">
        <v>3</v>
      </c>
      <c r="F26" s="21" t="s">
        <v>3</v>
      </c>
      <c r="G26" s="21" t="s">
        <v>3</v>
      </c>
      <c r="H26" s="21" t="s">
        <v>3</v>
      </c>
      <c r="I26" s="21" t="s">
        <v>3</v>
      </c>
      <c r="J26" s="21" t="s">
        <v>3</v>
      </c>
      <c r="K26" s="21" t="s">
        <v>3</v>
      </c>
      <c r="L26" s="21" t="s">
        <v>3</v>
      </c>
      <c r="M26" s="145"/>
    </row>
    <row r="27" spans="2:13" ht="30" outlineLevel="1" x14ac:dyDescent="0.2">
      <c r="B27" s="50">
        <v>3.5</v>
      </c>
      <c r="C27" s="45" t="s">
        <v>48</v>
      </c>
      <c r="D27" s="20" t="s">
        <v>0</v>
      </c>
      <c r="E27" s="21" t="s">
        <v>3</v>
      </c>
      <c r="F27" s="21" t="s">
        <v>3</v>
      </c>
      <c r="G27" s="21" t="s">
        <v>3</v>
      </c>
      <c r="H27" s="21" t="s">
        <v>3</v>
      </c>
      <c r="I27" s="21" t="s">
        <v>3</v>
      </c>
      <c r="J27" s="21" t="s">
        <v>3</v>
      </c>
      <c r="K27" s="21" t="s">
        <v>3</v>
      </c>
      <c r="L27" s="21" t="s">
        <v>3</v>
      </c>
      <c r="M27" s="145"/>
    </row>
    <row r="28" spans="2:13" ht="18" outlineLevel="1" x14ac:dyDescent="0.2">
      <c r="B28" s="50">
        <v>3.6</v>
      </c>
      <c r="C28" s="45" t="s">
        <v>49</v>
      </c>
      <c r="D28" s="20" t="s">
        <v>0</v>
      </c>
      <c r="E28" s="21" t="s">
        <v>3</v>
      </c>
      <c r="F28" s="21" t="s">
        <v>3</v>
      </c>
      <c r="G28" s="21" t="s">
        <v>3</v>
      </c>
      <c r="H28" s="21" t="s">
        <v>3</v>
      </c>
      <c r="I28" s="21" t="s">
        <v>3</v>
      </c>
      <c r="J28" s="21" t="s">
        <v>3</v>
      </c>
      <c r="K28" s="21" t="s">
        <v>3</v>
      </c>
      <c r="L28" s="21" t="s">
        <v>3</v>
      </c>
      <c r="M28" s="145"/>
    </row>
    <row r="29" spans="2:13" ht="18.75" outlineLevel="1" thickBot="1" x14ac:dyDescent="0.25">
      <c r="B29" s="50">
        <v>3.7</v>
      </c>
      <c r="C29" s="45" t="s">
        <v>50</v>
      </c>
      <c r="D29" s="20" t="s">
        <v>0</v>
      </c>
      <c r="E29" s="21" t="s">
        <v>3</v>
      </c>
      <c r="F29" s="21" t="s">
        <v>3</v>
      </c>
      <c r="G29" s="21" t="s">
        <v>3</v>
      </c>
      <c r="H29" s="21" t="s">
        <v>3</v>
      </c>
      <c r="I29" s="21" t="s">
        <v>3</v>
      </c>
      <c r="J29" s="21" t="s">
        <v>3</v>
      </c>
      <c r="K29" s="21" t="s">
        <v>3</v>
      </c>
      <c r="L29" s="21" t="s">
        <v>3</v>
      </c>
      <c r="M29" s="145"/>
    </row>
    <row r="30" spans="2:13" ht="18" x14ac:dyDescent="0.2">
      <c r="B30" s="40">
        <v>4</v>
      </c>
      <c r="C30" s="41" t="s">
        <v>51</v>
      </c>
      <c r="D30" s="42"/>
      <c r="E30" s="42"/>
      <c r="F30" s="42"/>
      <c r="G30" s="42"/>
      <c r="H30" s="42"/>
      <c r="I30" s="42"/>
      <c r="J30" s="42"/>
      <c r="K30" s="42"/>
      <c r="L30" s="42"/>
      <c r="M30" s="142"/>
    </row>
    <row r="31" spans="2:13" ht="30" outlineLevel="1" x14ac:dyDescent="0.2">
      <c r="B31" s="50">
        <v>4.0999999999999996</v>
      </c>
      <c r="C31" s="45" t="s">
        <v>52</v>
      </c>
      <c r="D31" s="20" t="s">
        <v>0</v>
      </c>
      <c r="E31" s="21" t="s">
        <v>3</v>
      </c>
      <c r="F31" s="21" t="s">
        <v>3</v>
      </c>
      <c r="G31" s="21" t="s">
        <v>3</v>
      </c>
      <c r="H31" s="21" t="s">
        <v>3</v>
      </c>
      <c r="I31" s="21" t="s">
        <v>3</v>
      </c>
      <c r="J31" s="21" t="s">
        <v>3</v>
      </c>
      <c r="K31" s="21" t="s">
        <v>3</v>
      </c>
      <c r="L31" s="21" t="s">
        <v>3</v>
      </c>
      <c r="M31" s="145"/>
    </row>
    <row r="32" spans="2:13" ht="30.75" outlineLevel="1" thickBot="1" x14ac:dyDescent="0.25">
      <c r="B32" s="50">
        <v>4.2</v>
      </c>
      <c r="C32" s="45" t="s">
        <v>53</v>
      </c>
      <c r="D32" s="20" t="s">
        <v>0</v>
      </c>
      <c r="E32" s="21" t="s">
        <v>3</v>
      </c>
      <c r="F32" s="21" t="s">
        <v>3</v>
      </c>
      <c r="G32" s="21" t="s">
        <v>3</v>
      </c>
      <c r="H32" s="21" t="s">
        <v>3</v>
      </c>
      <c r="I32" s="21" t="s">
        <v>3</v>
      </c>
      <c r="J32" s="21" t="s">
        <v>3</v>
      </c>
      <c r="K32" s="21" t="s">
        <v>3</v>
      </c>
      <c r="L32" s="21" t="s">
        <v>3</v>
      </c>
      <c r="M32" s="145"/>
    </row>
    <row r="33" spans="2:13" ht="18" x14ac:dyDescent="0.2">
      <c r="B33" s="40">
        <v>5</v>
      </c>
      <c r="C33" s="41" t="s">
        <v>54</v>
      </c>
      <c r="D33" s="42"/>
      <c r="E33" s="42"/>
      <c r="F33" s="42"/>
      <c r="G33" s="42"/>
      <c r="H33" s="42"/>
      <c r="I33" s="42"/>
      <c r="J33" s="42"/>
      <c r="K33" s="42"/>
      <c r="L33" s="42"/>
      <c r="M33" s="142"/>
    </row>
    <row r="34" spans="2:13" ht="45" outlineLevel="1" x14ac:dyDescent="0.2">
      <c r="B34" s="50">
        <v>5.0999999999999996</v>
      </c>
      <c r="C34" s="45" t="s">
        <v>56</v>
      </c>
      <c r="D34" s="20" t="s">
        <v>0</v>
      </c>
      <c r="E34" s="21" t="s">
        <v>12</v>
      </c>
      <c r="F34" s="21" t="s">
        <v>12</v>
      </c>
      <c r="G34" s="21" t="s">
        <v>12</v>
      </c>
      <c r="H34" s="21" t="s">
        <v>12</v>
      </c>
      <c r="I34" s="21" t="s">
        <v>12</v>
      </c>
      <c r="J34" s="21" t="s">
        <v>12</v>
      </c>
      <c r="K34" s="21" t="s">
        <v>12</v>
      </c>
      <c r="L34" s="21" t="s">
        <v>12</v>
      </c>
      <c r="M34" s="145"/>
    </row>
    <row r="35" spans="2:13" ht="18" outlineLevel="1" x14ac:dyDescent="0.2">
      <c r="B35" s="50">
        <v>5.2</v>
      </c>
      <c r="C35" s="45" t="s">
        <v>55</v>
      </c>
      <c r="D35" s="20" t="s">
        <v>0</v>
      </c>
      <c r="E35" s="21" t="s">
        <v>3</v>
      </c>
      <c r="F35" s="21" t="s">
        <v>3</v>
      </c>
      <c r="G35" s="21" t="s">
        <v>3</v>
      </c>
      <c r="H35" s="21" t="s">
        <v>3</v>
      </c>
      <c r="I35" s="21" t="s">
        <v>3</v>
      </c>
      <c r="J35" s="21" t="s">
        <v>3</v>
      </c>
      <c r="K35" s="21" t="s">
        <v>3</v>
      </c>
      <c r="L35" s="21" t="s">
        <v>3</v>
      </c>
      <c r="M35" s="145"/>
    </row>
    <row r="36" spans="2:13" ht="30" outlineLevel="1" x14ac:dyDescent="0.2">
      <c r="B36" s="50">
        <v>5.3</v>
      </c>
      <c r="C36" s="45" t="s">
        <v>57</v>
      </c>
      <c r="D36" s="20" t="s">
        <v>0</v>
      </c>
      <c r="E36" s="21" t="s">
        <v>3</v>
      </c>
      <c r="F36" s="21" t="s">
        <v>3</v>
      </c>
      <c r="G36" s="21" t="s">
        <v>3</v>
      </c>
      <c r="H36" s="21" t="s">
        <v>3</v>
      </c>
      <c r="I36" s="21" t="s">
        <v>3</v>
      </c>
      <c r="J36" s="21" t="s">
        <v>3</v>
      </c>
      <c r="K36" s="21" t="s">
        <v>3</v>
      </c>
      <c r="L36" s="21" t="s">
        <v>3</v>
      </c>
      <c r="M36" s="145"/>
    </row>
    <row r="37" spans="2:13" ht="18.75" outlineLevel="1" thickBot="1" x14ac:dyDescent="0.25">
      <c r="B37" s="50">
        <v>5.4</v>
      </c>
      <c r="C37" s="45" t="s">
        <v>58</v>
      </c>
      <c r="D37" s="20" t="s">
        <v>0</v>
      </c>
      <c r="E37" s="21" t="s">
        <v>3</v>
      </c>
      <c r="F37" s="21" t="s">
        <v>3</v>
      </c>
      <c r="G37" s="21" t="s">
        <v>3</v>
      </c>
      <c r="H37" s="21" t="s">
        <v>3</v>
      </c>
      <c r="I37" s="21" t="s">
        <v>3</v>
      </c>
      <c r="J37" s="21" t="s">
        <v>3</v>
      </c>
      <c r="K37" s="21" t="s">
        <v>3</v>
      </c>
      <c r="L37" s="21" t="s">
        <v>3</v>
      </c>
      <c r="M37" s="145"/>
    </row>
    <row r="38" spans="2:13" ht="18" x14ac:dyDescent="0.2">
      <c r="B38" s="40">
        <v>6</v>
      </c>
      <c r="C38" s="41" t="s">
        <v>59</v>
      </c>
      <c r="D38" s="42"/>
      <c r="E38" s="42"/>
      <c r="F38" s="42"/>
      <c r="G38" s="42"/>
      <c r="H38" s="42"/>
      <c r="I38" s="42"/>
      <c r="J38" s="42"/>
      <c r="K38" s="42"/>
      <c r="L38" s="42"/>
      <c r="M38" s="142"/>
    </row>
    <row r="39" spans="2:13" ht="30" outlineLevel="1" x14ac:dyDescent="0.2">
      <c r="B39" s="50">
        <v>6.1</v>
      </c>
      <c r="C39" s="45" t="s">
        <v>65</v>
      </c>
      <c r="D39" s="20" t="s">
        <v>0</v>
      </c>
      <c r="E39" s="21" t="s">
        <v>12</v>
      </c>
      <c r="F39" s="21" t="s">
        <v>12</v>
      </c>
      <c r="G39" s="21" t="s">
        <v>12</v>
      </c>
      <c r="H39" s="21" t="s">
        <v>12</v>
      </c>
      <c r="I39" s="21" t="s">
        <v>12</v>
      </c>
      <c r="J39" s="21" t="s">
        <v>12</v>
      </c>
      <c r="K39" s="21" t="s">
        <v>12</v>
      </c>
      <c r="L39" s="21" t="s">
        <v>12</v>
      </c>
      <c r="M39" s="145"/>
    </row>
    <row r="40" spans="2:13" ht="30" outlineLevel="1" x14ac:dyDescent="0.2">
      <c r="B40" s="50">
        <v>6.2</v>
      </c>
      <c r="C40" s="45" t="s">
        <v>66</v>
      </c>
      <c r="D40" s="20" t="s">
        <v>0</v>
      </c>
      <c r="E40" s="21" t="s">
        <v>12</v>
      </c>
      <c r="F40" s="21" t="s">
        <v>12</v>
      </c>
      <c r="G40" s="21" t="s">
        <v>12</v>
      </c>
      <c r="H40" s="21" t="s">
        <v>12</v>
      </c>
      <c r="I40" s="21" t="s">
        <v>12</v>
      </c>
      <c r="J40" s="21" t="s">
        <v>12</v>
      </c>
      <c r="K40" s="21" t="s">
        <v>12</v>
      </c>
      <c r="L40" s="21" t="s">
        <v>12</v>
      </c>
      <c r="M40" s="145"/>
    </row>
    <row r="41" spans="2:13" ht="30" outlineLevel="1" x14ac:dyDescent="0.2">
      <c r="B41" s="50">
        <v>6.3</v>
      </c>
      <c r="C41" s="45" t="s">
        <v>67</v>
      </c>
      <c r="D41" s="20" t="s">
        <v>0</v>
      </c>
      <c r="E41" s="21" t="s">
        <v>12</v>
      </c>
      <c r="F41" s="21" t="s">
        <v>12</v>
      </c>
      <c r="G41" s="21" t="s">
        <v>12</v>
      </c>
      <c r="H41" s="21" t="s">
        <v>12</v>
      </c>
      <c r="I41" s="21" t="s">
        <v>12</v>
      </c>
      <c r="J41" s="21" t="s">
        <v>12</v>
      </c>
      <c r="K41" s="21" t="s">
        <v>12</v>
      </c>
      <c r="L41" s="21" t="s">
        <v>12</v>
      </c>
      <c r="M41" s="145"/>
    </row>
    <row r="42" spans="2:13" ht="30" outlineLevel="1" x14ac:dyDescent="0.2">
      <c r="B42" s="50">
        <v>6.4</v>
      </c>
      <c r="C42" s="45" t="s">
        <v>68</v>
      </c>
      <c r="D42" s="20" t="s">
        <v>0</v>
      </c>
      <c r="E42" s="21" t="s">
        <v>12</v>
      </c>
      <c r="F42" s="21" t="s">
        <v>12</v>
      </c>
      <c r="G42" s="21" t="s">
        <v>12</v>
      </c>
      <c r="H42" s="21" t="s">
        <v>12</v>
      </c>
      <c r="I42" s="21" t="s">
        <v>12</v>
      </c>
      <c r="J42" s="21" t="s">
        <v>12</v>
      </c>
      <c r="K42" s="21" t="s">
        <v>12</v>
      </c>
      <c r="L42" s="21" t="s">
        <v>12</v>
      </c>
      <c r="M42" s="145"/>
    </row>
    <row r="43" spans="2:13" ht="30" outlineLevel="1" x14ac:dyDescent="0.2">
      <c r="B43" s="50">
        <v>6.5</v>
      </c>
      <c r="C43" s="45" t="s">
        <v>69</v>
      </c>
      <c r="D43" s="20" t="s">
        <v>0</v>
      </c>
      <c r="E43" s="21" t="s">
        <v>12</v>
      </c>
      <c r="F43" s="21" t="s">
        <v>12</v>
      </c>
      <c r="G43" s="21" t="s">
        <v>12</v>
      </c>
      <c r="H43" s="21" t="s">
        <v>12</v>
      </c>
      <c r="I43" s="21" t="s">
        <v>12</v>
      </c>
      <c r="J43" s="21" t="s">
        <v>12</v>
      </c>
      <c r="K43" s="21" t="s">
        <v>12</v>
      </c>
      <c r="L43" s="21" t="s">
        <v>12</v>
      </c>
      <c r="M43" s="145"/>
    </row>
    <row r="44" spans="2:13" ht="18" x14ac:dyDescent="0.2">
      <c r="B44" s="50"/>
      <c r="C44" s="45"/>
      <c r="D44" s="20"/>
      <c r="E44" s="21"/>
      <c r="F44" s="21"/>
      <c r="G44" s="21"/>
      <c r="H44" s="21"/>
      <c r="I44" s="21"/>
      <c r="J44" s="21"/>
      <c r="K44" s="21"/>
      <c r="L44" s="21"/>
      <c r="M44" s="145"/>
    </row>
    <row r="45" spans="2:13" ht="18" x14ac:dyDescent="0.2">
      <c r="B45" s="22"/>
      <c r="C45" s="44"/>
      <c r="D45" s="20"/>
      <c r="E45" s="21"/>
      <c r="F45" s="21"/>
      <c r="G45" s="21"/>
      <c r="H45" s="20"/>
      <c r="I45" s="20"/>
      <c r="J45" s="21"/>
      <c r="K45" s="21"/>
      <c r="L45" s="21"/>
      <c r="M45" s="145"/>
    </row>
    <row r="46" spans="2:13" ht="18.75" thickBot="1" x14ac:dyDescent="0.25">
      <c r="B46" s="23"/>
      <c r="C46" s="24"/>
      <c r="D46" s="25"/>
      <c r="E46" s="26"/>
      <c r="F46" s="26"/>
      <c r="G46" s="26"/>
      <c r="H46" s="25"/>
      <c r="I46" s="25"/>
      <c r="J46" s="26"/>
      <c r="K46" s="26"/>
      <c r="L46" s="26"/>
      <c r="M46" s="145"/>
    </row>
    <row r="49" spans="3:13" ht="18" x14ac:dyDescent="0.25">
      <c r="C49" s="36" t="s">
        <v>16</v>
      </c>
      <c r="D49" s="37"/>
      <c r="E49" s="37"/>
      <c r="F49" s="37"/>
      <c r="G49" s="37"/>
      <c r="H49" s="37"/>
      <c r="I49" s="37"/>
      <c r="J49" s="37"/>
      <c r="K49" s="37"/>
      <c r="L49" s="37"/>
      <c r="M49" s="37"/>
    </row>
  </sheetData>
  <mergeCells count="3">
    <mergeCell ref="E3:G3"/>
    <mergeCell ref="H3:I3"/>
    <mergeCell ref="J3:K3"/>
  </mergeCells>
  <phoneticPr fontId="8" type="noConversion"/>
  <conditionalFormatting sqref="D23:M29 D31:M32 D39:M46 D4:M21 D34:M37">
    <cfRule type="containsText" dxfId="24" priority="94" operator="containsText" text="R">
      <formula>NOT(ISERROR(SEARCH("R",D4)))</formula>
    </cfRule>
    <cfRule type="containsText" dxfId="23" priority="95" operator="containsText" text="A">
      <formula>NOT(ISERROR(SEARCH("A",D4)))</formula>
    </cfRule>
    <cfRule type="containsText" dxfId="22" priority="96" operator="containsText" text="C">
      <formula>NOT(ISERROR(SEARCH("C",D4)))</formula>
    </cfRule>
    <cfRule type="containsText" dxfId="21" priority="97" operator="containsText" text="I">
      <formula>NOT(ISERROR(SEARCH("I",D4)))</formula>
    </cfRule>
  </conditionalFormatting>
  <conditionalFormatting sqref="D5:M14 D23:M29 D31:M32 D39:M46 D16:M21 D34:M37">
    <cfRule type="containsText" dxfId="20" priority="93" operator="containsText" text="S">
      <formula>NOT(ISERROR(SEARCH("S",D5)))</formula>
    </cfRule>
  </conditionalFormatting>
  <conditionalFormatting sqref="D22:M22">
    <cfRule type="containsText" dxfId="19" priority="13" operator="containsText" text="R">
      <formula>NOT(ISERROR(SEARCH("R",D22)))</formula>
    </cfRule>
    <cfRule type="containsText" dxfId="18" priority="14" operator="containsText" text="A">
      <formula>NOT(ISERROR(SEARCH("A",D22)))</formula>
    </cfRule>
    <cfRule type="containsText" dxfId="17" priority="15" operator="containsText" text="C">
      <formula>NOT(ISERROR(SEARCH("C",D22)))</formula>
    </cfRule>
    <cfRule type="containsText" dxfId="16" priority="16" operator="containsText" text="I">
      <formula>NOT(ISERROR(SEARCH("I",D22)))</formula>
    </cfRule>
  </conditionalFormatting>
  <conditionalFormatting sqref="D30:M30">
    <cfRule type="containsText" dxfId="15" priority="9" operator="containsText" text="R">
      <formula>NOT(ISERROR(SEARCH("R",D30)))</formula>
    </cfRule>
    <cfRule type="containsText" dxfId="14" priority="10" operator="containsText" text="A">
      <formula>NOT(ISERROR(SEARCH("A",D30)))</formula>
    </cfRule>
    <cfRule type="containsText" dxfId="13" priority="11" operator="containsText" text="C">
      <formula>NOT(ISERROR(SEARCH("C",D30)))</formula>
    </cfRule>
    <cfRule type="containsText" dxfId="12" priority="12" operator="containsText" text="I">
      <formula>NOT(ISERROR(SEARCH("I",D30)))</formula>
    </cfRule>
  </conditionalFormatting>
  <conditionalFormatting sqref="D33:M33">
    <cfRule type="containsText" dxfId="11" priority="5" operator="containsText" text="R">
      <formula>NOT(ISERROR(SEARCH("R",D33)))</formula>
    </cfRule>
    <cfRule type="containsText" dxfId="10" priority="6" operator="containsText" text="A">
      <formula>NOT(ISERROR(SEARCH("A",D33)))</formula>
    </cfRule>
    <cfRule type="containsText" dxfId="9" priority="7" operator="containsText" text="C">
      <formula>NOT(ISERROR(SEARCH("C",D33)))</formula>
    </cfRule>
    <cfRule type="containsText" dxfId="8" priority="8" operator="containsText" text="I">
      <formula>NOT(ISERROR(SEARCH("I",D33)))</formula>
    </cfRule>
  </conditionalFormatting>
  <conditionalFormatting sqref="D38:M38">
    <cfRule type="containsText" dxfId="7" priority="1" operator="containsText" text="R">
      <formula>NOT(ISERROR(SEARCH("R",D38)))</formula>
    </cfRule>
    <cfRule type="containsText" dxfId="6" priority="2" operator="containsText" text="A">
      <formula>NOT(ISERROR(SEARCH("A",D38)))</formula>
    </cfRule>
    <cfRule type="containsText" dxfId="5" priority="3" operator="containsText" text="C">
      <formula>NOT(ISERROR(SEARCH("C",D38)))</formula>
    </cfRule>
    <cfRule type="containsText" dxfId="4" priority="4" operator="containsText" text="I">
      <formula>NOT(ISERROR(SEARCH("I",D38)))</formula>
    </cfRule>
  </conditionalFormatting>
  <pageMargins left="0.4" right="0.4" top="0.4" bottom="0.4" header="0" footer="0"/>
  <pageSetup scale="49"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'Dropdown Keys - Do Not Delete -'!$B$4:$B$8</xm:f>
          </x14:formula1>
          <xm:sqref>D4:M46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454A3-7773-4C60-94B3-ABF7912E61FD}">
  <sheetPr>
    <tabColor rgb="FFFF0000"/>
  </sheetPr>
  <dimension ref="A1:AR1003"/>
  <sheetViews>
    <sheetView showGridLines="0" tabSelected="1" topLeftCell="A34" workbookViewId="0">
      <selection activeCell="AE40" sqref="AE40:AF40"/>
    </sheetView>
  </sheetViews>
  <sheetFormatPr defaultColWidth="14.42578125" defaultRowHeight="15" customHeight="1" x14ac:dyDescent="0.25"/>
  <cols>
    <col min="1" max="1" width="5.140625" style="57" customWidth="1"/>
    <col min="2" max="11" width="3.28515625" style="57" customWidth="1"/>
    <col min="12" max="12" width="2.42578125" style="57" customWidth="1"/>
    <col min="13" max="13" width="4.28515625" style="57" customWidth="1"/>
    <col min="14" max="20" width="3.28515625" style="57" customWidth="1"/>
    <col min="21" max="21" width="4.42578125" style="57" customWidth="1"/>
    <col min="22" max="23" width="3.28515625" style="57" customWidth="1"/>
    <col min="24" max="24" width="0.85546875" style="57" customWidth="1"/>
    <col min="25" max="25" width="0.7109375" style="57" hidden="1" customWidth="1"/>
    <col min="26" max="26" width="0.5703125" style="57" hidden="1" customWidth="1"/>
    <col min="27" max="27" width="3.28515625" style="57" customWidth="1"/>
    <col min="28" max="28" width="6" style="57" customWidth="1"/>
    <col min="29" max="29" width="4.28515625" style="57" customWidth="1"/>
    <col min="30" max="30" width="7.5703125" style="57" customWidth="1"/>
    <col min="31" max="44" width="4.28515625" style="57" customWidth="1"/>
    <col min="45" max="16384" width="14.42578125" style="57"/>
  </cols>
  <sheetData>
    <row r="1" spans="1:44" x14ac:dyDescent="0.25">
      <c r="A1" s="138" t="s">
        <v>133</v>
      </c>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row>
    <row r="2" spans="1:44" x14ac:dyDescent="0.25">
      <c r="A2" s="112"/>
      <c r="B2" s="112"/>
      <c r="C2" s="112"/>
      <c r="D2" s="112"/>
      <c r="E2" s="112"/>
      <c r="F2" s="112"/>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2"/>
      <c r="AP2" s="112"/>
      <c r="AQ2" s="112"/>
      <c r="AR2" s="112"/>
    </row>
    <row r="3" spans="1:44" x14ac:dyDescent="0.25">
      <c r="A3" s="84"/>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row>
    <row r="4" spans="1:44" x14ac:dyDescent="0.25">
      <c r="A4" s="139" t="s">
        <v>71</v>
      </c>
      <c r="B4" s="103"/>
      <c r="C4" s="103"/>
      <c r="D4" s="103"/>
      <c r="E4" s="103"/>
      <c r="F4" s="103"/>
      <c r="G4" s="103"/>
      <c r="H4" s="103"/>
      <c r="I4" s="103"/>
      <c r="J4" s="103"/>
      <c r="K4" s="103"/>
      <c r="L4" s="103"/>
      <c r="M4" s="103"/>
      <c r="N4" s="103"/>
      <c r="O4" s="58"/>
      <c r="P4" s="58"/>
      <c r="Q4" s="58"/>
      <c r="R4" s="58"/>
      <c r="S4" s="59"/>
      <c r="T4" s="58"/>
      <c r="U4" s="58"/>
      <c r="V4" s="58"/>
      <c r="W4" s="58"/>
      <c r="X4" s="58"/>
      <c r="Y4" s="58"/>
      <c r="Z4" s="58"/>
      <c r="AA4" s="60" t="s">
        <v>72</v>
      </c>
      <c r="AB4" s="58"/>
      <c r="AC4" s="58"/>
      <c r="AD4" s="58"/>
      <c r="AE4" s="58"/>
      <c r="AF4" s="58"/>
      <c r="AG4" s="58"/>
      <c r="AH4" s="58"/>
      <c r="AI4" s="58"/>
      <c r="AJ4" s="58"/>
      <c r="AK4" s="58"/>
      <c r="AL4" s="58"/>
      <c r="AM4" s="58"/>
      <c r="AN4" s="58"/>
      <c r="AO4" s="58"/>
      <c r="AP4" s="58"/>
      <c r="AQ4" s="58"/>
      <c r="AR4" s="58"/>
    </row>
    <row r="5" spans="1:44" x14ac:dyDescent="0.25">
      <c r="A5" s="61"/>
      <c r="B5" s="62"/>
      <c r="C5" s="62"/>
      <c r="D5" s="62"/>
      <c r="E5" s="58"/>
      <c r="F5" s="58"/>
      <c r="G5" s="58"/>
      <c r="H5" s="58"/>
      <c r="I5" s="58"/>
      <c r="J5" s="58"/>
      <c r="K5" s="58"/>
      <c r="L5" s="58"/>
      <c r="M5" s="58"/>
      <c r="N5" s="58"/>
      <c r="O5" s="58"/>
      <c r="P5" s="58"/>
      <c r="Q5" s="58"/>
      <c r="R5" s="58"/>
      <c r="S5" s="59"/>
      <c r="T5" s="58"/>
      <c r="U5" s="58"/>
      <c r="V5" s="58"/>
      <c r="W5" s="58"/>
      <c r="X5" s="58"/>
      <c r="Y5" s="58"/>
      <c r="Z5" s="58"/>
      <c r="AA5" s="60"/>
      <c r="AB5" s="58"/>
      <c r="AC5" s="58"/>
      <c r="AD5" s="58"/>
      <c r="AE5" s="58"/>
      <c r="AF5" s="58"/>
      <c r="AG5" s="58"/>
      <c r="AH5" s="58"/>
      <c r="AI5" s="58"/>
      <c r="AJ5" s="58"/>
      <c r="AK5" s="58"/>
      <c r="AL5" s="58"/>
      <c r="AM5" s="58"/>
      <c r="AN5" s="58"/>
      <c r="AO5" s="58"/>
      <c r="AP5" s="58"/>
      <c r="AQ5" s="58"/>
      <c r="AR5" s="58"/>
    </row>
    <row r="6" spans="1:44" ht="16.5" customHeight="1" x14ac:dyDescent="0.25">
      <c r="A6" s="64" t="s">
        <v>73</v>
      </c>
      <c r="B6" s="62"/>
      <c r="C6" s="62"/>
      <c r="D6" s="62"/>
      <c r="E6" s="58" t="s">
        <v>137</v>
      </c>
      <c r="F6" s="58"/>
      <c r="G6" s="58"/>
      <c r="H6" s="58"/>
      <c r="I6" s="58"/>
      <c r="J6" s="58"/>
      <c r="K6" s="58"/>
      <c r="L6" s="58"/>
      <c r="M6" s="58"/>
      <c r="N6" s="58"/>
      <c r="O6" s="58"/>
      <c r="P6" s="58"/>
      <c r="Q6" s="58"/>
      <c r="R6" s="58"/>
      <c r="S6" s="58"/>
      <c r="T6" s="58"/>
      <c r="U6" s="58"/>
      <c r="V6" s="58"/>
      <c r="W6" s="58"/>
      <c r="X6" s="58"/>
      <c r="Y6" s="58"/>
      <c r="Z6" s="58"/>
      <c r="AA6" s="58" t="s">
        <v>73</v>
      </c>
      <c r="AB6" s="58"/>
      <c r="AC6" s="58"/>
      <c r="AD6" s="58"/>
      <c r="AE6" s="58" t="s">
        <v>75</v>
      </c>
      <c r="AF6" s="58"/>
      <c r="AG6" s="58"/>
      <c r="AH6" s="58"/>
      <c r="AI6" s="58"/>
      <c r="AJ6" s="58"/>
      <c r="AK6" s="58"/>
      <c r="AL6" s="58"/>
      <c r="AM6" s="58"/>
      <c r="AN6" s="58"/>
      <c r="AO6" s="58"/>
      <c r="AP6" s="58"/>
      <c r="AQ6" s="58"/>
      <c r="AR6" s="58"/>
    </row>
    <row r="7" spans="1:44" ht="16.5" customHeight="1" x14ac:dyDescent="0.25">
      <c r="A7" s="64" t="s">
        <v>76</v>
      </c>
      <c r="B7" s="62"/>
      <c r="C7" s="62"/>
      <c r="D7" s="62"/>
      <c r="E7" s="58" t="s">
        <v>438</v>
      </c>
      <c r="F7" s="58"/>
      <c r="G7" s="58"/>
      <c r="H7" s="58"/>
      <c r="I7" s="58"/>
      <c r="J7" s="58"/>
      <c r="K7" s="58"/>
      <c r="L7" s="58"/>
      <c r="M7" s="58"/>
      <c r="N7" s="58"/>
      <c r="O7" s="58"/>
      <c r="P7" s="58"/>
      <c r="Q7" s="58"/>
      <c r="R7" s="58"/>
      <c r="S7" s="58"/>
      <c r="T7" s="58"/>
      <c r="U7" s="58"/>
      <c r="V7" s="58"/>
      <c r="W7" s="58"/>
      <c r="X7" s="58"/>
      <c r="Y7" s="58"/>
      <c r="Z7" s="58"/>
      <c r="AA7" s="58" t="s">
        <v>76</v>
      </c>
      <c r="AB7" s="58"/>
      <c r="AC7" s="58"/>
      <c r="AD7" s="58"/>
      <c r="AE7" s="58" t="s">
        <v>439</v>
      </c>
      <c r="AF7" s="58"/>
      <c r="AG7" s="58"/>
      <c r="AH7" s="58"/>
      <c r="AI7" s="58"/>
      <c r="AJ7" s="58"/>
      <c r="AK7" s="58"/>
      <c r="AL7" s="58"/>
      <c r="AM7" s="58"/>
      <c r="AN7" s="58"/>
      <c r="AO7" s="58"/>
      <c r="AP7" s="58"/>
      <c r="AQ7" s="58"/>
      <c r="AR7" s="58"/>
    </row>
    <row r="8" spans="1:44" ht="16.5" customHeight="1" x14ac:dyDescent="0.25">
      <c r="A8" s="64" t="s">
        <v>77</v>
      </c>
      <c r="B8" s="62"/>
      <c r="C8" s="62"/>
      <c r="D8" s="62"/>
      <c r="E8" s="58" t="s">
        <v>439</v>
      </c>
      <c r="F8" s="58"/>
      <c r="G8" s="58"/>
      <c r="H8" s="58"/>
      <c r="I8" s="58"/>
      <c r="J8" s="58"/>
      <c r="K8" s="58"/>
      <c r="L8" s="58"/>
      <c r="M8" s="58"/>
      <c r="N8" s="58"/>
      <c r="O8" s="58"/>
      <c r="P8" s="58"/>
      <c r="Q8" s="58"/>
      <c r="R8" s="58"/>
      <c r="S8" s="58"/>
      <c r="T8" s="58"/>
      <c r="U8" s="58"/>
      <c r="V8" s="58"/>
      <c r="W8" s="58"/>
      <c r="X8" s="58"/>
      <c r="Y8" s="58"/>
      <c r="Z8" s="58"/>
      <c r="AA8" s="58" t="s">
        <v>77</v>
      </c>
      <c r="AB8" s="58"/>
      <c r="AC8" s="58"/>
      <c r="AD8" s="58"/>
      <c r="AE8" s="58" t="s">
        <v>141</v>
      </c>
      <c r="AF8" s="58"/>
      <c r="AG8" s="58"/>
      <c r="AH8" s="58"/>
      <c r="AI8" s="58"/>
      <c r="AJ8" s="58"/>
      <c r="AK8" s="58"/>
      <c r="AL8" s="58"/>
      <c r="AM8" s="58"/>
      <c r="AN8" s="58"/>
      <c r="AO8" s="58"/>
      <c r="AP8" s="58"/>
      <c r="AQ8" s="58"/>
      <c r="AR8" s="58"/>
    </row>
    <row r="9" spans="1:44" ht="16.5" customHeight="1" x14ac:dyDescent="0.25">
      <c r="A9" s="64" t="s">
        <v>134</v>
      </c>
      <c r="B9" s="62"/>
      <c r="C9" s="62"/>
      <c r="D9" s="62"/>
      <c r="E9" s="58" t="s">
        <v>79</v>
      </c>
      <c r="F9" s="58"/>
      <c r="G9" s="58"/>
      <c r="H9" s="58"/>
      <c r="I9" s="58"/>
      <c r="J9" s="58"/>
      <c r="K9" s="58"/>
      <c r="L9" s="58"/>
      <c r="M9" s="58"/>
      <c r="N9" s="58"/>
      <c r="O9" s="58"/>
      <c r="P9" s="58"/>
      <c r="Q9" s="58"/>
      <c r="R9" s="58"/>
      <c r="S9" s="58"/>
      <c r="T9" s="58"/>
      <c r="U9" s="58"/>
      <c r="V9" s="58"/>
      <c r="W9" s="58"/>
      <c r="X9" s="58"/>
      <c r="Y9" s="58"/>
      <c r="Z9" s="58"/>
      <c r="AA9" s="58" t="s">
        <v>78</v>
      </c>
      <c r="AB9" s="58"/>
      <c r="AC9" s="58"/>
      <c r="AD9" s="58"/>
      <c r="AE9" s="58" t="s">
        <v>137</v>
      </c>
      <c r="AF9" s="58"/>
      <c r="AG9" s="58"/>
      <c r="AH9" s="58"/>
      <c r="AI9" s="58"/>
      <c r="AJ9" s="58"/>
      <c r="AK9" s="58"/>
      <c r="AL9" s="58"/>
      <c r="AM9" s="58"/>
      <c r="AN9" s="58"/>
      <c r="AO9" s="58"/>
      <c r="AP9" s="58"/>
      <c r="AQ9" s="58"/>
      <c r="AR9" s="58"/>
    </row>
    <row r="10" spans="1:44" ht="16.5" customHeight="1" x14ac:dyDescent="0.25">
      <c r="A10" s="64" t="s">
        <v>138</v>
      </c>
      <c r="B10" s="62"/>
      <c r="C10" s="62"/>
      <c r="D10" s="62"/>
      <c r="E10" s="58" t="s">
        <v>139</v>
      </c>
      <c r="F10" s="58"/>
      <c r="G10" s="58"/>
      <c r="H10" s="58"/>
      <c r="I10" s="58"/>
      <c r="J10" s="58"/>
      <c r="K10" s="58"/>
      <c r="L10" s="58"/>
      <c r="M10" s="58"/>
      <c r="N10" s="58"/>
      <c r="O10" s="58"/>
      <c r="P10" s="58"/>
      <c r="Q10" s="58"/>
      <c r="R10" s="58"/>
      <c r="S10" s="58"/>
      <c r="T10" s="58"/>
      <c r="U10" s="58"/>
      <c r="V10" s="58"/>
      <c r="W10" s="58"/>
      <c r="X10" s="58"/>
      <c r="Y10" s="58"/>
      <c r="Z10" s="58"/>
      <c r="AA10" s="58" t="s">
        <v>80</v>
      </c>
      <c r="AB10" s="58"/>
      <c r="AC10" s="58"/>
      <c r="AD10" s="58"/>
      <c r="AE10" s="58" t="s">
        <v>139</v>
      </c>
      <c r="AF10" s="58"/>
      <c r="AG10" s="58"/>
      <c r="AH10" s="58"/>
      <c r="AI10" s="58"/>
      <c r="AJ10" s="58"/>
      <c r="AK10" s="58"/>
      <c r="AL10" s="58"/>
      <c r="AM10" s="58"/>
      <c r="AN10" s="58"/>
      <c r="AO10" s="58"/>
      <c r="AP10" s="58"/>
      <c r="AQ10" s="58"/>
      <c r="AR10" s="58"/>
    </row>
    <row r="11" spans="1:44" ht="16.5" customHeight="1" x14ac:dyDescent="0.25">
      <c r="A11" s="64" t="s">
        <v>81</v>
      </c>
      <c r="B11" s="62"/>
      <c r="C11" s="62"/>
      <c r="D11" s="62"/>
      <c r="E11" s="58" t="s">
        <v>137</v>
      </c>
      <c r="F11" s="58"/>
      <c r="G11" s="58"/>
      <c r="H11" s="58"/>
      <c r="I11" s="58"/>
      <c r="J11" s="58"/>
      <c r="K11" s="58"/>
      <c r="L11" s="58"/>
      <c r="M11" s="58"/>
      <c r="N11" s="58"/>
      <c r="O11" s="58"/>
      <c r="P11" s="58"/>
      <c r="Q11" s="58"/>
      <c r="R11" s="58"/>
      <c r="S11" s="58"/>
      <c r="T11" s="58"/>
      <c r="U11" s="58"/>
      <c r="V11" s="58"/>
      <c r="W11" s="58"/>
      <c r="X11" s="58"/>
      <c r="Y11" s="58"/>
      <c r="Z11" s="58"/>
      <c r="AA11" s="58" t="s">
        <v>81</v>
      </c>
      <c r="AB11" s="58"/>
      <c r="AC11" s="58"/>
      <c r="AD11" s="58"/>
      <c r="AE11" s="58" t="s">
        <v>75</v>
      </c>
      <c r="AF11" s="140"/>
      <c r="AG11" s="103"/>
      <c r="AH11" s="58"/>
      <c r="AI11" s="58"/>
      <c r="AJ11" s="58"/>
      <c r="AK11" s="58"/>
      <c r="AL11" s="58"/>
      <c r="AM11" s="58"/>
      <c r="AN11" s="58"/>
      <c r="AO11" s="58"/>
      <c r="AP11" s="58"/>
      <c r="AQ11" s="58"/>
      <c r="AR11" s="58"/>
    </row>
    <row r="12" spans="1:44" x14ac:dyDescent="0.25">
      <c r="A12" s="64"/>
      <c r="B12" s="62"/>
      <c r="C12" s="62"/>
      <c r="D12" s="62"/>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row>
    <row r="13" spans="1:44" x14ac:dyDescent="0.25">
      <c r="A13" s="121" t="s">
        <v>82</v>
      </c>
      <c r="B13" s="112"/>
      <c r="C13" s="112"/>
      <c r="D13" s="112"/>
      <c r="E13" s="112"/>
      <c r="F13" s="112"/>
      <c r="G13" s="112"/>
      <c r="H13" s="112"/>
      <c r="I13" s="112"/>
      <c r="J13" s="112"/>
      <c r="K13" s="112"/>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c r="AI13" s="112"/>
      <c r="AJ13" s="112"/>
      <c r="AK13" s="112"/>
      <c r="AL13" s="112"/>
      <c r="AM13" s="112"/>
      <c r="AN13" s="112"/>
      <c r="AO13" s="112"/>
      <c r="AP13" s="112"/>
      <c r="AQ13" s="112"/>
      <c r="AR13" s="112"/>
    </row>
    <row r="14" spans="1:44" ht="8.25" customHeight="1" x14ac:dyDescent="0.25">
      <c r="A14" s="64"/>
      <c r="B14" s="62"/>
      <c r="C14" s="62"/>
      <c r="D14" s="62"/>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row>
    <row r="15" spans="1:44" x14ac:dyDescent="0.25">
      <c r="A15" s="124" t="s">
        <v>83</v>
      </c>
      <c r="B15" s="100"/>
      <c r="C15" s="100"/>
      <c r="D15" s="100"/>
      <c r="E15" s="100"/>
      <c r="F15" s="100"/>
      <c r="G15" s="100"/>
      <c r="H15" s="100"/>
      <c r="I15" s="100"/>
      <c r="J15" s="100"/>
      <c r="K15" s="100"/>
      <c r="L15" s="100"/>
      <c r="M15" s="100"/>
      <c r="N15" s="100"/>
      <c r="O15" s="100"/>
      <c r="P15" s="100"/>
      <c r="Q15" s="100"/>
      <c r="R15" s="100"/>
      <c r="S15" s="100"/>
      <c r="T15" s="100"/>
      <c r="U15" s="100"/>
      <c r="V15" s="100"/>
      <c r="W15" s="100"/>
      <c r="X15" s="100"/>
      <c r="Y15" s="100"/>
      <c r="Z15" s="101"/>
      <c r="AA15" s="125" t="s">
        <v>84</v>
      </c>
      <c r="AB15" s="101"/>
      <c r="AC15" s="135" t="s">
        <v>85</v>
      </c>
      <c r="AD15" s="97"/>
      <c r="AE15" s="97"/>
      <c r="AF15" s="98"/>
      <c r="AG15" s="135" t="s">
        <v>86</v>
      </c>
      <c r="AH15" s="97"/>
      <c r="AI15" s="97"/>
      <c r="AJ15" s="98"/>
      <c r="AK15" s="135" t="s">
        <v>87</v>
      </c>
      <c r="AL15" s="97"/>
      <c r="AM15" s="97"/>
      <c r="AN15" s="98"/>
      <c r="AO15" s="135" t="s">
        <v>88</v>
      </c>
      <c r="AP15" s="97"/>
      <c r="AQ15" s="97"/>
      <c r="AR15" s="98"/>
    </row>
    <row r="16" spans="1:44" ht="15" customHeight="1" x14ac:dyDescent="0.25">
      <c r="A16" s="102"/>
      <c r="B16" s="103"/>
      <c r="C16" s="103"/>
      <c r="D16" s="103"/>
      <c r="E16" s="103"/>
      <c r="F16" s="103"/>
      <c r="G16" s="103"/>
      <c r="H16" s="103"/>
      <c r="I16" s="103"/>
      <c r="J16" s="103"/>
      <c r="K16" s="103"/>
      <c r="L16" s="103"/>
      <c r="M16" s="103"/>
      <c r="N16" s="103"/>
      <c r="O16" s="103"/>
      <c r="P16" s="103"/>
      <c r="Q16" s="103"/>
      <c r="R16" s="103"/>
      <c r="S16" s="103"/>
      <c r="T16" s="103"/>
      <c r="U16" s="103"/>
      <c r="V16" s="103"/>
      <c r="W16" s="103"/>
      <c r="X16" s="103"/>
      <c r="Y16" s="103"/>
      <c r="Z16" s="104"/>
      <c r="AA16" s="102"/>
      <c r="AB16" s="104"/>
      <c r="AC16" s="125" t="s">
        <v>89</v>
      </c>
      <c r="AD16" s="101"/>
      <c r="AE16" s="125" t="s">
        <v>90</v>
      </c>
      <c r="AF16" s="101"/>
      <c r="AG16" s="125" t="s">
        <v>89</v>
      </c>
      <c r="AH16" s="101"/>
      <c r="AI16" s="125" t="s">
        <v>90</v>
      </c>
      <c r="AJ16" s="101"/>
      <c r="AK16" s="125" t="s">
        <v>89</v>
      </c>
      <c r="AL16" s="101"/>
      <c r="AM16" s="125" t="s">
        <v>90</v>
      </c>
      <c r="AN16" s="101"/>
      <c r="AO16" s="125" t="s">
        <v>89</v>
      </c>
      <c r="AP16" s="101"/>
      <c r="AQ16" s="125" t="s">
        <v>90</v>
      </c>
      <c r="AR16" s="101"/>
    </row>
    <row r="17" spans="1:44" x14ac:dyDescent="0.25">
      <c r="A17" s="105"/>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7"/>
      <c r="AA17" s="105"/>
      <c r="AB17" s="107"/>
      <c r="AC17" s="105"/>
      <c r="AD17" s="107"/>
      <c r="AE17" s="105"/>
      <c r="AF17" s="107"/>
      <c r="AG17" s="105"/>
      <c r="AH17" s="107"/>
      <c r="AI17" s="105"/>
      <c r="AJ17" s="107"/>
      <c r="AK17" s="105"/>
      <c r="AL17" s="107"/>
      <c r="AM17" s="105"/>
      <c r="AN17" s="107"/>
      <c r="AO17" s="105"/>
      <c r="AP17" s="107"/>
      <c r="AQ17" s="105"/>
      <c r="AR17" s="107"/>
    </row>
    <row r="18" spans="1:44" ht="15" customHeight="1" x14ac:dyDescent="0.25">
      <c r="A18" s="99" t="s">
        <v>142</v>
      </c>
      <c r="B18" s="100"/>
      <c r="C18" s="100"/>
      <c r="D18" s="100"/>
      <c r="E18" s="100"/>
      <c r="F18" s="100"/>
      <c r="G18" s="100"/>
      <c r="H18" s="100"/>
      <c r="I18" s="100"/>
      <c r="J18" s="100"/>
      <c r="K18" s="100"/>
      <c r="L18" s="100"/>
      <c r="M18" s="100"/>
      <c r="N18" s="100"/>
      <c r="O18" s="100"/>
      <c r="P18" s="100"/>
      <c r="Q18" s="100"/>
      <c r="R18" s="100"/>
      <c r="S18" s="100"/>
      <c r="T18" s="100"/>
      <c r="U18" s="100"/>
      <c r="V18" s="100"/>
      <c r="W18" s="100"/>
      <c r="X18" s="100"/>
      <c r="Y18" s="100"/>
      <c r="Z18" s="101"/>
      <c r="AA18" s="137">
        <v>0.25</v>
      </c>
      <c r="AB18" s="101"/>
      <c r="AC18" s="108"/>
      <c r="AD18" s="101"/>
      <c r="AE18" s="108"/>
      <c r="AF18" s="101"/>
      <c r="AG18" s="108"/>
      <c r="AH18" s="101"/>
      <c r="AI18" s="108"/>
      <c r="AJ18" s="101"/>
      <c r="AK18" s="108">
        <v>5</v>
      </c>
      <c r="AL18" s="101"/>
      <c r="AM18" s="108">
        <v>4</v>
      </c>
      <c r="AN18" s="101"/>
      <c r="AO18" s="108">
        <v>4</v>
      </c>
      <c r="AP18" s="101"/>
      <c r="AQ18" s="108">
        <v>4</v>
      </c>
      <c r="AR18" s="101"/>
    </row>
    <row r="19" spans="1:44" ht="15" customHeight="1" x14ac:dyDescent="0.25">
      <c r="A19" s="102"/>
      <c r="B19" s="103"/>
      <c r="C19" s="103"/>
      <c r="D19" s="103"/>
      <c r="E19" s="103"/>
      <c r="F19" s="103"/>
      <c r="G19" s="103"/>
      <c r="H19" s="103"/>
      <c r="I19" s="103"/>
      <c r="J19" s="103"/>
      <c r="K19" s="103"/>
      <c r="L19" s="103"/>
      <c r="M19" s="103"/>
      <c r="N19" s="103"/>
      <c r="O19" s="103"/>
      <c r="P19" s="103"/>
      <c r="Q19" s="103"/>
      <c r="R19" s="103"/>
      <c r="S19" s="103"/>
      <c r="T19" s="103"/>
      <c r="U19" s="103"/>
      <c r="V19" s="103"/>
      <c r="W19" s="103"/>
      <c r="X19" s="103"/>
      <c r="Y19" s="103"/>
      <c r="Z19" s="104"/>
      <c r="AA19" s="102"/>
      <c r="AB19" s="104"/>
      <c r="AC19" s="102"/>
      <c r="AD19" s="104"/>
      <c r="AE19" s="102"/>
      <c r="AF19" s="104"/>
      <c r="AG19" s="102"/>
      <c r="AH19" s="104"/>
      <c r="AI19" s="102"/>
      <c r="AJ19" s="104"/>
      <c r="AK19" s="102"/>
      <c r="AL19" s="104"/>
      <c r="AM19" s="102"/>
      <c r="AN19" s="104"/>
      <c r="AO19" s="102"/>
      <c r="AP19" s="104"/>
      <c r="AQ19" s="102"/>
      <c r="AR19" s="104"/>
    </row>
    <row r="20" spans="1:44" x14ac:dyDescent="0.25">
      <c r="A20" s="105"/>
      <c r="B20" s="106"/>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7"/>
      <c r="AA20" s="105"/>
      <c r="AB20" s="107"/>
      <c r="AC20" s="105"/>
      <c r="AD20" s="107"/>
      <c r="AE20" s="105"/>
      <c r="AF20" s="107"/>
      <c r="AG20" s="105"/>
      <c r="AH20" s="107"/>
      <c r="AI20" s="105"/>
      <c r="AJ20" s="107"/>
      <c r="AK20" s="105"/>
      <c r="AL20" s="107"/>
      <c r="AM20" s="105"/>
      <c r="AN20" s="107"/>
      <c r="AO20" s="105"/>
      <c r="AP20" s="107"/>
      <c r="AQ20" s="105"/>
      <c r="AR20" s="107"/>
    </row>
    <row r="21" spans="1:44" ht="15.75" customHeight="1" x14ac:dyDescent="0.25">
      <c r="A21" s="99" t="s">
        <v>143</v>
      </c>
      <c r="B21" s="100"/>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1"/>
      <c r="AA21" s="137">
        <v>0.25</v>
      </c>
      <c r="AB21" s="101"/>
      <c r="AC21" s="108"/>
      <c r="AD21" s="101"/>
      <c r="AE21" s="108"/>
      <c r="AF21" s="101"/>
      <c r="AG21" s="108"/>
      <c r="AH21" s="101"/>
      <c r="AI21" s="108"/>
      <c r="AJ21" s="101"/>
      <c r="AK21" s="108">
        <v>5</v>
      </c>
      <c r="AL21" s="101"/>
      <c r="AM21" s="108">
        <v>4</v>
      </c>
      <c r="AN21" s="101"/>
      <c r="AO21" s="108">
        <v>5</v>
      </c>
      <c r="AP21" s="101"/>
      <c r="AQ21" s="108">
        <v>4</v>
      </c>
      <c r="AR21" s="101"/>
    </row>
    <row r="22" spans="1:44" ht="15.75" customHeight="1" x14ac:dyDescent="0.25">
      <c r="A22" s="102"/>
      <c r="B22" s="103"/>
      <c r="C22" s="103"/>
      <c r="D22" s="103"/>
      <c r="E22" s="103"/>
      <c r="F22" s="103"/>
      <c r="G22" s="103"/>
      <c r="H22" s="103"/>
      <c r="I22" s="103"/>
      <c r="J22" s="103"/>
      <c r="K22" s="103"/>
      <c r="L22" s="103"/>
      <c r="M22" s="103"/>
      <c r="N22" s="103"/>
      <c r="O22" s="103"/>
      <c r="P22" s="103"/>
      <c r="Q22" s="103"/>
      <c r="R22" s="103"/>
      <c r="S22" s="103"/>
      <c r="T22" s="103"/>
      <c r="U22" s="103"/>
      <c r="V22" s="103"/>
      <c r="W22" s="103"/>
      <c r="X22" s="103"/>
      <c r="Y22" s="103"/>
      <c r="Z22" s="104"/>
      <c r="AA22" s="102"/>
      <c r="AB22" s="104"/>
      <c r="AC22" s="102"/>
      <c r="AD22" s="104"/>
      <c r="AE22" s="102"/>
      <c r="AF22" s="104"/>
      <c r="AG22" s="102"/>
      <c r="AH22" s="104"/>
      <c r="AI22" s="102"/>
      <c r="AJ22" s="104"/>
      <c r="AK22" s="102"/>
      <c r="AL22" s="104"/>
      <c r="AM22" s="102"/>
      <c r="AN22" s="104"/>
      <c r="AO22" s="102"/>
      <c r="AP22" s="104"/>
      <c r="AQ22" s="102"/>
      <c r="AR22" s="104"/>
    </row>
    <row r="23" spans="1:44" ht="15.75" customHeight="1" x14ac:dyDescent="0.25">
      <c r="A23" s="105"/>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7"/>
      <c r="AA23" s="105"/>
      <c r="AB23" s="107"/>
      <c r="AC23" s="105"/>
      <c r="AD23" s="107"/>
      <c r="AE23" s="105"/>
      <c r="AF23" s="107"/>
      <c r="AG23" s="105"/>
      <c r="AH23" s="107"/>
      <c r="AI23" s="105"/>
      <c r="AJ23" s="107"/>
      <c r="AK23" s="105"/>
      <c r="AL23" s="107"/>
      <c r="AM23" s="105"/>
      <c r="AN23" s="107"/>
      <c r="AO23" s="105"/>
      <c r="AP23" s="107"/>
      <c r="AQ23" s="105"/>
      <c r="AR23" s="107"/>
    </row>
    <row r="24" spans="1:44" ht="15.75" customHeight="1" x14ac:dyDescent="0.25">
      <c r="A24" s="99" t="s">
        <v>144</v>
      </c>
      <c r="B24" s="100"/>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Z24" s="101"/>
      <c r="AA24" s="137">
        <v>0.25</v>
      </c>
      <c r="AB24" s="101"/>
      <c r="AC24" s="108"/>
      <c r="AD24" s="101"/>
      <c r="AE24" s="108"/>
      <c r="AF24" s="101"/>
      <c r="AG24" s="108"/>
      <c r="AH24" s="101"/>
      <c r="AI24" s="108"/>
      <c r="AJ24" s="101"/>
      <c r="AK24" s="108">
        <v>5</v>
      </c>
      <c r="AL24" s="101"/>
      <c r="AM24" s="108">
        <v>4</v>
      </c>
      <c r="AN24" s="101"/>
      <c r="AO24" s="108">
        <v>5</v>
      </c>
      <c r="AP24" s="101"/>
      <c r="AQ24" s="108">
        <v>4</v>
      </c>
      <c r="AR24" s="101"/>
    </row>
    <row r="25" spans="1:44" ht="15.75" customHeight="1" x14ac:dyDescent="0.25">
      <c r="A25" s="102"/>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c r="Z25" s="104"/>
      <c r="AA25" s="102"/>
      <c r="AB25" s="104"/>
      <c r="AC25" s="102"/>
      <c r="AD25" s="104"/>
      <c r="AE25" s="102"/>
      <c r="AF25" s="104"/>
      <c r="AG25" s="102"/>
      <c r="AH25" s="104"/>
      <c r="AI25" s="102"/>
      <c r="AJ25" s="104"/>
      <c r="AK25" s="102"/>
      <c r="AL25" s="104"/>
      <c r="AM25" s="102"/>
      <c r="AN25" s="104"/>
      <c r="AO25" s="102"/>
      <c r="AP25" s="104"/>
      <c r="AQ25" s="102"/>
      <c r="AR25" s="104"/>
    </row>
    <row r="26" spans="1:44" ht="15.75" customHeight="1" x14ac:dyDescent="0.25">
      <c r="A26" s="105"/>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7"/>
      <c r="AA26" s="105"/>
      <c r="AB26" s="107"/>
      <c r="AC26" s="105"/>
      <c r="AD26" s="107"/>
      <c r="AE26" s="105"/>
      <c r="AF26" s="107"/>
      <c r="AG26" s="105"/>
      <c r="AH26" s="107"/>
      <c r="AI26" s="105"/>
      <c r="AJ26" s="107"/>
      <c r="AK26" s="105"/>
      <c r="AL26" s="107"/>
      <c r="AM26" s="105"/>
      <c r="AN26" s="107"/>
      <c r="AO26" s="105"/>
      <c r="AP26" s="107"/>
      <c r="AQ26" s="105"/>
      <c r="AR26" s="107"/>
    </row>
    <row r="27" spans="1:44" ht="15.75" customHeight="1" x14ac:dyDescent="0.25">
      <c r="A27" s="99" t="s">
        <v>152</v>
      </c>
      <c r="B27" s="100"/>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1"/>
      <c r="AA27" s="137">
        <v>0.25</v>
      </c>
      <c r="AB27" s="101"/>
      <c r="AC27" s="108"/>
      <c r="AD27" s="101"/>
      <c r="AE27" s="108"/>
      <c r="AF27" s="101"/>
      <c r="AG27" s="108"/>
      <c r="AH27" s="101"/>
      <c r="AI27" s="108"/>
      <c r="AJ27" s="101"/>
      <c r="AK27" s="108">
        <v>4</v>
      </c>
      <c r="AL27" s="101"/>
      <c r="AM27" s="108">
        <v>4</v>
      </c>
      <c r="AN27" s="101"/>
      <c r="AO27" s="108">
        <v>5</v>
      </c>
      <c r="AP27" s="101"/>
      <c r="AQ27" s="108">
        <v>4</v>
      </c>
      <c r="AR27" s="101"/>
    </row>
    <row r="28" spans="1:44" ht="15.75" customHeight="1" x14ac:dyDescent="0.25">
      <c r="A28" s="102"/>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4"/>
      <c r="AA28" s="102"/>
      <c r="AB28" s="104"/>
      <c r="AC28" s="102"/>
      <c r="AD28" s="104"/>
      <c r="AE28" s="102"/>
      <c r="AF28" s="104"/>
      <c r="AG28" s="102"/>
      <c r="AH28" s="104"/>
      <c r="AI28" s="102"/>
      <c r="AJ28" s="104"/>
      <c r="AK28" s="102"/>
      <c r="AL28" s="104"/>
      <c r="AM28" s="102"/>
      <c r="AN28" s="104"/>
      <c r="AO28" s="102"/>
      <c r="AP28" s="104"/>
      <c r="AQ28" s="102"/>
      <c r="AR28" s="104"/>
    </row>
    <row r="29" spans="1:44" ht="15.75" customHeight="1" x14ac:dyDescent="0.25">
      <c r="A29" s="105"/>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7"/>
      <c r="AA29" s="105"/>
      <c r="AB29" s="107"/>
      <c r="AC29" s="105"/>
      <c r="AD29" s="107"/>
      <c r="AE29" s="105"/>
      <c r="AF29" s="107"/>
      <c r="AG29" s="105"/>
      <c r="AH29" s="107"/>
      <c r="AI29" s="105"/>
      <c r="AJ29" s="107"/>
      <c r="AK29" s="105"/>
      <c r="AL29" s="107"/>
      <c r="AM29" s="105"/>
      <c r="AN29" s="107"/>
      <c r="AO29" s="105"/>
      <c r="AP29" s="107"/>
      <c r="AQ29" s="105"/>
      <c r="AR29" s="107"/>
    </row>
    <row r="30" spans="1:44" ht="15.75" customHeight="1" x14ac:dyDescent="0.25">
      <c r="A30" s="129" t="s">
        <v>91</v>
      </c>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1"/>
      <c r="AA30" s="127">
        <f>SUM(AA18:AB29)</f>
        <v>1</v>
      </c>
      <c r="AB30" s="101"/>
      <c r="AC30" s="127">
        <f>SUMPRODUCT($AA$18:$AB$29,AC18:AD29)/($AA$30*5)</f>
        <v>0</v>
      </c>
      <c r="AD30" s="101"/>
      <c r="AE30" s="127">
        <f>SUMPRODUCT($AA$18:$AB$29,AE18:AF29)/($AA$30*5)</f>
        <v>0</v>
      </c>
      <c r="AF30" s="101"/>
      <c r="AG30" s="127">
        <f>SUMPRODUCT($AA$18:$AB$29,AG18:AH29)/($AA$30*5)</f>
        <v>0</v>
      </c>
      <c r="AH30" s="101"/>
      <c r="AI30" s="127">
        <f>SUMPRODUCT($AA$18:$AB$29,AI18:AJ29)/($AA$30*5)</f>
        <v>0</v>
      </c>
      <c r="AJ30" s="101"/>
      <c r="AK30" s="127">
        <f>SUMPRODUCT($AA$18:$AB$29,AK18:AL29)/($AA$30*5)</f>
        <v>0.95</v>
      </c>
      <c r="AL30" s="101"/>
      <c r="AM30" s="127">
        <f>SUMPRODUCT($AA$18:$AB$29,AM18:AN29)/($AA$30*5)</f>
        <v>0.8</v>
      </c>
      <c r="AN30" s="101"/>
      <c r="AO30" s="127">
        <f>SUMPRODUCT($AA$18:$AB$29,AO18:AP29)/($AA$30*5)</f>
        <v>0.95</v>
      </c>
      <c r="AP30" s="101"/>
      <c r="AQ30" s="127">
        <f>SUMPRODUCT($AA$18:$AB$29,AQ18:AR29)/($AA$30*5)</f>
        <v>0.8</v>
      </c>
      <c r="AR30" s="101"/>
    </row>
    <row r="31" spans="1:44" ht="15.75" customHeight="1" x14ac:dyDescent="0.25">
      <c r="A31" s="105"/>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7"/>
      <c r="AA31" s="105"/>
      <c r="AB31" s="107"/>
      <c r="AC31" s="105"/>
      <c r="AD31" s="107"/>
      <c r="AE31" s="105"/>
      <c r="AF31" s="107"/>
      <c r="AG31" s="105"/>
      <c r="AH31" s="107"/>
      <c r="AI31" s="105"/>
      <c r="AJ31" s="107"/>
      <c r="AK31" s="105"/>
      <c r="AL31" s="107"/>
      <c r="AM31" s="105"/>
      <c r="AN31" s="107"/>
      <c r="AO31" s="105"/>
      <c r="AP31" s="107"/>
      <c r="AQ31" s="105"/>
      <c r="AR31" s="107"/>
    </row>
    <row r="32" spans="1:44" ht="8.25" customHeight="1" x14ac:dyDescent="0.25">
      <c r="A32" s="64"/>
      <c r="B32" s="62"/>
      <c r="C32" s="62"/>
      <c r="D32" s="62"/>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row>
    <row r="33" spans="1:44" ht="15.75" customHeight="1" x14ac:dyDescent="0.25">
      <c r="A33" s="121" t="s">
        <v>146</v>
      </c>
      <c r="B33" s="112"/>
      <c r="C33" s="112"/>
      <c r="D33" s="112"/>
      <c r="E33" s="112"/>
      <c r="F33" s="112"/>
      <c r="G33" s="112"/>
      <c r="H33" s="112"/>
      <c r="I33" s="112"/>
      <c r="J33" s="112"/>
      <c r="K33" s="112"/>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row>
    <row r="34" spans="1:44" ht="8.25" customHeight="1" x14ac:dyDescent="0.25">
      <c r="A34" s="64"/>
      <c r="B34" s="62"/>
      <c r="C34" s="62"/>
      <c r="D34" s="62"/>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row>
    <row r="35" spans="1:44" ht="15.75" customHeight="1" x14ac:dyDescent="0.25">
      <c r="A35" s="136" t="s">
        <v>92</v>
      </c>
      <c r="B35" s="124" t="s">
        <v>145</v>
      </c>
      <c r="C35" s="100"/>
      <c r="D35" s="100"/>
      <c r="E35" s="100"/>
      <c r="F35" s="100"/>
      <c r="G35" s="100"/>
      <c r="H35" s="100"/>
      <c r="I35" s="100"/>
      <c r="J35" s="100"/>
      <c r="K35" s="100"/>
      <c r="L35" s="100"/>
      <c r="M35" s="101"/>
      <c r="N35" s="125" t="s">
        <v>147</v>
      </c>
      <c r="O35" s="100"/>
      <c r="P35" s="100"/>
      <c r="Q35" s="100"/>
      <c r="R35" s="100"/>
      <c r="S35" s="100"/>
      <c r="T35" s="100"/>
      <c r="U35" s="100"/>
      <c r="V35" s="100"/>
      <c r="W35" s="100"/>
      <c r="X35" s="100"/>
      <c r="Y35" s="100"/>
      <c r="Z35" s="101"/>
      <c r="AA35" s="125" t="s">
        <v>84</v>
      </c>
      <c r="AB35" s="101"/>
      <c r="AC35" s="135" t="s">
        <v>85</v>
      </c>
      <c r="AD35" s="97"/>
      <c r="AE35" s="97"/>
      <c r="AF35" s="98"/>
      <c r="AG35" s="135" t="s">
        <v>86</v>
      </c>
      <c r="AH35" s="97"/>
      <c r="AI35" s="97"/>
      <c r="AJ35" s="98"/>
      <c r="AK35" s="135" t="s">
        <v>87</v>
      </c>
      <c r="AL35" s="97"/>
      <c r="AM35" s="97"/>
      <c r="AN35" s="98"/>
      <c r="AO35" s="135" t="s">
        <v>88</v>
      </c>
      <c r="AP35" s="97"/>
      <c r="AQ35" s="97"/>
      <c r="AR35" s="98"/>
    </row>
    <row r="36" spans="1:44" ht="15" customHeight="1" x14ac:dyDescent="0.25">
      <c r="A36" s="123"/>
      <c r="B36" s="102"/>
      <c r="C36" s="103"/>
      <c r="D36" s="103"/>
      <c r="E36" s="103"/>
      <c r="F36" s="103"/>
      <c r="G36" s="103"/>
      <c r="H36" s="103"/>
      <c r="I36" s="103"/>
      <c r="J36" s="103"/>
      <c r="K36" s="103"/>
      <c r="L36" s="103"/>
      <c r="M36" s="104"/>
      <c r="N36" s="102"/>
      <c r="O36" s="103"/>
      <c r="P36" s="103"/>
      <c r="Q36" s="103"/>
      <c r="R36" s="103"/>
      <c r="S36" s="103"/>
      <c r="T36" s="103"/>
      <c r="U36" s="103"/>
      <c r="V36" s="103"/>
      <c r="W36" s="103"/>
      <c r="X36" s="103"/>
      <c r="Y36" s="103"/>
      <c r="Z36" s="104"/>
      <c r="AA36" s="102"/>
      <c r="AB36" s="104"/>
      <c r="AC36" s="125" t="s">
        <v>89</v>
      </c>
      <c r="AD36" s="101"/>
      <c r="AE36" s="125" t="s">
        <v>90</v>
      </c>
      <c r="AF36" s="101"/>
      <c r="AG36" s="125" t="s">
        <v>89</v>
      </c>
      <c r="AH36" s="101"/>
      <c r="AI36" s="125" t="s">
        <v>90</v>
      </c>
      <c r="AJ36" s="101"/>
      <c r="AK36" s="125" t="s">
        <v>89</v>
      </c>
      <c r="AL36" s="101"/>
      <c r="AM36" s="125" t="s">
        <v>90</v>
      </c>
      <c r="AN36" s="101"/>
      <c r="AO36" s="125" t="s">
        <v>89</v>
      </c>
      <c r="AP36" s="101"/>
      <c r="AQ36" s="125" t="s">
        <v>90</v>
      </c>
      <c r="AR36" s="101"/>
    </row>
    <row r="37" spans="1:44" ht="15.75" customHeight="1" x14ac:dyDescent="0.25">
      <c r="A37" s="119"/>
      <c r="B37" s="105"/>
      <c r="C37" s="106"/>
      <c r="D37" s="106"/>
      <c r="E37" s="106"/>
      <c r="F37" s="106"/>
      <c r="G37" s="106"/>
      <c r="H37" s="106"/>
      <c r="I37" s="106"/>
      <c r="J37" s="106"/>
      <c r="K37" s="106"/>
      <c r="L37" s="106"/>
      <c r="M37" s="107"/>
      <c r="N37" s="105"/>
      <c r="O37" s="106"/>
      <c r="P37" s="106"/>
      <c r="Q37" s="106"/>
      <c r="R37" s="106"/>
      <c r="S37" s="106"/>
      <c r="T37" s="106"/>
      <c r="U37" s="106"/>
      <c r="V37" s="106"/>
      <c r="W37" s="106"/>
      <c r="X37" s="106"/>
      <c r="Y37" s="106"/>
      <c r="Z37" s="107"/>
      <c r="AA37" s="105"/>
      <c r="AB37" s="107"/>
      <c r="AC37" s="105"/>
      <c r="AD37" s="107"/>
      <c r="AE37" s="105"/>
      <c r="AF37" s="107"/>
      <c r="AG37" s="105"/>
      <c r="AH37" s="107"/>
      <c r="AI37" s="105"/>
      <c r="AJ37" s="107"/>
      <c r="AK37" s="105"/>
      <c r="AL37" s="107"/>
      <c r="AM37" s="105"/>
      <c r="AN37" s="107"/>
      <c r="AO37" s="105"/>
      <c r="AP37" s="107"/>
      <c r="AQ37" s="105"/>
      <c r="AR37" s="107"/>
    </row>
    <row r="38" spans="1:44" ht="59.25" customHeight="1" x14ac:dyDescent="0.25">
      <c r="A38" s="70">
        <v>1</v>
      </c>
      <c r="B38" s="131" t="s">
        <v>431</v>
      </c>
      <c r="C38" s="97"/>
      <c r="D38" s="97"/>
      <c r="E38" s="97"/>
      <c r="F38" s="97"/>
      <c r="G38" s="97"/>
      <c r="H38" s="97"/>
      <c r="I38" s="97"/>
      <c r="J38" s="97"/>
      <c r="K38" s="97"/>
      <c r="L38" s="97"/>
      <c r="M38" s="98"/>
      <c r="N38" s="131"/>
      <c r="O38" s="97"/>
      <c r="P38" s="97"/>
      <c r="Q38" s="97"/>
      <c r="R38" s="97"/>
      <c r="S38" s="97"/>
      <c r="T38" s="97"/>
      <c r="U38" s="97"/>
      <c r="V38" s="97"/>
      <c r="W38" s="97"/>
      <c r="X38" s="97"/>
      <c r="Y38" s="97"/>
      <c r="Z38" s="98"/>
      <c r="AA38" s="132"/>
      <c r="AB38" s="98"/>
      <c r="AC38" s="133"/>
      <c r="AD38" s="98"/>
      <c r="AE38" s="96"/>
      <c r="AF38" s="98"/>
      <c r="AG38" s="96"/>
      <c r="AH38" s="98"/>
      <c r="AI38" s="96"/>
      <c r="AJ38" s="98"/>
      <c r="AK38" s="96">
        <v>4</v>
      </c>
      <c r="AL38" s="98"/>
      <c r="AM38" s="96">
        <v>4</v>
      </c>
      <c r="AN38" s="98"/>
      <c r="AO38" s="96">
        <v>4</v>
      </c>
      <c r="AP38" s="98"/>
      <c r="AQ38" s="96">
        <v>4</v>
      </c>
      <c r="AR38" s="98"/>
    </row>
    <row r="39" spans="1:44" ht="59.25" customHeight="1" x14ac:dyDescent="0.25">
      <c r="A39" s="74">
        <v>2</v>
      </c>
      <c r="B39" s="131" t="s">
        <v>441</v>
      </c>
      <c r="C39" s="97"/>
      <c r="D39" s="97"/>
      <c r="E39" s="97"/>
      <c r="F39" s="97"/>
      <c r="G39" s="97"/>
      <c r="H39" s="97"/>
      <c r="I39" s="97"/>
      <c r="J39" s="97"/>
      <c r="K39" s="97"/>
      <c r="L39" s="97"/>
      <c r="M39" s="98"/>
      <c r="N39" s="131"/>
      <c r="O39" s="97"/>
      <c r="P39" s="97"/>
      <c r="Q39" s="97"/>
      <c r="R39" s="97"/>
      <c r="S39" s="97"/>
      <c r="T39" s="97"/>
      <c r="U39" s="97"/>
      <c r="V39" s="97"/>
      <c r="W39" s="97"/>
      <c r="X39" s="97"/>
      <c r="Y39" s="97"/>
      <c r="Z39" s="98"/>
      <c r="AA39" s="71"/>
      <c r="AB39" s="67"/>
      <c r="AC39" s="72"/>
      <c r="AD39" s="67"/>
      <c r="AE39" s="73"/>
      <c r="AF39" s="67"/>
      <c r="AG39" s="73"/>
      <c r="AH39" s="67"/>
      <c r="AI39" s="73"/>
      <c r="AJ39" s="67"/>
      <c r="AK39" s="73"/>
      <c r="AL39" s="67"/>
      <c r="AM39" s="73"/>
      <c r="AN39" s="67"/>
      <c r="AO39" s="73"/>
      <c r="AP39" s="67"/>
      <c r="AQ39" s="73"/>
      <c r="AR39" s="67"/>
    </row>
    <row r="40" spans="1:44" ht="60.75" customHeight="1" x14ac:dyDescent="0.25">
      <c r="A40" s="70">
        <v>3</v>
      </c>
      <c r="B40" s="130" t="s">
        <v>429</v>
      </c>
      <c r="C40" s="97"/>
      <c r="D40" s="97"/>
      <c r="E40" s="97"/>
      <c r="F40" s="97"/>
      <c r="G40" s="97"/>
      <c r="H40" s="97"/>
      <c r="I40" s="97"/>
      <c r="J40" s="97"/>
      <c r="K40" s="97"/>
      <c r="L40" s="97"/>
      <c r="M40" s="98"/>
      <c r="N40" s="131"/>
      <c r="O40" s="97"/>
      <c r="P40" s="97"/>
      <c r="Q40" s="97"/>
      <c r="R40" s="97"/>
      <c r="S40" s="97"/>
      <c r="T40" s="97"/>
      <c r="U40" s="97"/>
      <c r="V40" s="97"/>
      <c r="W40" s="97"/>
      <c r="X40" s="97"/>
      <c r="Y40" s="97"/>
      <c r="Z40" s="98"/>
      <c r="AA40" s="132"/>
      <c r="AB40" s="98"/>
      <c r="AC40" s="133"/>
      <c r="AD40" s="98"/>
      <c r="AE40" s="96"/>
      <c r="AF40" s="98"/>
      <c r="AG40" s="96"/>
      <c r="AH40" s="98"/>
      <c r="AI40" s="96"/>
      <c r="AJ40" s="98"/>
      <c r="AK40" s="96">
        <v>5</v>
      </c>
      <c r="AL40" s="98"/>
      <c r="AM40" s="96">
        <v>5</v>
      </c>
      <c r="AN40" s="98"/>
      <c r="AO40" s="96">
        <v>5</v>
      </c>
      <c r="AP40" s="98"/>
      <c r="AQ40" s="96">
        <v>5</v>
      </c>
      <c r="AR40" s="98"/>
    </row>
    <row r="41" spans="1:44" ht="69" customHeight="1" x14ac:dyDescent="0.25">
      <c r="A41" s="74">
        <v>4</v>
      </c>
      <c r="B41" s="134" t="s">
        <v>430</v>
      </c>
      <c r="C41" s="97"/>
      <c r="D41" s="97"/>
      <c r="E41" s="97"/>
      <c r="F41" s="97"/>
      <c r="G41" s="97"/>
      <c r="H41" s="97"/>
      <c r="I41" s="97"/>
      <c r="J41" s="97"/>
      <c r="K41" s="97"/>
      <c r="L41" s="97"/>
      <c r="M41" s="98"/>
      <c r="N41" s="131"/>
      <c r="O41" s="97"/>
      <c r="P41" s="97"/>
      <c r="Q41" s="97"/>
      <c r="R41" s="97"/>
      <c r="S41" s="97"/>
      <c r="T41" s="97"/>
      <c r="U41" s="97"/>
      <c r="V41" s="97"/>
      <c r="W41" s="97"/>
      <c r="X41" s="97"/>
      <c r="Y41" s="97"/>
      <c r="Z41" s="98"/>
      <c r="AA41" s="132"/>
      <c r="AB41" s="98"/>
      <c r="AC41" s="133"/>
      <c r="AD41" s="98"/>
      <c r="AE41" s="96"/>
      <c r="AF41" s="98"/>
      <c r="AG41" s="96"/>
      <c r="AH41" s="98"/>
      <c r="AI41" s="96"/>
      <c r="AJ41" s="98"/>
      <c r="AK41" s="96">
        <v>5</v>
      </c>
      <c r="AL41" s="98"/>
      <c r="AM41" s="96">
        <v>5</v>
      </c>
      <c r="AN41" s="98"/>
      <c r="AO41" s="96">
        <v>5</v>
      </c>
      <c r="AP41" s="98"/>
      <c r="AQ41" s="96">
        <v>5</v>
      </c>
      <c r="AR41" s="98"/>
    </row>
    <row r="42" spans="1:44" ht="69" customHeight="1" x14ac:dyDescent="0.25">
      <c r="A42" s="70">
        <v>5</v>
      </c>
      <c r="B42" s="134" t="s">
        <v>435</v>
      </c>
      <c r="C42" s="97"/>
      <c r="D42" s="97"/>
      <c r="E42" s="97"/>
      <c r="F42" s="97"/>
      <c r="G42" s="97"/>
      <c r="H42" s="97"/>
      <c r="I42" s="97"/>
      <c r="J42" s="97"/>
      <c r="K42" s="97"/>
      <c r="L42" s="97"/>
      <c r="M42" s="98"/>
      <c r="N42" s="131"/>
      <c r="O42" s="97"/>
      <c r="P42" s="97"/>
      <c r="Q42" s="97"/>
      <c r="R42" s="97"/>
      <c r="S42" s="97"/>
      <c r="T42" s="97"/>
      <c r="U42" s="97"/>
      <c r="V42" s="97"/>
      <c r="W42" s="97"/>
      <c r="X42" s="97"/>
      <c r="Y42" s="97"/>
      <c r="Z42" s="98"/>
      <c r="AA42" s="71"/>
      <c r="AB42" s="67"/>
      <c r="AC42" s="72"/>
      <c r="AD42" s="67"/>
      <c r="AE42" s="73"/>
      <c r="AF42" s="67"/>
      <c r="AG42" s="73"/>
      <c r="AH42" s="67"/>
      <c r="AI42" s="73"/>
      <c r="AJ42" s="67"/>
      <c r="AK42" s="73"/>
      <c r="AL42" s="67"/>
      <c r="AM42" s="73"/>
      <c r="AN42" s="67"/>
      <c r="AO42" s="73"/>
      <c r="AP42" s="67"/>
      <c r="AQ42" s="73"/>
      <c r="AR42" s="67"/>
    </row>
    <row r="43" spans="1:44" ht="54" customHeight="1" x14ac:dyDescent="0.25">
      <c r="A43" s="74">
        <v>6</v>
      </c>
      <c r="B43" s="134" t="s">
        <v>440</v>
      </c>
      <c r="C43" s="97"/>
      <c r="D43" s="97"/>
      <c r="E43" s="97"/>
      <c r="F43" s="97"/>
      <c r="G43" s="97"/>
      <c r="H43" s="97"/>
      <c r="I43" s="97"/>
      <c r="J43" s="97"/>
      <c r="K43" s="97"/>
      <c r="L43" s="97"/>
      <c r="M43" s="98"/>
      <c r="N43" s="130"/>
      <c r="O43" s="97"/>
      <c r="P43" s="97"/>
      <c r="Q43" s="97"/>
      <c r="R43" s="97"/>
      <c r="S43" s="97"/>
      <c r="T43" s="97"/>
      <c r="U43" s="97"/>
      <c r="V43" s="97"/>
      <c r="W43" s="97"/>
      <c r="X43" s="98"/>
      <c r="Y43" s="76"/>
      <c r="Z43" s="76"/>
      <c r="AA43" s="132"/>
      <c r="AB43" s="98"/>
      <c r="AC43" s="133"/>
      <c r="AD43" s="98"/>
      <c r="AE43" s="96"/>
      <c r="AF43" s="98"/>
      <c r="AG43" s="96"/>
      <c r="AH43" s="98"/>
      <c r="AI43" s="96"/>
      <c r="AJ43" s="98"/>
      <c r="AK43" s="96">
        <v>5</v>
      </c>
      <c r="AL43" s="98"/>
      <c r="AM43" s="96">
        <v>3</v>
      </c>
      <c r="AN43" s="98"/>
      <c r="AO43" s="96">
        <v>5</v>
      </c>
      <c r="AP43" s="98"/>
      <c r="AQ43" s="96">
        <v>3</v>
      </c>
      <c r="AR43" s="98"/>
    </row>
    <row r="44" spans="1:44" ht="54" customHeight="1" x14ac:dyDescent="0.25">
      <c r="A44" s="70">
        <v>7</v>
      </c>
      <c r="B44" s="134" t="s">
        <v>433</v>
      </c>
      <c r="C44" s="97"/>
      <c r="D44" s="97"/>
      <c r="E44" s="97"/>
      <c r="F44" s="97"/>
      <c r="G44" s="97"/>
      <c r="H44" s="97"/>
      <c r="I44" s="97"/>
      <c r="J44" s="97"/>
      <c r="K44" s="97"/>
      <c r="L44" s="97"/>
      <c r="M44" s="98"/>
      <c r="N44" s="130"/>
      <c r="O44" s="97"/>
      <c r="P44" s="97"/>
      <c r="Q44" s="97"/>
      <c r="R44" s="97"/>
      <c r="S44" s="97"/>
      <c r="T44" s="97"/>
      <c r="U44" s="97"/>
      <c r="V44" s="97"/>
      <c r="W44" s="97"/>
      <c r="X44" s="98"/>
      <c r="Y44" s="202"/>
      <c r="Z44" s="203"/>
      <c r="AA44" s="71"/>
      <c r="AB44" s="67"/>
      <c r="AC44" s="72"/>
      <c r="AD44" s="67"/>
      <c r="AE44" s="73"/>
      <c r="AF44" s="67"/>
      <c r="AG44" s="73"/>
      <c r="AH44" s="67"/>
      <c r="AI44" s="73"/>
      <c r="AJ44" s="67"/>
      <c r="AK44" s="73"/>
      <c r="AL44" s="67"/>
      <c r="AM44" s="73"/>
      <c r="AN44" s="67"/>
      <c r="AO44" s="73"/>
      <c r="AP44" s="67"/>
      <c r="AQ44" s="73"/>
      <c r="AR44" s="67"/>
    </row>
    <row r="45" spans="1:44" ht="54" customHeight="1" x14ac:dyDescent="0.25">
      <c r="A45" s="74">
        <v>8</v>
      </c>
      <c r="B45" s="134" t="s">
        <v>434</v>
      </c>
      <c r="C45" s="97"/>
      <c r="D45" s="97"/>
      <c r="E45" s="97"/>
      <c r="F45" s="97"/>
      <c r="G45" s="97"/>
      <c r="H45" s="97"/>
      <c r="I45" s="97"/>
      <c r="J45" s="97"/>
      <c r="K45" s="97"/>
      <c r="L45" s="97"/>
      <c r="M45" s="98"/>
      <c r="N45" s="75"/>
      <c r="O45" s="66"/>
      <c r="P45" s="66"/>
      <c r="Q45" s="66"/>
      <c r="R45" s="66"/>
      <c r="S45" s="66"/>
      <c r="T45" s="66"/>
      <c r="U45" s="66"/>
      <c r="V45" s="66"/>
      <c r="W45" s="66"/>
      <c r="X45" s="67"/>
      <c r="Y45" s="202"/>
      <c r="Z45" s="203"/>
      <c r="AA45" s="71"/>
      <c r="AB45" s="67"/>
      <c r="AC45" s="72"/>
      <c r="AD45" s="67"/>
      <c r="AE45" s="73"/>
      <c r="AF45" s="67"/>
      <c r="AG45" s="73"/>
      <c r="AH45" s="67"/>
      <c r="AI45" s="73"/>
      <c r="AJ45" s="67"/>
      <c r="AK45" s="73"/>
      <c r="AL45" s="67"/>
      <c r="AM45" s="73"/>
      <c r="AN45" s="67"/>
      <c r="AO45" s="73"/>
      <c r="AP45" s="67"/>
      <c r="AQ45" s="73"/>
      <c r="AR45" s="67"/>
    </row>
    <row r="46" spans="1:44" ht="54" customHeight="1" x14ac:dyDescent="0.25">
      <c r="A46" s="70">
        <v>9</v>
      </c>
      <c r="B46" s="134" t="s">
        <v>432</v>
      </c>
      <c r="C46" s="97"/>
      <c r="D46" s="97"/>
      <c r="E46" s="97"/>
      <c r="F46" s="97"/>
      <c r="G46" s="97"/>
      <c r="H46" s="97"/>
      <c r="I46" s="97"/>
      <c r="J46" s="97"/>
      <c r="K46" s="97"/>
      <c r="L46" s="97"/>
      <c r="M46" s="98"/>
      <c r="N46" s="130"/>
      <c r="O46" s="97"/>
      <c r="P46" s="97"/>
      <c r="Q46" s="97"/>
      <c r="R46" s="97"/>
      <c r="S46" s="97"/>
      <c r="T46" s="97"/>
      <c r="U46" s="97"/>
      <c r="V46" s="97"/>
      <c r="W46" s="97"/>
      <c r="X46" s="98"/>
      <c r="Y46" s="202"/>
      <c r="Z46" s="203"/>
      <c r="AA46" s="71"/>
      <c r="AB46" s="67"/>
      <c r="AC46" s="72"/>
      <c r="AD46" s="67"/>
      <c r="AE46" s="73"/>
      <c r="AF46" s="67"/>
      <c r="AG46" s="73"/>
      <c r="AH46" s="67"/>
      <c r="AI46" s="73"/>
      <c r="AJ46" s="67"/>
      <c r="AK46" s="73"/>
      <c r="AL46" s="67"/>
      <c r="AM46" s="73"/>
      <c r="AN46" s="67"/>
      <c r="AO46" s="73"/>
      <c r="AP46" s="67"/>
      <c r="AQ46" s="73"/>
      <c r="AR46" s="67"/>
    </row>
    <row r="47" spans="1:44" ht="15.75" customHeight="1" x14ac:dyDescent="0.25">
      <c r="A47" s="129" t="s">
        <v>93</v>
      </c>
      <c r="B47" s="100"/>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1"/>
      <c r="AA47" s="127">
        <f>SUM(AA38:AB46)</f>
        <v>0</v>
      </c>
      <c r="AB47" s="101"/>
      <c r="AC47" s="127" t="e">
        <f>SUMPRODUCT($AA$38:$AB$46,AC38:AD46)/(SUM($AA$38:$AB$46)*5)</f>
        <v>#DIV/0!</v>
      </c>
      <c r="AD47" s="101"/>
      <c r="AE47" s="127" t="e">
        <f>SUMPRODUCT($AA$38:$AB$46,AE38:AF46)/(SUM($AA$38:$AB$46)*5)</f>
        <v>#DIV/0!</v>
      </c>
      <c r="AF47" s="101"/>
      <c r="AG47" s="127" t="e">
        <f>SUMPRODUCT($AA$38:$AB$46,AG38:AH46)/(SUM($AA$38:$AB$46)*5)</f>
        <v>#DIV/0!</v>
      </c>
      <c r="AH47" s="101"/>
      <c r="AI47" s="127" t="e">
        <f>SUMPRODUCT($AA$38:$AB$46,AI38:AJ46)/(SUM($AA$38:$AB$46)*5)</f>
        <v>#DIV/0!</v>
      </c>
      <c r="AJ47" s="101"/>
      <c r="AK47" s="127" t="e">
        <f>SUMPRODUCT($AA$38:$AB$46,AK38:AL46)/(SUM($AA$38:$AB$46)*5)</f>
        <v>#DIV/0!</v>
      </c>
      <c r="AL47" s="101"/>
      <c r="AM47" s="127" t="e">
        <f>SUMPRODUCT($AA$38:$AB$46,AM38:AN46)/(SUM($AA$38:$AB$46)*5)</f>
        <v>#DIV/0!</v>
      </c>
      <c r="AN47" s="101"/>
      <c r="AO47" s="127" t="e">
        <f>SUMPRODUCT($AA$38:$AB$46,AO38:AP46)/(SUM($AA$38:$AB$46)*5)</f>
        <v>#DIV/0!</v>
      </c>
      <c r="AP47" s="101"/>
      <c r="AQ47" s="127" t="e">
        <f>SUMPRODUCT($AA$38:$AB$46,AQ38:AR46)/(SUM($AA$38:$AB$46)*5)</f>
        <v>#DIV/0!</v>
      </c>
      <c r="AR47" s="101"/>
    </row>
    <row r="48" spans="1:44" ht="15.75" customHeight="1" x14ac:dyDescent="0.25">
      <c r="A48" s="105"/>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7"/>
      <c r="AA48" s="105"/>
      <c r="AB48" s="107"/>
      <c r="AC48" s="105"/>
      <c r="AD48" s="107"/>
      <c r="AE48" s="105"/>
      <c r="AF48" s="107"/>
      <c r="AG48" s="105"/>
      <c r="AH48" s="107"/>
      <c r="AI48" s="105"/>
      <c r="AJ48" s="107"/>
      <c r="AK48" s="105"/>
      <c r="AL48" s="107"/>
      <c r="AM48" s="105"/>
      <c r="AN48" s="107"/>
      <c r="AO48" s="105"/>
      <c r="AP48" s="107"/>
      <c r="AQ48" s="105"/>
      <c r="AR48" s="107"/>
    </row>
    <row r="49" spans="1:44" ht="8.25" customHeight="1" x14ac:dyDescent="0.25">
      <c r="A49" s="64"/>
      <c r="B49" s="62"/>
      <c r="C49" s="62"/>
      <c r="D49" s="62"/>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row>
    <row r="50" spans="1:44" ht="15.75" customHeight="1" x14ac:dyDescent="0.25">
      <c r="A50" s="114" t="s">
        <v>94</v>
      </c>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c r="AA50" s="77"/>
      <c r="AB50" s="77"/>
      <c r="AC50" s="128" t="s">
        <v>85</v>
      </c>
      <c r="AD50" s="112"/>
      <c r="AE50" s="112"/>
      <c r="AF50" s="112"/>
      <c r="AG50" s="128" t="s">
        <v>86</v>
      </c>
      <c r="AH50" s="112"/>
      <c r="AI50" s="112"/>
      <c r="AJ50" s="112"/>
      <c r="AK50" s="128" t="s">
        <v>87</v>
      </c>
      <c r="AL50" s="112"/>
      <c r="AM50" s="112"/>
      <c r="AN50" s="112"/>
      <c r="AO50" s="128" t="s">
        <v>88</v>
      </c>
      <c r="AP50" s="112"/>
      <c r="AQ50" s="112"/>
      <c r="AR50" s="112"/>
    </row>
    <row r="51" spans="1:44" ht="8.25" customHeight="1" x14ac:dyDescent="0.25">
      <c r="A51" s="64"/>
      <c r="B51" s="62"/>
      <c r="C51" s="62"/>
      <c r="D51" s="62"/>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row>
    <row r="52" spans="1:44" ht="15.75" customHeight="1" x14ac:dyDescent="0.25">
      <c r="A52" s="64"/>
      <c r="B52" s="62"/>
      <c r="C52" s="62"/>
      <c r="D52" s="62"/>
      <c r="E52" s="58"/>
      <c r="F52" s="58"/>
      <c r="G52" s="58"/>
      <c r="H52" s="58"/>
      <c r="I52" s="58"/>
      <c r="J52" s="58"/>
      <c r="K52" s="58"/>
      <c r="L52" s="58"/>
      <c r="M52" s="58"/>
      <c r="N52" s="58"/>
      <c r="O52" s="58"/>
      <c r="P52" s="58"/>
      <c r="Q52" s="58"/>
      <c r="R52" s="58"/>
      <c r="S52" s="58"/>
      <c r="T52" s="58"/>
      <c r="U52" s="58"/>
      <c r="V52" s="58"/>
      <c r="W52" s="58"/>
      <c r="X52" s="58"/>
      <c r="Y52" s="58"/>
      <c r="Z52" s="78" t="s">
        <v>95</v>
      </c>
      <c r="AA52" s="58"/>
      <c r="AB52" s="79"/>
      <c r="AC52" s="110" t="e">
        <f>AC30*20%+AC47*80%</f>
        <v>#DIV/0!</v>
      </c>
      <c r="AD52" s="101"/>
      <c r="AE52" s="110" t="e">
        <f>AE30*20%+AE47*80%</f>
        <v>#DIV/0!</v>
      </c>
      <c r="AF52" s="101"/>
      <c r="AG52" s="110" t="e">
        <f>AG30*20%+AG47*80%</f>
        <v>#DIV/0!</v>
      </c>
      <c r="AH52" s="101"/>
      <c r="AI52" s="110" t="e">
        <f>AI30*20%+AI47*80%</f>
        <v>#DIV/0!</v>
      </c>
      <c r="AJ52" s="101"/>
      <c r="AK52" s="110" t="e">
        <f>AK30*20%+AK47*80%</f>
        <v>#DIV/0!</v>
      </c>
      <c r="AL52" s="101"/>
      <c r="AM52" s="110" t="e">
        <f>AM30*20%+AM47*80%</f>
        <v>#DIV/0!</v>
      </c>
      <c r="AN52" s="101"/>
      <c r="AO52" s="110" t="e">
        <f>AO30*20%+AO47*80%</f>
        <v>#DIV/0!</v>
      </c>
      <c r="AP52" s="101"/>
      <c r="AQ52" s="110" t="e">
        <f>AQ30*20%+AQ47*80%</f>
        <v>#DIV/0!</v>
      </c>
      <c r="AR52" s="101"/>
    </row>
    <row r="53" spans="1:44" ht="15.75" customHeight="1" x14ac:dyDescent="0.25">
      <c r="A53" s="64"/>
      <c r="B53" s="62"/>
      <c r="C53" s="62"/>
      <c r="D53" s="62"/>
      <c r="E53" s="58"/>
      <c r="F53" s="58"/>
      <c r="G53" s="58"/>
      <c r="H53" s="58"/>
      <c r="I53" s="58"/>
      <c r="J53" s="58"/>
      <c r="K53" s="58"/>
      <c r="L53" s="58"/>
      <c r="M53" s="58"/>
      <c r="N53" s="58"/>
      <c r="O53" s="58"/>
      <c r="P53" s="58"/>
      <c r="Q53" s="58"/>
      <c r="R53" s="58"/>
      <c r="S53" s="58"/>
      <c r="T53" s="58"/>
      <c r="U53" s="58"/>
      <c r="V53" s="58"/>
      <c r="W53" s="58"/>
      <c r="X53" s="58"/>
      <c r="Y53" s="58"/>
      <c r="Z53" s="78"/>
      <c r="AA53" s="78" t="s">
        <v>96</v>
      </c>
      <c r="AB53" s="79"/>
      <c r="AC53" s="105"/>
      <c r="AD53" s="107"/>
      <c r="AE53" s="105"/>
      <c r="AF53" s="107"/>
      <c r="AG53" s="105"/>
      <c r="AH53" s="107"/>
      <c r="AI53" s="105"/>
      <c r="AJ53" s="107"/>
      <c r="AK53" s="105"/>
      <c r="AL53" s="107"/>
      <c r="AM53" s="105"/>
      <c r="AN53" s="107"/>
      <c r="AO53" s="105"/>
      <c r="AP53" s="107"/>
      <c r="AQ53" s="105"/>
      <c r="AR53" s="107"/>
    </row>
    <row r="54" spans="1:44" ht="15.75" customHeight="1" x14ac:dyDescent="0.25">
      <c r="A54" s="64"/>
      <c r="B54" s="62"/>
      <c r="C54" s="62"/>
      <c r="D54" s="62"/>
      <c r="E54" s="58"/>
      <c r="F54" s="58"/>
      <c r="G54" s="58"/>
      <c r="H54" s="58"/>
      <c r="I54" s="58"/>
      <c r="J54" s="58"/>
      <c r="K54" s="58"/>
      <c r="L54" s="58"/>
      <c r="M54" s="58"/>
      <c r="N54" s="58"/>
      <c r="O54" s="58"/>
      <c r="P54" s="58"/>
      <c r="Q54" s="58"/>
      <c r="R54" s="58"/>
      <c r="S54" s="58"/>
      <c r="T54" s="58"/>
      <c r="U54" s="58"/>
      <c r="V54" s="58"/>
      <c r="W54" s="58"/>
      <c r="X54" s="58"/>
      <c r="Y54" s="58"/>
      <c r="Z54" s="78" t="s">
        <v>97</v>
      </c>
      <c r="AA54" s="78"/>
      <c r="AB54" s="79"/>
      <c r="AC54" s="126" t="e">
        <f>IF(AC52&lt;55%,"D",IF(AC52&lt;80%,"C",IF(AC52&lt;90%,"B","A")))</f>
        <v>#DIV/0!</v>
      </c>
      <c r="AD54" s="101"/>
      <c r="AE54" s="126" t="e">
        <f>IF(AE52&lt;55%,"D",IF(AE52&lt;80%,"C",IF(AE52&lt;90%,"B","A")))</f>
        <v>#DIV/0!</v>
      </c>
      <c r="AF54" s="101"/>
      <c r="AG54" s="126" t="e">
        <f>IF(AG52&lt;55%,"D",IF(AG52&lt;80%,"C",IF(AG52&lt;90%,"B","A")))</f>
        <v>#DIV/0!</v>
      </c>
      <c r="AH54" s="101"/>
      <c r="AI54" s="126" t="e">
        <f>IF(AI52&lt;55%,"D",IF(AI52&lt;80%,"C",IF(AI52&lt;90%,"B","A")))</f>
        <v>#DIV/0!</v>
      </c>
      <c r="AJ54" s="101"/>
      <c r="AK54" s="126" t="e">
        <f>IF(AK52&lt;55%,"D",IF(AK52&lt;80%,"C",IF(AK52&lt;90%,"B","A")))</f>
        <v>#DIV/0!</v>
      </c>
      <c r="AL54" s="101"/>
      <c r="AM54" s="126" t="e">
        <f>IF(AM52&lt;55%,"D",IF(AM52&lt;80%,"C",IF(AM52&lt;90%,"B","A")))</f>
        <v>#DIV/0!</v>
      </c>
      <c r="AN54" s="101"/>
      <c r="AO54" s="126" t="e">
        <f>IF(AO52&lt;55%,"D",IF(AO52&lt;80%,"C",IF(AO52&lt;90%,"B","A")))</f>
        <v>#DIV/0!</v>
      </c>
      <c r="AP54" s="101"/>
      <c r="AQ54" s="126" t="e">
        <f>IF(AQ52&lt;55%,"D",IF(AQ52&lt;80%,"C",IF(AQ52&lt;90%,"B","A")))</f>
        <v>#DIV/0!</v>
      </c>
      <c r="AR54" s="101"/>
    </row>
    <row r="55" spans="1:44" ht="15.75" customHeight="1" x14ac:dyDescent="0.25">
      <c r="A55" s="64"/>
      <c r="B55" s="62"/>
      <c r="C55" s="62"/>
      <c r="D55" s="62"/>
      <c r="E55" s="58"/>
      <c r="F55" s="58"/>
      <c r="G55" s="58"/>
      <c r="H55" s="58"/>
      <c r="I55" s="58"/>
      <c r="J55" s="58"/>
      <c r="K55" s="58"/>
      <c r="L55" s="58"/>
      <c r="M55" s="58"/>
      <c r="N55" s="58"/>
      <c r="O55" s="58"/>
      <c r="P55" s="58"/>
      <c r="Q55" s="58"/>
      <c r="R55" s="58"/>
      <c r="S55" s="58"/>
      <c r="T55" s="58"/>
      <c r="U55" s="58"/>
      <c r="V55" s="58"/>
      <c r="W55" s="58"/>
      <c r="X55" s="58"/>
      <c r="Y55" s="58"/>
      <c r="Z55" s="78"/>
      <c r="AA55" s="78" t="s">
        <v>98</v>
      </c>
      <c r="AB55" s="79"/>
      <c r="AC55" s="105"/>
      <c r="AD55" s="107"/>
      <c r="AE55" s="105"/>
      <c r="AF55" s="107"/>
      <c r="AG55" s="105"/>
      <c r="AH55" s="107"/>
      <c r="AI55" s="105"/>
      <c r="AJ55" s="107"/>
      <c r="AK55" s="105"/>
      <c r="AL55" s="107"/>
      <c r="AM55" s="105"/>
      <c r="AN55" s="107"/>
      <c r="AO55" s="105"/>
      <c r="AP55" s="107"/>
      <c r="AQ55" s="105"/>
      <c r="AR55" s="107"/>
    </row>
    <row r="56" spans="1:44" ht="15.75" customHeight="1" x14ac:dyDescent="0.25">
      <c r="A56" s="64"/>
      <c r="B56" s="62"/>
      <c r="C56" s="62"/>
      <c r="D56" s="62"/>
      <c r="E56" s="58"/>
      <c r="F56" s="58"/>
      <c r="G56" s="58"/>
      <c r="H56" s="58"/>
      <c r="I56" s="58"/>
      <c r="J56" s="58"/>
      <c r="K56" s="58"/>
      <c r="L56" s="58"/>
      <c r="M56" s="58"/>
      <c r="N56" s="58"/>
      <c r="O56" s="58"/>
      <c r="P56" s="58"/>
      <c r="Q56" s="58"/>
      <c r="R56" s="58"/>
      <c r="S56" s="58"/>
      <c r="T56" s="58"/>
      <c r="U56" s="58"/>
      <c r="V56" s="58"/>
      <c r="W56" s="58"/>
      <c r="X56" s="58"/>
      <c r="Y56" s="58"/>
      <c r="Z56" s="78" t="s">
        <v>99</v>
      </c>
      <c r="AA56" s="78"/>
      <c r="AB56" s="79"/>
      <c r="AC56" s="126"/>
      <c r="AD56" s="100"/>
      <c r="AE56" s="100"/>
      <c r="AF56" s="101"/>
      <c r="AG56" s="126"/>
      <c r="AH56" s="100"/>
      <c r="AI56" s="100"/>
      <c r="AJ56" s="101"/>
      <c r="AK56" s="126"/>
      <c r="AL56" s="100"/>
      <c r="AM56" s="100"/>
      <c r="AN56" s="101"/>
      <c r="AO56" s="126"/>
      <c r="AP56" s="100"/>
      <c r="AQ56" s="100"/>
      <c r="AR56" s="101"/>
    </row>
    <row r="57" spans="1:44" ht="15.75" customHeight="1" x14ac:dyDescent="0.25">
      <c r="A57" s="64"/>
      <c r="B57" s="62"/>
      <c r="C57" s="62"/>
      <c r="D57" s="62"/>
      <c r="E57" s="58"/>
      <c r="F57" s="58"/>
      <c r="G57" s="58"/>
      <c r="H57" s="58"/>
      <c r="I57" s="58"/>
      <c r="J57" s="58"/>
      <c r="K57" s="58"/>
      <c r="L57" s="58"/>
      <c r="M57" s="58"/>
      <c r="N57" s="58"/>
      <c r="O57" s="58"/>
      <c r="P57" s="58"/>
      <c r="Q57" s="58"/>
      <c r="R57" s="58"/>
      <c r="S57" s="58"/>
      <c r="T57" s="58"/>
      <c r="U57" s="58"/>
      <c r="V57" s="58"/>
      <c r="W57" s="58"/>
      <c r="X57" s="58"/>
      <c r="Y57" s="58"/>
      <c r="Z57" s="78"/>
      <c r="AA57" s="78" t="s">
        <v>100</v>
      </c>
      <c r="AB57" s="79"/>
      <c r="AC57" s="105"/>
      <c r="AD57" s="106"/>
      <c r="AE57" s="106"/>
      <c r="AF57" s="107"/>
      <c r="AG57" s="105"/>
      <c r="AH57" s="106"/>
      <c r="AI57" s="106"/>
      <c r="AJ57" s="107"/>
      <c r="AK57" s="105"/>
      <c r="AL57" s="106"/>
      <c r="AM57" s="106"/>
      <c r="AN57" s="107"/>
      <c r="AO57" s="105"/>
      <c r="AP57" s="106"/>
      <c r="AQ57" s="106"/>
      <c r="AR57" s="107"/>
    </row>
    <row r="58" spans="1:44" ht="15.75" customHeight="1" x14ac:dyDescent="0.25">
      <c r="A58" s="64"/>
      <c r="B58" s="62"/>
      <c r="C58" s="62"/>
      <c r="D58" s="62"/>
      <c r="E58" s="58"/>
      <c r="F58" s="58"/>
      <c r="G58" s="58"/>
      <c r="H58" s="58"/>
      <c r="I58" s="58"/>
      <c r="J58" s="58"/>
      <c r="K58" s="58"/>
      <c r="L58" s="58"/>
      <c r="M58" s="58"/>
      <c r="N58" s="58"/>
      <c r="O58" s="58"/>
      <c r="P58" s="58"/>
      <c r="Q58" s="58"/>
      <c r="R58" s="58"/>
      <c r="S58" s="58"/>
      <c r="T58" s="58"/>
      <c r="U58" s="58"/>
      <c r="V58" s="58"/>
      <c r="W58" s="58"/>
      <c r="X58" s="58"/>
      <c r="Y58" s="58"/>
      <c r="Z58" s="78" t="s">
        <v>101</v>
      </c>
      <c r="AA58" s="78"/>
      <c r="AB58" s="79"/>
      <c r="AC58" s="126"/>
      <c r="AD58" s="100"/>
      <c r="AE58" s="100"/>
      <c r="AF58" s="101"/>
      <c r="AG58" s="126"/>
      <c r="AH58" s="100"/>
      <c r="AI58" s="100"/>
      <c r="AJ58" s="101"/>
      <c r="AK58" s="126"/>
      <c r="AL58" s="100"/>
      <c r="AM58" s="100"/>
      <c r="AN58" s="101"/>
      <c r="AO58" s="126"/>
      <c r="AP58" s="100"/>
      <c r="AQ58" s="100"/>
      <c r="AR58" s="101"/>
    </row>
    <row r="59" spans="1:44" ht="15.75" customHeight="1" x14ac:dyDescent="0.25">
      <c r="A59" s="64"/>
      <c r="B59" s="62"/>
      <c r="C59" s="62"/>
      <c r="D59" s="62"/>
      <c r="E59" s="58"/>
      <c r="F59" s="58"/>
      <c r="G59" s="58"/>
      <c r="H59" s="58"/>
      <c r="I59" s="58"/>
      <c r="J59" s="58"/>
      <c r="K59" s="58"/>
      <c r="L59" s="58"/>
      <c r="M59" s="58"/>
      <c r="N59" s="58"/>
      <c r="O59" s="58"/>
      <c r="P59" s="58"/>
      <c r="Q59" s="58"/>
      <c r="R59" s="58"/>
      <c r="S59" s="58"/>
      <c r="T59" s="58"/>
      <c r="U59" s="58"/>
      <c r="V59" s="58"/>
      <c r="W59" s="58"/>
      <c r="X59" s="58"/>
      <c r="Y59" s="58"/>
      <c r="Z59" s="58"/>
      <c r="AA59" s="78" t="s">
        <v>102</v>
      </c>
      <c r="AB59" s="58"/>
      <c r="AC59" s="105"/>
      <c r="AD59" s="106"/>
      <c r="AE59" s="106"/>
      <c r="AF59" s="107"/>
      <c r="AG59" s="105"/>
      <c r="AH59" s="106"/>
      <c r="AI59" s="106"/>
      <c r="AJ59" s="107"/>
      <c r="AK59" s="105"/>
      <c r="AL59" s="106"/>
      <c r="AM59" s="106"/>
      <c r="AN59" s="107"/>
      <c r="AO59" s="105"/>
      <c r="AP59" s="106"/>
      <c r="AQ59" s="106"/>
      <c r="AR59" s="107"/>
    </row>
    <row r="60" spans="1:44" ht="8.25" customHeight="1" x14ac:dyDescent="0.25">
      <c r="A60" s="64"/>
      <c r="B60" s="62"/>
      <c r="C60" s="62"/>
      <c r="D60" s="62"/>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row>
    <row r="61" spans="1:44" ht="15.75" hidden="1" customHeight="1" x14ac:dyDescent="0.25">
      <c r="A61" s="121" t="s">
        <v>103</v>
      </c>
      <c r="B61" s="112"/>
      <c r="C61" s="112"/>
      <c r="D61" s="112"/>
      <c r="E61" s="112"/>
      <c r="F61" s="112"/>
      <c r="G61" s="112"/>
      <c r="H61" s="112"/>
      <c r="I61" s="112"/>
      <c r="J61" s="112"/>
      <c r="K61" s="112"/>
      <c r="L61" s="112"/>
      <c r="M61" s="112"/>
      <c r="N61" s="112"/>
      <c r="O61" s="112"/>
      <c r="P61" s="112"/>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2"/>
      <c r="AP61" s="112"/>
      <c r="AQ61" s="112"/>
      <c r="AR61" s="112"/>
    </row>
    <row r="62" spans="1:44" ht="8.25" hidden="1" customHeight="1" x14ac:dyDescent="0.25">
      <c r="A62" s="64"/>
      <c r="B62" s="62"/>
      <c r="C62" s="62"/>
      <c r="D62" s="62"/>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row>
    <row r="63" spans="1:44" ht="8.25" hidden="1" customHeight="1" x14ac:dyDescent="0.25">
      <c r="A63" s="64"/>
      <c r="B63" s="62"/>
      <c r="C63" s="62"/>
      <c r="D63" s="62"/>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row>
    <row r="64" spans="1:44" ht="15.75" hidden="1" customHeight="1" x14ac:dyDescent="0.25">
      <c r="A64" s="83"/>
      <c r="B64" s="81"/>
      <c r="C64" s="81"/>
      <c r="D64" s="81" t="s">
        <v>104</v>
      </c>
      <c r="E64" s="82"/>
      <c r="F64" s="82"/>
      <c r="G64" s="82"/>
      <c r="H64" s="82"/>
      <c r="I64" s="82"/>
      <c r="J64" s="82"/>
      <c r="K64" s="82"/>
      <c r="L64" s="82"/>
      <c r="M64" s="82"/>
      <c r="N64" s="82"/>
      <c r="O64" s="82"/>
      <c r="P64" s="82"/>
      <c r="Q64" s="82"/>
      <c r="R64" s="82"/>
      <c r="S64" s="82"/>
      <c r="T64" s="82"/>
      <c r="U64" s="82"/>
      <c r="V64" s="82"/>
      <c r="W64" s="82"/>
      <c r="X64" s="82"/>
      <c r="Y64" s="82"/>
      <c r="Z64" s="82"/>
      <c r="AA64" s="82"/>
      <c r="AB64" s="82"/>
      <c r="AC64" s="82"/>
      <c r="AD64" s="82"/>
      <c r="AE64" s="82"/>
      <c r="AF64" s="82"/>
      <c r="AG64" s="82"/>
      <c r="AH64" s="82"/>
      <c r="AI64" s="82"/>
      <c r="AJ64" s="82"/>
      <c r="AK64" s="82"/>
      <c r="AL64" s="82"/>
      <c r="AM64" s="82"/>
      <c r="AN64" s="82"/>
      <c r="AO64" s="82"/>
      <c r="AP64" s="82"/>
      <c r="AQ64" s="82"/>
      <c r="AR64" s="82"/>
    </row>
    <row r="65" spans="1:44" ht="8.25" hidden="1" customHeight="1" x14ac:dyDescent="0.25">
      <c r="A65" s="64"/>
      <c r="B65" s="62"/>
      <c r="C65" s="62"/>
      <c r="D65" s="62"/>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row>
    <row r="66" spans="1:44" ht="14.25" hidden="1" customHeight="1" x14ac:dyDescent="0.25">
      <c r="A66" s="122" t="s">
        <v>105</v>
      </c>
      <c r="B66" s="124" t="s">
        <v>106</v>
      </c>
      <c r="C66" s="100"/>
      <c r="D66" s="100"/>
      <c r="E66" s="100"/>
      <c r="F66" s="100"/>
      <c r="G66" s="100"/>
      <c r="H66" s="100"/>
      <c r="I66" s="100"/>
      <c r="J66" s="100"/>
      <c r="K66" s="101"/>
      <c r="L66" s="125" t="s">
        <v>107</v>
      </c>
      <c r="M66" s="101"/>
      <c r="N66" s="125" t="s">
        <v>108</v>
      </c>
      <c r="O66" s="101"/>
      <c r="P66" s="124" t="s">
        <v>109</v>
      </c>
      <c r="Q66" s="100"/>
      <c r="R66" s="100"/>
      <c r="S66" s="100"/>
      <c r="T66" s="100"/>
      <c r="U66" s="100"/>
      <c r="V66" s="100"/>
      <c r="W66" s="100"/>
      <c r="X66" s="100"/>
      <c r="Y66" s="100"/>
      <c r="Z66" s="100"/>
      <c r="AA66" s="100"/>
      <c r="AB66" s="100"/>
      <c r="AC66" s="100"/>
      <c r="AD66" s="100"/>
      <c r="AE66" s="100"/>
      <c r="AF66" s="100"/>
      <c r="AG66" s="100"/>
      <c r="AH66" s="100"/>
      <c r="AI66" s="100"/>
      <c r="AJ66" s="101"/>
      <c r="AK66" s="124" t="s">
        <v>110</v>
      </c>
      <c r="AL66" s="100"/>
      <c r="AM66" s="100"/>
      <c r="AN66" s="100"/>
      <c r="AO66" s="100"/>
      <c r="AP66" s="100"/>
      <c r="AQ66" s="100"/>
      <c r="AR66" s="101"/>
    </row>
    <row r="67" spans="1:44" ht="15" hidden="1" customHeight="1" x14ac:dyDescent="0.25">
      <c r="A67" s="123"/>
      <c r="B67" s="102"/>
      <c r="C67" s="103"/>
      <c r="D67" s="103"/>
      <c r="E67" s="103"/>
      <c r="F67" s="103"/>
      <c r="G67" s="103"/>
      <c r="H67" s="103"/>
      <c r="I67" s="103"/>
      <c r="J67" s="103"/>
      <c r="K67" s="104"/>
      <c r="L67" s="102"/>
      <c r="M67" s="104"/>
      <c r="N67" s="102"/>
      <c r="O67" s="104"/>
      <c r="P67" s="102"/>
      <c r="Q67" s="103"/>
      <c r="R67" s="103"/>
      <c r="S67" s="103"/>
      <c r="T67" s="103"/>
      <c r="U67" s="103"/>
      <c r="V67" s="103"/>
      <c r="W67" s="103"/>
      <c r="X67" s="103"/>
      <c r="Y67" s="103"/>
      <c r="Z67" s="103"/>
      <c r="AA67" s="103"/>
      <c r="AB67" s="103"/>
      <c r="AC67" s="103"/>
      <c r="AD67" s="103"/>
      <c r="AE67" s="103"/>
      <c r="AF67" s="103"/>
      <c r="AG67" s="103"/>
      <c r="AH67" s="103"/>
      <c r="AI67" s="103"/>
      <c r="AJ67" s="104"/>
      <c r="AK67" s="102"/>
      <c r="AL67" s="103"/>
      <c r="AM67" s="103"/>
      <c r="AN67" s="103"/>
      <c r="AO67" s="103"/>
      <c r="AP67" s="103"/>
      <c r="AQ67" s="103"/>
      <c r="AR67" s="104"/>
    </row>
    <row r="68" spans="1:44" ht="15.75" hidden="1" customHeight="1" x14ac:dyDescent="0.25">
      <c r="A68" s="119"/>
      <c r="B68" s="105"/>
      <c r="C68" s="106"/>
      <c r="D68" s="106"/>
      <c r="E68" s="106"/>
      <c r="F68" s="106"/>
      <c r="G68" s="106"/>
      <c r="H68" s="106"/>
      <c r="I68" s="106"/>
      <c r="J68" s="106"/>
      <c r="K68" s="107"/>
      <c r="L68" s="105"/>
      <c r="M68" s="107"/>
      <c r="N68" s="105"/>
      <c r="O68" s="107"/>
      <c r="P68" s="105"/>
      <c r="Q68" s="106"/>
      <c r="R68" s="106"/>
      <c r="S68" s="106"/>
      <c r="T68" s="106"/>
      <c r="U68" s="106"/>
      <c r="V68" s="106"/>
      <c r="W68" s="106"/>
      <c r="X68" s="106"/>
      <c r="Y68" s="106"/>
      <c r="Z68" s="106"/>
      <c r="AA68" s="106"/>
      <c r="AB68" s="106"/>
      <c r="AC68" s="106"/>
      <c r="AD68" s="106"/>
      <c r="AE68" s="106"/>
      <c r="AF68" s="106"/>
      <c r="AG68" s="106"/>
      <c r="AH68" s="106"/>
      <c r="AI68" s="106"/>
      <c r="AJ68" s="107"/>
      <c r="AK68" s="105"/>
      <c r="AL68" s="106"/>
      <c r="AM68" s="106"/>
      <c r="AN68" s="106"/>
      <c r="AO68" s="106"/>
      <c r="AP68" s="106"/>
      <c r="AQ68" s="106"/>
      <c r="AR68" s="107"/>
    </row>
    <row r="69" spans="1:44" ht="15.75" hidden="1" customHeight="1" x14ac:dyDescent="0.25">
      <c r="A69" s="118">
        <v>1</v>
      </c>
      <c r="B69" s="99" t="s">
        <v>111</v>
      </c>
      <c r="C69" s="100"/>
      <c r="D69" s="100"/>
      <c r="E69" s="100"/>
      <c r="F69" s="100"/>
      <c r="G69" s="100"/>
      <c r="H69" s="100"/>
      <c r="I69" s="100"/>
      <c r="J69" s="100"/>
      <c r="K69" s="101"/>
      <c r="L69" s="120">
        <v>2</v>
      </c>
      <c r="M69" s="101"/>
      <c r="N69" s="120"/>
      <c r="O69" s="101"/>
      <c r="P69" s="99"/>
      <c r="Q69" s="100"/>
      <c r="R69" s="100"/>
      <c r="S69" s="100"/>
      <c r="T69" s="100"/>
      <c r="U69" s="100"/>
      <c r="V69" s="100"/>
      <c r="W69" s="100"/>
      <c r="X69" s="100"/>
      <c r="Y69" s="100"/>
      <c r="Z69" s="100"/>
      <c r="AA69" s="100"/>
      <c r="AB69" s="100"/>
      <c r="AC69" s="100"/>
      <c r="AD69" s="100"/>
      <c r="AE69" s="100"/>
      <c r="AF69" s="100"/>
      <c r="AG69" s="100"/>
      <c r="AH69" s="100"/>
      <c r="AI69" s="100"/>
      <c r="AJ69" s="101"/>
      <c r="AK69" s="99"/>
      <c r="AL69" s="100"/>
      <c r="AM69" s="100"/>
      <c r="AN69" s="100"/>
      <c r="AO69" s="100"/>
      <c r="AP69" s="100"/>
      <c r="AQ69" s="100"/>
      <c r="AR69" s="101"/>
    </row>
    <row r="70" spans="1:44" ht="15.75" hidden="1" customHeight="1" x14ac:dyDescent="0.25">
      <c r="A70" s="119"/>
      <c r="B70" s="105"/>
      <c r="C70" s="106"/>
      <c r="D70" s="106"/>
      <c r="E70" s="106"/>
      <c r="F70" s="106"/>
      <c r="G70" s="106"/>
      <c r="H70" s="106"/>
      <c r="I70" s="106"/>
      <c r="J70" s="106"/>
      <c r="K70" s="107"/>
      <c r="L70" s="105"/>
      <c r="M70" s="107"/>
      <c r="N70" s="105"/>
      <c r="O70" s="107"/>
      <c r="P70" s="105"/>
      <c r="Q70" s="106"/>
      <c r="R70" s="106"/>
      <c r="S70" s="106"/>
      <c r="T70" s="106"/>
      <c r="U70" s="106"/>
      <c r="V70" s="106"/>
      <c r="W70" s="106"/>
      <c r="X70" s="106"/>
      <c r="Y70" s="106"/>
      <c r="Z70" s="106"/>
      <c r="AA70" s="106"/>
      <c r="AB70" s="106"/>
      <c r="AC70" s="106"/>
      <c r="AD70" s="106"/>
      <c r="AE70" s="106"/>
      <c r="AF70" s="106"/>
      <c r="AG70" s="106"/>
      <c r="AH70" s="106"/>
      <c r="AI70" s="106"/>
      <c r="AJ70" s="107"/>
      <c r="AK70" s="105"/>
      <c r="AL70" s="106"/>
      <c r="AM70" s="106"/>
      <c r="AN70" s="106"/>
      <c r="AO70" s="106"/>
      <c r="AP70" s="106"/>
      <c r="AQ70" s="106"/>
      <c r="AR70" s="107"/>
    </row>
    <row r="71" spans="1:44" ht="15.75" hidden="1" customHeight="1" x14ac:dyDescent="0.25">
      <c r="A71" s="118">
        <v>2</v>
      </c>
      <c r="B71" s="99" t="s">
        <v>112</v>
      </c>
      <c r="C71" s="100"/>
      <c r="D71" s="100"/>
      <c r="E71" s="100"/>
      <c r="F71" s="100"/>
      <c r="G71" s="100"/>
      <c r="H71" s="100"/>
      <c r="I71" s="100"/>
      <c r="J71" s="100"/>
      <c r="K71" s="101"/>
      <c r="L71" s="120">
        <v>1</v>
      </c>
      <c r="M71" s="101"/>
      <c r="N71" s="120"/>
      <c r="O71" s="101"/>
      <c r="P71" s="99"/>
      <c r="Q71" s="100"/>
      <c r="R71" s="100"/>
      <c r="S71" s="100"/>
      <c r="T71" s="100"/>
      <c r="U71" s="100"/>
      <c r="V71" s="100"/>
      <c r="W71" s="100"/>
      <c r="X71" s="100"/>
      <c r="Y71" s="100"/>
      <c r="Z71" s="100"/>
      <c r="AA71" s="100"/>
      <c r="AB71" s="100"/>
      <c r="AC71" s="100"/>
      <c r="AD71" s="100"/>
      <c r="AE71" s="100"/>
      <c r="AF71" s="100"/>
      <c r="AG71" s="100"/>
      <c r="AH71" s="100"/>
      <c r="AI71" s="100"/>
      <c r="AJ71" s="101"/>
      <c r="AK71" s="99"/>
      <c r="AL71" s="100"/>
      <c r="AM71" s="100"/>
      <c r="AN71" s="100"/>
      <c r="AO71" s="100"/>
      <c r="AP71" s="100"/>
      <c r="AQ71" s="100"/>
      <c r="AR71" s="101"/>
    </row>
    <row r="72" spans="1:44" ht="15.75" hidden="1" customHeight="1" x14ac:dyDescent="0.25">
      <c r="A72" s="119"/>
      <c r="B72" s="105"/>
      <c r="C72" s="106"/>
      <c r="D72" s="106"/>
      <c r="E72" s="106"/>
      <c r="F72" s="106"/>
      <c r="G72" s="106"/>
      <c r="H72" s="106"/>
      <c r="I72" s="106"/>
      <c r="J72" s="106"/>
      <c r="K72" s="107"/>
      <c r="L72" s="105"/>
      <c r="M72" s="107"/>
      <c r="N72" s="105"/>
      <c r="O72" s="107"/>
      <c r="P72" s="105"/>
      <c r="Q72" s="106"/>
      <c r="R72" s="106"/>
      <c r="S72" s="106"/>
      <c r="T72" s="106"/>
      <c r="U72" s="106"/>
      <c r="V72" s="106"/>
      <c r="W72" s="106"/>
      <c r="X72" s="106"/>
      <c r="Y72" s="106"/>
      <c r="Z72" s="106"/>
      <c r="AA72" s="106"/>
      <c r="AB72" s="106"/>
      <c r="AC72" s="106"/>
      <c r="AD72" s="106"/>
      <c r="AE72" s="106"/>
      <c r="AF72" s="106"/>
      <c r="AG72" s="106"/>
      <c r="AH72" s="106"/>
      <c r="AI72" s="106"/>
      <c r="AJ72" s="107"/>
      <c r="AK72" s="105"/>
      <c r="AL72" s="106"/>
      <c r="AM72" s="106"/>
      <c r="AN72" s="106"/>
      <c r="AO72" s="106"/>
      <c r="AP72" s="106"/>
      <c r="AQ72" s="106"/>
      <c r="AR72" s="107"/>
    </row>
    <row r="73" spans="1:44" ht="15.75" hidden="1" customHeight="1" x14ac:dyDescent="0.25">
      <c r="A73" s="118">
        <v>3</v>
      </c>
      <c r="B73" s="99" t="s">
        <v>113</v>
      </c>
      <c r="C73" s="100"/>
      <c r="D73" s="100"/>
      <c r="E73" s="100"/>
      <c r="F73" s="100"/>
      <c r="G73" s="100"/>
      <c r="H73" s="100"/>
      <c r="I73" s="100"/>
      <c r="J73" s="100"/>
      <c r="K73" s="101"/>
      <c r="L73" s="120">
        <v>1</v>
      </c>
      <c r="M73" s="101"/>
      <c r="N73" s="120"/>
      <c r="O73" s="101"/>
      <c r="P73" s="99"/>
      <c r="Q73" s="100"/>
      <c r="R73" s="100"/>
      <c r="S73" s="100"/>
      <c r="T73" s="100"/>
      <c r="U73" s="100"/>
      <c r="V73" s="100"/>
      <c r="W73" s="100"/>
      <c r="X73" s="100"/>
      <c r="Y73" s="100"/>
      <c r="Z73" s="100"/>
      <c r="AA73" s="100"/>
      <c r="AB73" s="100"/>
      <c r="AC73" s="100"/>
      <c r="AD73" s="100"/>
      <c r="AE73" s="100"/>
      <c r="AF73" s="100"/>
      <c r="AG73" s="100"/>
      <c r="AH73" s="100"/>
      <c r="AI73" s="100"/>
      <c r="AJ73" s="101"/>
      <c r="AK73" s="99"/>
      <c r="AL73" s="100"/>
      <c r="AM73" s="100"/>
      <c r="AN73" s="100"/>
      <c r="AO73" s="100"/>
      <c r="AP73" s="100"/>
      <c r="AQ73" s="100"/>
      <c r="AR73" s="101"/>
    </row>
    <row r="74" spans="1:44" ht="15.75" hidden="1" customHeight="1" x14ac:dyDescent="0.25">
      <c r="A74" s="119"/>
      <c r="B74" s="105"/>
      <c r="C74" s="106"/>
      <c r="D74" s="106"/>
      <c r="E74" s="106"/>
      <c r="F74" s="106"/>
      <c r="G74" s="106"/>
      <c r="H74" s="106"/>
      <c r="I74" s="106"/>
      <c r="J74" s="106"/>
      <c r="K74" s="107"/>
      <c r="L74" s="105"/>
      <c r="M74" s="107"/>
      <c r="N74" s="105"/>
      <c r="O74" s="107"/>
      <c r="P74" s="105"/>
      <c r="Q74" s="106"/>
      <c r="R74" s="106"/>
      <c r="S74" s="106"/>
      <c r="T74" s="106"/>
      <c r="U74" s="106"/>
      <c r="V74" s="106"/>
      <c r="W74" s="106"/>
      <c r="X74" s="106"/>
      <c r="Y74" s="106"/>
      <c r="Z74" s="106"/>
      <c r="AA74" s="106"/>
      <c r="AB74" s="106"/>
      <c r="AC74" s="106"/>
      <c r="AD74" s="106"/>
      <c r="AE74" s="106"/>
      <c r="AF74" s="106"/>
      <c r="AG74" s="106"/>
      <c r="AH74" s="106"/>
      <c r="AI74" s="106"/>
      <c r="AJ74" s="107"/>
      <c r="AK74" s="105"/>
      <c r="AL74" s="106"/>
      <c r="AM74" s="106"/>
      <c r="AN74" s="106"/>
      <c r="AO74" s="106"/>
      <c r="AP74" s="106"/>
      <c r="AQ74" s="106"/>
      <c r="AR74" s="107"/>
    </row>
    <row r="75" spans="1:44" ht="15.75" hidden="1" customHeight="1" x14ac:dyDescent="0.25">
      <c r="A75" s="118">
        <v>4</v>
      </c>
      <c r="B75" s="99" t="s">
        <v>114</v>
      </c>
      <c r="C75" s="100"/>
      <c r="D75" s="100"/>
      <c r="E75" s="100"/>
      <c r="F75" s="100"/>
      <c r="G75" s="100"/>
      <c r="H75" s="100"/>
      <c r="I75" s="100"/>
      <c r="J75" s="100"/>
      <c r="K75" s="101"/>
      <c r="L75" s="120">
        <v>2</v>
      </c>
      <c r="M75" s="101"/>
      <c r="N75" s="120"/>
      <c r="O75" s="101"/>
      <c r="P75" s="99"/>
      <c r="Q75" s="100"/>
      <c r="R75" s="100"/>
      <c r="S75" s="100"/>
      <c r="T75" s="100"/>
      <c r="U75" s="100"/>
      <c r="V75" s="100"/>
      <c r="W75" s="100"/>
      <c r="X75" s="100"/>
      <c r="Y75" s="100"/>
      <c r="Z75" s="100"/>
      <c r="AA75" s="100"/>
      <c r="AB75" s="100"/>
      <c r="AC75" s="100"/>
      <c r="AD75" s="100"/>
      <c r="AE75" s="100"/>
      <c r="AF75" s="100"/>
      <c r="AG75" s="100"/>
      <c r="AH75" s="100"/>
      <c r="AI75" s="100"/>
      <c r="AJ75" s="101"/>
      <c r="AK75" s="99"/>
      <c r="AL75" s="100"/>
      <c r="AM75" s="100"/>
      <c r="AN75" s="100"/>
      <c r="AO75" s="100"/>
      <c r="AP75" s="100"/>
      <c r="AQ75" s="100"/>
      <c r="AR75" s="101"/>
    </row>
    <row r="76" spans="1:44" ht="15.75" hidden="1" customHeight="1" x14ac:dyDescent="0.25">
      <c r="A76" s="119"/>
      <c r="B76" s="105"/>
      <c r="C76" s="106"/>
      <c r="D76" s="106"/>
      <c r="E76" s="106"/>
      <c r="F76" s="106"/>
      <c r="G76" s="106"/>
      <c r="H76" s="106"/>
      <c r="I76" s="106"/>
      <c r="J76" s="106"/>
      <c r="K76" s="107"/>
      <c r="L76" s="105"/>
      <c r="M76" s="107"/>
      <c r="N76" s="105"/>
      <c r="O76" s="107"/>
      <c r="P76" s="105"/>
      <c r="Q76" s="106"/>
      <c r="R76" s="106"/>
      <c r="S76" s="106"/>
      <c r="T76" s="106"/>
      <c r="U76" s="106"/>
      <c r="V76" s="106"/>
      <c r="W76" s="106"/>
      <c r="X76" s="106"/>
      <c r="Y76" s="106"/>
      <c r="Z76" s="106"/>
      <c r="AA76" s="106"/>
      <c r="AB76" s="106"/>
      <c r="AC76" s="106"/>
      <c r="AD76" s="106"/>
      <c r="AE76" s="106"/>
      <c r="AF76" s="106"/>
      <c r="AG76" s="106"/>
      <c r="AH76" s="106"/>
      <c r="AI76" s="106"/>
      <c r="AJ76" s="107"/>
      <c r="AK76" s="105"/>
      <c r="AL76" s="106"/>
      <c r="AM76" s="106"/>
      <c r="AN76" s="106"/>
      <c r="AO76" s="106"/>
      <c r="AP76" s="106"/>
      <c r="AQ76" s="106"/>
      <c r="AR76" s="107"/>
    </row>
    <row r="77" spans="1:44" ht="14.25" hidden="1" customHeight="1" x14ac:dyDescent="0.25">
      <c r="A77" s="115" t="s">
        <v>115</v>
      </c>
      <c r="B77" s="100"/>
      <c r="C77" s="100"/>
      <c r="D77" s="100"/>
      <c r="E77" s="100"/>
      <c r="F77" s="100"/>
      <c r="G77" s="100"/>
      <c r="H77" s="100"/>
      <c r="I77" s="100"/>
      <c r="J77" s="100"/>
      <c r="K77" s="100"/>
      <c r="L77" s="100"/>
      <c r="M77" s="101"/>
      <c r="N77" s="116">
        <f>SUM(N69:O76)/SUM($L$69:$M$76)</f>
        <v>0</v>
      </c>
      <c r="O77" s="101"/>
      <c r="P77" s="117" t="str">
        <f>IF(AND(N77&gt;0%,N77&lt;85%),"KHÔNG ĐẠT",IF(AND(N77&gt;=85%),"ĐẠT",IF(AND(N77=0),"N/A")))</f>
        <v>N/A</v>
      </c>
      <c r="Q77" s="100"/>
      <c r="R77" s="100"/>
      <c r="S77" s="100"/>
      <c r="T77" s="100"/>
      <c r="U77" s="100"/>
      <c r="V77" s="100"/>
      <c r="W77" s="100"/>
      <c r="X77" s="100"/>
      <c r="Y77" s="100"/>
      <c r="Z77" s="100"/>
      <c r="AA77" s="100"/>
      <c r="AB77" s="100"/>
      <c r="AC77" s="100"/>
      <c r="AD77" s="100"/>
      <c r="AE77" s="100"/>
      <c r="AF77" s="100"/>
      <c r="AG77" s="100"/>
      <c r="AH77" s="100"/>
      <c r="AI77" s="100"/>
      <c r="AJ77" s="101"/>
      <c r="AK77" s="117"/>
      <c r="AL77" s="100"/>
      <c r="AM77" s="100"/>
      <c r="AN77" s="100"/>
      <c r="AO77" s="100"/>
      <c r="AP77" s="100"/>
      <c r="AQ77" s="100"/>
      <c r="AR77" s="101"/>
    </row>
    <row r="78" spans="1:44" ht="14.25" hidden="1" customHeight="1" x14ac:dyDescent="0.25">
      <c r="A78" s="105"/>
      <c r="B78" s="106"/>
      <c r="C78" s="106"/>
      <c r="D78" s="106"/>
      <c r="E78" s="106"/>
      <c r="F78" s="106"/>
      <c r="G78" s="106"/>
      <c r="H78" s="106"/>
      <c r="I78" s="106"/>
      <c r="J78" s="106"/>
      <c r="K78" s="106"/>
      <c r="L78" s="106"/>
      <c r="M78" s="107"/>
      <c r="N78" s="105"/>
      <c r="O78" s="107"/>
      <c r="P78" s="105"/>
      <c r="Q78" s="106"/>
      <c r="R78" s="106"/>
      <c r="S78" s="106"/>
      <c r="T78" s="106"/>
      <c r="U78" s="106"/>
      <c r="V78" s="106"/>
      <c r="W78" s="106"/>
      <c r="X78" s="106"/>
      <c r="Y78" s="106"/>
      <c r="Z78" s="106"/>
      <c r="AA78" s="106"/>
      <c r="AB78" s="106"/>
      <c r="AC78" s="106"/>
      <c r="AD78" s="106"/>
      <c r="AE78" s="106"/>
      <c r="AF78" s="106"/>
      <c r="AG78" s="106"/>
      <c r="AH78" s="106"/>
      <c r="AI78" s="106"/>
      <c r="AJ78" s="107"/>
      <c r="AK78" s="105"/>
      <c r="AL78" s="106"/>
      <c r="AM78" s="106"/>
      <c r="AN78" s="106"/>
      <c r="AO78" s="106"/>
      <c r="AP78" s="106"/>
      <c r="AQ78" s="106"/>
      <c r="AR78" s="107"/>
    </row>
    <row r="79" spans="1:44" ht="8.25" hidden="1" customHeight="1" x14ac:dyDescent="0.25">
      <c r="A79" s="64"/>
      <c r="B79" s="62"/>
      <c r="C79" s="62"/>
      <c r="D79" s="62"/>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row>
    <row r="80" spans="1:44" ht="15.75" customHeight="1" x14ac:dyDescent="0.25">
      <c r="A80" s="83" t="s">
        <v>2</v>
      </c>
      <c r="B80" s="81"/>
      <c r="C80" s="81"/>
      <c r="D80" s="81" t="s">
        <v>116</v>
      </c>
      <c r="E80" s="82"/>
      <c r="F80" s="82"/>
      <c r="G80" s="82"/>
      <c r="H80" s="82"/>
      <c r="I80" s="82"/>
      <c r="J80" s="82"/>
      <c r="K80" s="82"/>
      <c r="L80" s="82"/>
      <c r="M80" s="82"/>
      <c r="N80" s="82"/>
      <c r="O80" s="82"/>
      <c r="P80" s="82"/>
      <c r="Q80" s="82"/>
      <c r="R80" s="82"/>
      <c r="S80" s="82"/>
      <c r="T80" s="82"/>
      <c r="U80" s="82"/>
      <c r="V80" s="82"/>
      <c r="W80" s="82"/>
      <c r="X80" s="82"/>
      <c r="Y80" s="82"/>
      <c r="Z80" s="82"/>
      <c r="AA80" s="82"/>
      <c r="AB80" s="82"/>
      <c r="AC80" s="82"/>
      <c r="AD80" s="82"/>
      <c r="AE80" s="82"/>
      <c r="AF80" s="82"/>
      <c r="AG80" s="82"/>
      <c r="AH80" s="82"/>
      <c r="AI80" s="82"/>
      <c r="AJ80" s="82"/>
      <c r="AK80" s="82"/>
      <c r="AL80" s="82"/>
      <c r="AM80" s="82"/>
      <c r="AN80" s="82"/>
      <c r="AO80" s="82"/>
      <c r="AP80" s="82"/>
      <c r="AQ80" s="82"/>
      <c r="AR80" s="82"/>
    </row>
    <row r="81" spans="1:44" ht="8.25" customHeight="1" x14ac:dyDescent="0.25">
      <c r="A81" s="64"/>
      <c r="B81" s="62"/>
      <c r="C81" s="62"/>
      <c r="D81" s="62"/>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row>
    <row r="82" spans="1:44" ht="15" customHeight="1" x14ac:dyDescent="0.25">
      <c r="A82" s="113" t="s">
        <v>117</v>
      </c>
      <c r="B82" s="97"/>
      <c r="C82" s="97"/>
      <c r="D82" s="97"/>
      <c r="E82" s="97"/>
      <c r="F82" s="97"/>
      <c r="G82" s="97"/>
      <c r="H82" s="97"/>
      <c r="I82" s="97"/>
      <c r="J82" s="97"/>
      <c r="K82" s="97"/>
      <c r="L82" s="97"/>
      <c r="M82" s="97"/>
      <c r="N82" s="97"/>
      <c r="O82" s="98"/>
      <c r="P82" s="113" t="s">
        <v>118</v>
      </c>
      <c r="Q82" s="97"/>
      <c r="R82" s="97"/>
      <c r="S82" s="97"/>
      <c r="T82" s="97"/>
      <c r="U82" s="97"/>
      <c r="V82" s="97"/>
      <c r="W82" s="97"/>
      <c r="X82" s="97"/>
      <c r="Y82" s="97"/>
      <c r="Z82" s="97"/>
      <c r="AA82" s="97"/>
      <c r="AB82" s="97"/>
      <c r="AC82" s="97"/>
      <c r="AD82" s="98"/>
      <c r="AE82" s="113" t="s">
        <v>119</v>
      </c>
      <c r="AF82" s="97"/>
      <c r="AG82" s="97"/>
      <c r="AH82" s="97"/>
      <c r="AI82" s="97"/>
      <c r="AJ82" s="97"/>
      <c r="AK82" s="97"/>
      <c r="AL82" s="97"/>
      <c r="AM82" s="97"/>
      <c r="AN82" s="97"/>
      <c r="AO82" s="97"/>
      <c r="AP82" s="97"/>
      <c r="AQ82" s="97"/>
      <c r="AR82" s="98"/>
    </row>
    <row r="83" spans="1:44" ht="15.75" customHeight="1" x14ac:dyDescent="0.25">
      <c r="A83" s="99"/>
      <c r="B83" s="100"/>
      <c r="C83" s="100"/>
      <c r="D83" s="100"/>
      <c r="E83" s="100"/>
      <c r="F83" s="100"/>
      <c r="G83" s="100"/>
      <c r="H83" s="100"/>
      <c r="I83" s="100"/>
      <c r="J83" s="100"/>
      <c r="K83" s="100"/>
      <c r="L83" s="100"/>
      <c r="M83" s="100"/>
      <c r="N83" s="100"/>
      <c r="O83" s="101"/>
      <c r="P83" s="99"/>
      <c r="Q83" s="100"/>
      <c r="R83" s="100"/>
      <c r="S83" s="100"/>
      <c r="T83" s="100"/>
      <c r="U83" s="100"/>
      <c r="V83" s="100"/>
      <c r="W83" s="100"/>
      <c r="X83" s="100"/>
      <c r="Y83" s="100"/>
      <c r="Z83" s="100"/>
      <c r="AA83" s="100"/>
      <c r="AB83" s="100"/>
      <c r="AC83" s="100"/>
      <c r="AD83" s="101"/>
      <c r="AE83" s="99"/>
      <c r="AF83" s="100"/>
      <c r="AG83" s="100"/>
      <c r="AH83" s="100"/>
      <c r="AI83" s="100"/>
      <c r="AJ83" s="100"/>
      <c r="AK83" s="100"/>
      <c r="AL83" s="100"/>
      <c r="AM83" s="100"/>
      <c r="AN83" s="100"/>
      <c r="AO83" s="100"/>
      <c r="AP83" s="100"/>
      <c r="AQ83" s="100"/>
      <c r="AR83" s="101"/>
    </row>
    <row r="84" spans="1:44" ht="15.75" customHeight="1" x14ac:dyDescent="0.25">
      <c r="A84" s="102"/>
      <c r="B84" s="103"/>
      <c r="C84" s="103"/>
      <c r="D84" s="103"/>
      <c r="E84" s="103"/>
      <c r="F84" s="103"/>
      <c r="G84" s="103"/>
      <c r="H84" s="103"/>
      <c r="I84" s="103"/>
      <c r="J84" s="103"/>
      <c r="K84" s="103"/>
      <c r="L84" s="103"/>
      <c r="M84" s="103"/>
      <c r="N84" s="103"/>
      <c r="O84" s="104"/>
      <c r="P84" s="102"/>
      <c r="Q84" s="103"/>
      <c r="R84" s="103"/>
      <c r="S84" s="103"/>
      <c r="T84" s="103"/>
      <c r="U84" s="103"/>
      <c r="V84" s="103"/>
      <c r="W84" s="103"/>
      <c r="X84" s="103"/>
      <c r="Y84" s="103"/>
      <c r="Z84" s="103"/>
      <c r="AA84" s="103"/>
      <c r="AB84" s="103"/>
      <c r="AC84" s="103"/>
      <c r="AD84" s="104"/>
      <c r="AE84" s="102"/>
      <c r="AF84" s="103"/>
      <c r="AG84" s="103"/>
      <c r="AH84" s="103"/>
      <c r="AI84" s="103"/>
      <c r="AJ84" s="103"/>
      <c r="AK84" s="103"/>
      <c r="AL84" s="103"/>
      <c r="AM84" s="103"/>
      <c r="AN84" s="103"/>
      <c r="AO84" s="103"/>
      <c r="AP84" s="103"/>
      <c r="AQ84" s="103"/>
      <c r="AR84" s="104"/>
    </row>
    <row r="85" spans="1:44" ht="15.75" customHeight="1" x14ac:dyDescent="0.25">
      <c r="A85" s="102"/>
      <c r="B85" s="103"/>
      <c r="C85" s="103"/>
      <c r="D85" s="103"/>
      <c r="E85" s="103"/>
      <c r="F85" s="103"/>
      <c r="G85" s="103"/>
      <c r="H85" s="103"/>
      <c r="I85" s="103"/>
      <c r="J85" s="103"/>
      <c r="K85" s="103"/>
      <c r="L85" s="103"/>
      <c r="M85" s="103"/>
      <c r="N85" s="103"/>
      <c r="O85" s="104"/>
      <c r="P85" s="102"/>
      <c r="Q85" s="103"/>
      <c r="R85" s="103"/>
      <c r="S85" s="103"/>
      <c r="T85" s="103"/>
      <c r="U85" s="103"/>
      <c r="V85" s="103"/>
      <c r="W85" s="103"/>
      <c r="X85" s="103"/>
      <c r="Y85" s="103"/>
      <c r="Z85" s="103"/>
      <c r="AA85" s="103"/>
      <c r="AB85" s="103"/>
      <c r="AC85" s="103"/>
      <c r="AD85" s="104"/>
      <c r="AE85" s="102"/>
      <c r="AF85" s="103"/>
      <c r="AG85" s="103"/>
      <c r="AH85" s="103"/>
      <c r="AI85" s="103"/>
      <c r="AJ85" s="103"/>
      <c r="AK85" s="103"/>
      <c r="AL85" s="103"/>
      <c r="AM85" s="103"/>
      <c r="AN85" s="103"/>
      <c r="AO85" s="103"/>
      <c r="AP85" s="103"/>
      <c r="AQ85" s="103"/>
      <c r="AR85" s="104"/>
    </row>
    <row r="86" spans="1:44" ht="15.75" customHeight="1" x14ac:dyDescent="0.25">
      <c r="A86" s="102"/>
      <c r="B86" s="103"/>
      <c r="C86" s="103"/>
      <c r="D86" s="103"/>
      <c r="E86" s="103"/>
      <c r="F86" s="103"/>
      <c r="G86" s="103"/>
      <c r="H86" s="103"/>
      <c r="I86" s="103"/>
      <c r="J86" s="103"/>
      <c r="K86" s="103"/>
      <c r="L86" s="103"/>
      <c r="M86" s="103"/>
      <c r="N86" s="103"/>
      <c r="O86" s="104"/>
      <c r="P86" s="102"/>
      <c r="Q86" s="103"/>
      <c r="R86" s="103"/>
      <c r="S86" s="103"/>
      <c r="T86" s="103"/>
      <c r="U86" s="103"/>
      <c r="V86" s="103"/>
      <c r="W86" s="103"/>
      <c r="X86" s="103"/>
      <c r="Y86" s="103"/>
      <c r="Z86" s="103"/>
      <c r="AA86" s="103"/>
      <c r="AB86" s="103"/>
      <c r="AC86" s="103"/>
      <c r="AD86" s="104"/>
      <c r="AE86" s="102"/>
      <c r="AF86" s="103"/>
      <c r="AG86" s="103"/>
      <c r="AH86" s="103"/>
      <c r="AI86" s="103"/>
      <c r="AJ86" s="103"/>
      <c r="AK86" s="103"/>
      <c r="AL86" s="103"/>
      <c r="AM86" s="103"/>
      <c r="AN86" s="103"/>
      <c r="AO86" s="103"/>
      <c r="AP86" s="103"/>
      <c r="AQ86" s="103"/>
      <c r="AR86" s="104"/>
    </row>
    <row r="87" spans="1:44" ht="15.75" customHeight="1" x14ac:dyDescent="0.25">
      <c r="A87" s="102"/>
      <c r="B87" s="103"/>
      <c r="C87" s="103"/>
      <c r="D87" s="103"/>
      <c r="E87" s="103"/>
      <c r="F87" s="103"/>
      <c r="G87" s="103"/>
      <c r="H87" s="103"/>
      <c r="I87" s="103"/>
      <c r="J87" s="103"/>
      <c r="K87" s="103"/>
      <c r="L87" s="103"/>
      <c r="M87" s="103"/>
      <c r="N87" s="103"/>
      <c r="O87" s="104"/>
      <c r="P87" s="102"/>
      <c r="Q87" s="103"/>
      <c r="R87" s="103"/>
      <c r="S87" s="103"/>
      <c r="T87" s="103"/>
      <c r="U87" s="103"/>
      <c r="V87" s="103"/>
      <c r="W87" s="103"/>
      <c r="X87" s="103"/>
      <c r="Y87" s="103"/>
      <c r="Z87" s="103"/>
      <c r="AA87" s="103"/>
      <c r="AB87" s="103"/>
      <c r="AC87" s="103"/>
      <c r="AD87" s="104"/>
      <c r="AE87" s="102"/>
      <c r="AF87" s="103"/>
      <c r="AG87" s="103"/>
      <c r="AH87" s="103"/>
      <c r="AI87" s="103"/>
      <c r="AJ87" s="103"/>
      <c r="AK87" s="103"/>
      <c r="AL87" s="103"/>
      <c r="AM87" s="103"/>
      <c r="AN87" s="103"/>
      <c r="AO87" s="103"/>
      <c r="AP87" s="103"/>
      <c r="AQ87" s="103"/>
      <c r="AR87" s="104"/>
    </row>
    <row r="88" spans="1:44" ht="15.75" customHeight="1" x14ac:dyDescent="0.25">
      <c r="A88" s="105"/>
      <c r="B88" s="106"/>
      <c r="C88" s="106"/>
      <c r="D88" s="106"/>
      <c r="E88" s="106"/>
      <c r="F88" s="106"/>
      <c r="G88" s="106"/>
      <c r="H88" s="106"/>
      <c r="I88" s="106"/>
      <c r="J88" s="106"/>
      <c r="K88" s="106"/>
      <c r="L88" s="106"/>
      <c r="M88" s="106"/>
      <c r="N88" s="106"/>
      <c r="O88" s="107"/>
      <c r="P88" s="105"/>
      <c r="Q88" s="106"/>
      <c r="R88" s="106"/>
      <c r="S88" s="106"/>
      <c r="T88" s="106"/>
      <c r="U88" s="106"/>
      <c r="V88" s="106"/>
      <c r="W88" s="106"/>
      <c r="X88" s="106"/>
      <c r="Y88" s="106"/>
      <c r="Z88" s="106"/>
      <c r="AA88" s="106"/>
      <c r="AB88" s="106"/>
      <c r="AC88" s="106"/>
      <c r="AD88" s="107"/>
      <c r="AE88" s="105"/>
      <c r="AF88" s="106"/>
      <c r="AG88" s="106"/>
      <c r="AH88" s="106"/>
      <c r="AI88" s="106"/>
      <c r="AJ88" s="106"/>
      <c r="AK88" s="106"/>
      <c r="AL88" s="106"/>
      <c r="AM88" s="106"/>
      <c r="AN88" s="106"/>
      <c r="AO88" s="106"/>
      <c r="AP88" s="106"/>
      <c r="AQ88" s="106"/>
      <c r="AR88" s="107"/>
    </row>
    <row r="89" spans="1:44" ht="15.75" customHeight="1" x14ac:dyDescent="0.25">
      <c r="A89" s="96" t="s">
        <v>120</v>
      </c>
      <c r="B89" s="97"/>
      <c r="C89" s="97"/>
      <c r="D89" s="97"/>
      <c r="E89" s="97"/>
      <c r="F89" s="97"/>
      <c r="G89" s="97"/>
      <c r="H89" s="97"/>
      <c r="I89" s="97"/>
      <c r="J89" s="97"/>
      <c r="K89" s="97"/>
      <c r="L89" s="97"/>
      <c r="M89" s="97"/>
      <c r="N89" s="97"/>
      <c r="O89" s="98"/>
      <c r="P89" s="96" t="s">
        <v>120</v>
      </c>
      <c r="Q89" s="97"/>
      <c r="R89" s="97"/>
      <c r="S89" s="97"/>
      <c r="T89" s="97"/>
      <c r="U89" s="97"/>
      <c r="V89" s="97"/>
      <c r="W89" s="97"/>
      <c r="X89" s="97"/>
      <c r="Y89" s="97"/>
      <c r="Z89" s="97"/>
      <c r="AA89" s="97"/>
      <c r="AB89" s="97"/>
      <c r="AC89" s="97"/>
      <c r="AD89" s="98"/>
      <c r="AE89" s="96" t="s">
        <v>120</v>
      </c>
      <c r="AF89" s="97"/>
      <c r="AG89" s="97"/>
      <c r="AH89" s="97"/>
      <c r="AI89" s="97"/>
      <c r="AJ89" s="97"/>
      <c r="AK89" s="97"/>
      <c r="AL89" s="97"/>
      <c r="AM89" s="97"/>
      <c r="AN89" s="97"/>
      <c r="AO89" s="97"/>
      <c r="AP89" s="97"/>
      <c r="AQ89" s="97"/>
      <c r="AR89" s="98"/>
    </row>
    <row r="90" spans="1:44" ht="15.75" customHeight="1" x14ac:dyDescent="0.25">
      <c r="A90" s="96" t="s">
        <v>148</v>
      </c>
      <c r="B90" s="97"/>
      <c r="C90" s="97"/>
      <c r="D90" s="97"/>
      <c r="E90" s="97"/>
      <c r="F90" s="97"/>
      <c r="G90" s="97"/>
      <c r="H90" s="97"/>
      <c r="I90" s="97"/>
      <c r="J90" s="97"/>
      <c r="K90" s="97"/>
      <c r="L90" s="97"/>
      <c r="M90" s="97"/>
      <c r="N90" s="97"/>
      <c r="O90" s="98"/>
      <c r="P90" s="96" t="s">
        <v>148</v>
      </c>
      <c r="Q90" s="97"/>
      <c r="R90" s="97"/>
      <c r="S90" s="97"/>
      <c r="T90" s="97"/>
      <c r="U90" s="97"/>
      <c r="V90" s="97"/>
      <c r="W90" s="97"/>
      <c r="X90" s="97"/>
      <c r="Y90" s="97"/>
      <c r="Z90" s="97"/>
      <c r="AA90" s="97"/>
      <c r="AB90" s="97"/>
      <c r="AC90" s="97"/>
      <c r="AD90" s="98"/>
      <c r="AE90" s="96" t="s">
        <v>148</v>
      </c>
      <c r="AF90" s="97"/>
      <c r="AG90" s="97"/>
      <c r="AH90" s="97"/>
      <c r="AI90" s="97"/>
      <c r="AJ90" s="97"/>
      <c r="AK90" s="97"/>
      <c r="AL90" s="97"/>
      <c r="AM90" s="97"/>
      <c r="AN90" s="97"/>
      <c r="AO90" s="97"/>
      <c r="AP90" s="97"/>
      <c r="AQ90" s="97"/>
      <c r="AR90" s="98"/>
    </row>
    <row r="91" spans="1:44" ht="8.25" customHeight="1" x14ac:dyDescent="0.25">
      <c r="A91" s="64"/>
      <c r="B91" s="62"/>
      <c r="C91" s="62"/>
      <c r="D91" s="62"/>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row>
    <row r="92" spans="1:44" ht="15.75" hidden="1" customHeight="1" x14ac:dyDescent="0.25">
      <c r="A92" s="114" t="s">
        <v>121</v>
      </c>
      <c r="B92" s="112"/>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c r="AA92" s="112"/>
      <c r="AB92" s="112"/>
      <c r="AC92" s="112"/>
      <c r="AD92" s="112"/>
      <c r="AE92" s="112"/>
      <c r="AF92" s="112"/>
      <c r="AG92" s="112"/>
      <c r="AH92" s="112"/>
      <c r="AI92" s="112"/>
      <c r="AJ92" s="112"/>
      <c r="AK92" s="112"/>
      <c r="AL92" s="112"/>
      <c r="AM92" s="112"/>
      <c r="AN92" s="112"/>
      <c r="AO92" s="112"/>
      <c r="AP92" s="112"/>
      <c r="AQ92" s="112"/>
      <c r="AR92" s="112"/>
    </row>
    <row r="93" spans="1:44" ht="8.25" hidden="1" customHeight="1" x14ac:dyDescent="0.25">
      <c r="A93" s="64"/>
      <c r="B93" s="62"/>
      <c r="C93" s="62"/>
      <c r="D93" s="62"/>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row>
    <row r="94" spans="1:44" ht="15" hidden="1" customHeight="1" x14ac:dyDescent="0.25">
      <c r="A94" s="83" t="s">
        <v>1</v>
      </c>
      <c r="B94" s="111" t="s">
        <v>122</v>
      </c>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row>
    <row r="95" spans="1:44" ht="8.25" hidden="1" customHeight="1" x14ac:dyDescent="0.25">
      <c r="A95" s="64"/>
      <c r="B95" s="62"/>
      <c r="C95" s="62"/>
      <c r="D95" s="62"/>
      <c r="E95" s="58"/>
      <c r="F95" s="58"/>
      <c r="G95" s="58"/>
      <c r="H95" s="58"/>
      <c r="I95" s="58"/>
      <c r="J95" s="58"/>
      <c r="K95" s="58"/>
      <c r="L95" s="58"/>
      <c r="M95" s="58"/>
      <c r="N95" s="58"/>
      <c r="O95" s="58"/>
      <c r="P95" s="58"/>
      <c r="Q95" s="58"/>
      <c r="R95" s="58"/>
      <c r="S95" s="58"/>
      <c r="T95" s="58"/>
      <c r="U95" s="79"/>
      <c r="V95" s="58"/>
      <c r="W95" s="58"/>
      <c r="X95" s="58"/>
      <c r="Y95" s="58"/>
      <c r="Z95" s="58"/>
      <c r="AA95" s="58"/>
      <c r="AB95" s="58"/>
      <c r="AC95" s="58"/>
      <c r="AD95" s="58"/>
      <c r="AE95" s="79"/>
      <c r="AF95" s="58"/>
      <c r="AG95" s="58"/>
      <c r="AH95" s="58"/>
      <c r="AI95" s="58"/>
      <c r="AJ95" s="58"/>
      <c r="AK95" s="58"/>
      <c r="AL95" s="58"/>
      <c r="AM95" s="58"/>
      <c r="AN95" s="58"/>
      <c r="AO95" s="58"/>
      <c r="AP95" s="58"/>
      <c r="AQ95" s="58"/>
      <c r="AR95" s="58"/>
    </row>
    <row r="96" spans="1:44" ht="15.75" hidden="1" customHeight="1" x14ac:dyDescent="0.25">
      <c r="A96" s="109" t="s">
        <v>123</v>
      </c>
      <c r="B96" s="103"/>
      <c r="C96" s="103"/>
      <c r="D96" s="103"/>
      <c r="E96" s="103"/>
      <c r="F96" s="103"/>
      <c r="G96" s="103"/>
      <c r="H96" s="103"/>
      <c r="I96" s="103"/>
      <c r="J96" s="103"/>
      <c r="K96" s="103"/>
      <c r="L96" s="59"/>
      <c r="M96" s="59"/>
      <c r="N96" s="110">
        <f>AVERAGE(AC30:AR31)</f>
        <v>0.4375</v>
      </c>
      <c r="O96" s="100"/>
      <c r="P96" s="100"/>
      <c r="Q96" s="100"/>
      <c r="R96" s="100"/>
      <c r="S96" s="100"/>
      <c r="T96" s="100"/>
      <c r="U96" s="101"/>
      <c r="V96" s="58"/>
      <c r="W96" s="58"/>
      <c r="X96" s="58"/>
      <c r="Y96" s="84"/>
      <c r="Z96" s="58"/>
      <c r="AA96" s="84" t="s">
        <v>124</v>
      </c>
      <c r="AB96" s="58"/>
      <c r="AC96" s="58"/>
      <c r="AD96" s="58"/>
      <c r="AE96" s="78"/>
      <c r="AF96" s="59"/>
      <c r="AG96" s="59"/>
      <c r="AH96" s="110" t="e">
        <f>N96*20%+N98*50%+N100*30%</f>
        <v>#DIV/0!</v>
      </c>
      <c r="AI96" s="100"/>
      <c r="AJ96" s="100"/>
      <c r="AK96" s="100"/>
      <c r="AL96" s="100"/>
      <c r="AM96" s="100"/>
      <c r="AN96" s="100"/>
      <c r="AO96" s="101"/>
      <c r="AP96" s="58"/>
      <c r="AQ96" s="58"/>
      <c r="AR96" s="58"/>
    </row>
    <row r="97" spans="1:44" ht="15.75" hidden="1" customHeight="1" x14ac:dyDescent="0.25">
      <c r="A97" s="64"/>
      <c r="B97" s="62"/>
      <c r="C97" s="62"/>
      <c r="D97" s="56"/>
      <c r="E97" s="58"/>
      <c r="F97" s="58"/>
      <c r="G97" s="58"/>
      <c r="H97" s="58"/>
      <c r="I97" s="58"/>
      <c r="J97" s="58"/>
      <c r="K97" s="59"/>
      <c r="L97" s="59"/>
      <c r="M97" s="59"/>
      <c r="N97" s="105"/>
      <c r="O97" s="106"/>
      <c r="P97" s="106"/>
      <c r="Q97" s="106"/>
      <c r="R97" s="106"/>
      <c r="S97" s="106"/>
      <c r="T97" s="106"/>
      <c r="U97" s="107"/>
      <c r="V97" s="58"/>
      <c r="W97" s="58"/>
      <c r="X97" s="58"/>
      <c r="Y97" s="58"/>
      <c r="Z97" s="58"/>
      <c r="AA97" s="58"/>
      <c r="AB97" s="58"/>
      <c r="AC97" s="58"/>
      <c r="AD97" s="58"/>
      <c r="AE97" s="78"/>
      <c r="AF97" s="59"/>
      <c r="AG97" s="59"/>
      <c r="AH97" s="102"/>
      <c r="AI97" s="103"/>
      <c r="AJ97" s="103"/>
      <c r="AK97" s="103"/>
      <c r="AL97" s="103"/>
      <c r="AM97" s="103"/>
      <c r="AN97" s="103"/>
      <c r="AO97" s="104"/>
      <c r="AP97" s="58"/>
      <c r="AQ97" s="58"/>
      <c r="AR97" s="58"/>
    </row>
    <row r="98" spans="1:44" ht="15.75" hidden="1" customHeight="1" x14ac:dyDescent="0.25">
      <c r="A98" s="109" t="s">
        <v>125</v>
      </c>
      <c r="B98" s="103"/>
      <c r="C98" s="103"/>
      <c r="D98" s="103"/>
      <c r="E98" s="103"/>
      <c r="F98" s="103"/>
      <c r="G98" s="103"/>
      <c r="H98" s="103"/>
      <c r="I98" s="103"/>
      <c r="J98" s="103"/>
      <c r="K98" s="78"/>
      <c r="L98" s="59"/>
      <c r="M98" s="59"/>
      <c r="N98" s="110" t="e">
        <f>AC47*20%+AG47*25%+AK47*25%+AO47*30%</f>
        <v>#DIV/0!</v>
      </c>
      <c r="O98" s="100"/>
      <c r="P98" s="100"/>
      <c r="Q98" s="100"/>
      <c r="R98" s="100"/>
      <c r="S98" s="100"/>
      <c r="T98" s="100"/>
      <c r="U98" s="101"/>
      <c r="V98" s="58"/>
      <c r="W98" s="58"/>
      <c r="X98" s="58"/>
      <c r="Y98" s="58"/>
      <c r="Z98" s="58"/>
      <c r="AA98" s="58"/>
      <c r="AB98" s="58"/>
      <c r="AC98" s="58"/>
      <c r="AD98" s="58"/>
      <c r="AE98" s="59"/>
      <c r="AF98" s="59"/>
      <c r="AG98" s="59"/>
      <c r="AH98" s="105"/>
      <c r="AI98" s="106"/>
      <c r="AJ98" s="106"/>
      <c r="AK98" s="106"/>
      <c r="AL98" s="106"/>
      <c r="AM98" s="106"/>
      <c r="AN98" s="106"/>
      <c r="AO98" s="107"/>
      <c r="AP98" s="58"/>
      <c r="AQ98" s="58"/>
      <c r="AR98" s="58"/>
    </row>
    <row r="99" spans="1:44" ht="15.75" hidden="1" customHeight="1" x14ac:dyDescent="0.25">
      <c r="A99" s="64"/>
      <c r="B99" s="62"/>
      <c r="C99" s="62"/>
      <c r="D99" s="56"/>
      <c r="E99" s="58"/>
      <c r="F99" s="58"/>
      <c r="G99" s="58"/>
      <c r="H99" s="58"/>
      <c r="I99" s="58"/>
      <c r="J99" s="58"/>
      <c r="K99" s="78"/>
      <c r="L99" s="59"/>
      <c r="M99" s="59"/>
      <c r="N99" s="105"/>
      <c r="O99" s="106"/>
      <c r="P99" s="106"/>
      <c r="Q99" s="106"/>
      <c r="R99" s="106"/>
      <c r="S99" s="106"/>
      <c r="T99" s="106"/>
      <c r="U99" s="107"/>
      <c r="V99" s="58"/>
      <c r="W99" s="58"/>
      <c r="X99" s="58"/>
      <c r="Y99" s="84"/>
      <c r="Z99" s="58"/>
      <c r="AA99" s="84" t="s">
        <v>126</v>
      </c>
      <c r="AB99" s="58"/>
      <c r="AC99" s="58"/>
      <c r="AD99" s="58"/>
      <c r="AE99" s="78"/>
      <c r="AF99" s="59"/>
      <c r="AG99" s="59"/>
      <c r="AH99" s="108"/>
      <c r="AI99" s="100"/>
      <c r="AJ99" s="100"/>
      <c r="AK99" s="100"/>
      <c r="AL99" s="100"/>
      <c r="AM99" s="100"/>
      <c r="AN99" s="100"/>
      <c r="AO99" s="101"/>
      <c r="AP99" s="58"/>
      <c r="AQ99" s="58"/>
      <c r="AR99" s="58"/>
    </row>
    <row r="100" spans="1:44" ht="15.75" hidden="1" customHeight="1" x14ac:dyDescent="0.25">
      <c r="A100" s="109" t="s">
        <v>127</v>
      </c>
      <c r="B100" s="103"/>
      <c r="C100" s="103"/>
      <c r="D100" s="103"/>
      <c r="E100" s="103"/>
      <c r="F100" s="103"/>
      <c r="G100" s="103"/>
      <c r="H100" s="103"/>
      <c r="I100" s="103"/>
      <c r="J100" s="103"/>
      <c r="K100" s="78"/>
      <c r="L100" s="59"/>
      <c r="M100" s="59"/>
      <c r="N100" s="110">
        <f>N77</f>
        <v>0</v>
      </c>
      <c r="O100" s="100"/>
      <c r="P100" s="100"/>
      <c r="Q100" s="100"/>
      <c r="R100" s="100"/>
      <c r="S100" s="100"/>
      <c r="T100" s="100"/>
      <c r="U100" s="101"/>
      <c r="V100" s="58"/>
      <c r="W100" s="58"/>
      <c r="X100" s="58"/>
      <c r="Y100" s="58"/>
      <c r="Z100" s="58"/>
      <c r="AA100" s="58"/>
      <c r="AB100" s="58"/>
      <c r="AC100" s="58"/>
      <c r="AD100" s="58"/>
      <c r="AE100" s="78"/>
      <c r="AF100" s="59"/>
      <c r="AG100" s="59"/>
      <c r="AH100" s="102"/>
      <c r="AI100" s="103"/>
      <c r="AJ100" s="103"/>
      <c r="AK100" s="103"/>
      <c r="AL100" s="103"/>
      <c r="AM100" s="103"/>
      <c r="AN100" s="103"/>
      <c r="AO100" s="104"/>
      <c r="AP100" s="58"/>
      <c r="AQ100" s="58"/>
      <c r="AR100" s="58"/>
    </row>
    <row r="101" spans="1:44" ht="15.75" hidden="1" customHeight="1" x14ac:dyDescent="0.25">
      <c r="A101" s="64"/>
      <c r="B101" s="62"/>
      <c r="C101" s="62"/>
      <c r="D101" s="62"/>
      <c r="E101" s="58"/>
      <c r="F101" s="58"/>
      <c r="G101" s="58"/>
      <c r="H101" s="58"/>
      <c r="I101" s="58"/>
      <c r="J101" s="58"/>
      <c r="K101" s="59"/>
      <c r="L101" s="59"/>
      <c r="M101" s="59"/>
      <c r="N101" s="105"/>
      <c r="O101" s="106"/>
      <c r="P101" s="106"/>
      <c r="Q101" s="106"/>
      <c r="R101" s="106"/>
      <c r="S101" s="106"/>
      <c r="T101" s="106"/>
      <c r="U101" s="107"/>
      <c r="V101" s="58"/>
      <c r="W101" s="58"/>
      <c r="X101" s="58"/>
      <c r="Y101" s="58"/>
      <c r="Z101" s="58"/>
      <c r="AA101" s="58"/>
      <c r="AB101" s="58"/>
      <c r="AC101" s="58"/>
      <c r="AD101" s="58"/>
      <c r="AE101" s="58"/>
      <c r="AF101" s="58"/>
      <c r="AG101" s="58"/>
      <c r="AH101" s="105"/>
      <c r="AI101" s="106"/>
      <c r="AJ101" s="106"/>
      <c r="AK101" s="106"/>
      <c r="AL101" s="106"/>
      <c r="AM101" s="106"/>
      <c r="AN101" s="106"/>
      <c r="AO101" s="107"/>
      <c r="AP101" s="58"/>
      <c r="AQ101" s="58"/>
      <c r="AR101" s="58"/>
    </row>
    <row r="102" spans="1:44" ht="15.75" hidden="1" customHeight="1" x14ac:dyDescent="0.25">
      <c r="A102" s="64"/>
      <c r="B102" s="62"/>
      <c r="C102" s="62"/>
      <c r="D102" s="62"/>
      <c r="E102" s="58"/>
      <c r="F102" s="58"/>
      <c r="G102" s="58"/>
      <c r="H102" s="58"/>
      <c r="I102" s="58"/>
      <c r="J102" s="58"/>
      <c r="K102" s="58"/>
      <c r="L102" s="58"/>
      <c r="M102" s="58"/>
      <c r="N102" s="58"/>
      <c r="O102" s="58"/>
      <c r="P102" s="58"/>
      <c r="Q102" s="58"/>
      <c r="R102" s="58"/>
      <c r="S102" s="58"/>
      <c r="T102" s="58"/>
      <c r="U102" s="79"/>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row>
    <row r="103" spans="1:44" ht="15" hidden="1" customHeight="1" x14ac:dyDescent="0.25">
      <c r="A103" s="83" t="s">
        <v>128</v>
      </c>
      <c r="B103" s="111" t="s">
        <v>129</v>
      </c>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c r="AA103" s="112"/>
      <c r="AB103" s="112"/>
      <c r="AC103" s="112"/>
      <c r="AD103" s="112"/>
      <c r="AE103" s="112"/>
      <c r="AF103" s="112"/>
      <c r="AG103" s="112"/>
      <c r="AH103" s="112"/>
      <c r="AI103" s="112"/>
      <c r="AJ103" s="112"/>
      <c r="AK103" s="112"/>
      <c r="AL103" s="112"/>
      <c r="AM103" s="112"/>
      <c r="AN103" s="112"/>
      <c r="AO103" s="112"/>
      <c r="AP103" s="112"/>
      <c r="AQ103" s="112"/>
      <c r="AR103" s="112"/>
    </row>
    <row r="104" spans="1:44" ht="8.25" hidden="1" customHeight="1" x14ac:dyDescent="0.25">
      <c r="A104" s="64"/>
      <c r="B104" s="62"/>
      <c r="C104" s="62"/>
      <c r="D104" s="62"/>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row>
    <row r="105" spans="1:44" ht="15.75" hidden="1" customHeight="1" x14ac:dyDescent="0.25">
      <c r="A105" s="113" t="s">
        <v>118</v>
      </c>
      <c r="B105" s="97"/>
      <c r="C105" s="97"/>
      <c r="D105" s="97"/>
      <c r="E105" s="97"/>
      <c r="F105" s="97"/>
      <c r="G105" s="97"/>
      <c r="H105" s="97"/>
      <c r="I105" s="97"/>
      <c r="J105" s="97"/>
      <c r="K105" s="97"/>
      <c r="L105" s="97"/>
      <c r="M105" s="97"/>
      <c r="N105" s="97"/>
      <c r="O105" s="98"/>
      <c r="P105" s="113" t="s">
        <v>130</v>
      </c>
      <c r="Q105" s="97"/>
      <c r="R105" s="97"/>
      <c r="S105" s="97"/>
      <c r="T105" s="97"/>
      <c r="U105" s="97"/>
      <c r="V105" s="97"/>
      <c r="W105" s="97"/>
      <c r="X105" s="97"/>
      <c r="Y105" s="97"/>
      <c r="Z105" s="97"/>
      <c r="AA105" s="97"/>
      <c r="AB105" s="97"/>
      <c r="AC105" s="97"/>
      <c r="AD105" s="98"/>
      <c r="AE105" s="113" t="s">
        <v>131</v>
      </c>
      <c r="AF105" s="97"/>
      <c r="AG105" s="97"/>
      <c r="AH105" s="97"/>
      <c r="AI105" s="97"/>
      <c r="AJ105" s="97"/>
      <c r="AK105" s="97"/>
      <c r="AL105" s="97"/>
      <c r="AM105" s="97"/>
      <c r="AN105" s="97"/>
      <c r="AO105" s="97"/>
      <c r="AP105" s="97"/>
      <c r="AQ105" s="97"/>
      <c r="AR105" s="98"/>
    </row>
    <row r="106" spans="1:44" ht="15.75" hidden="1" customHeight="1" x14ac:dyDescent="0.25">
      <c r="A106" s="99"/>
      <c r="B106" s="100"/>
      <c r="C106" s="100"/>
      <c r="D106" s="100"/>
      <c r="E106" s="100"/>
      <c r="F106" s="100"/>
      <c r="G106" s="100"/>
      <c r="H106" s="100"/>
      <c r="I106" s="100"/>
      <c r="J106" s="100"/>
      <c r="K106" s="100"/>
      <c r="L106" s="100"/>
      <c r="M106" s="100"/>
      <c r="N106" s="100"/>
      <c r="O106" s="101"/>
      <c r="P106" s="99"/>
      <c r="Q106" s="100"/>
      <c r="R106" s="100"/>
      <c r="S106" s="100"/>
      <c r="T106" s="100"/>
      <c r="U106" s="100"/>
      <c r="V106" s="100"/>
      <c r="W106" s="100"/>
      <c r="X106" s="100"/>
      <c r="Y106" s="100"/>
      <c r="Z106" s="100"/>
      <c r="AA106" s="100"/>
      <c r="AB106" s="100"/>
      <c r="AC106" s="100"/>
      <c r="AD106" s="101"/>
      <c r="AE106" s="99"/>
      <c r="AF106" s="100"/>
      <c r="AG106" s="100"/>
      <c r="AH106" s="100"/>
      <c r="AI106" s="100"/>
      <c r="AJ106" s="100"/>
      <c r="AK106" s="100"/>
      <c r="AL106" s="100"/>
      <c r="AM106" s="100"/>
      <c r="AN106" s="100"/>
      <c r="AO106" s="100"/>
      <c r="AP106" s="100"/>
      <c r="AQ106" s="100"/>
      <c r="AR106" s="101"/>
    </row>
    <row r="107" spans="1:44" ht="15.75" hidden="1" customHeight="1" x14ac:dyDescent="0.25">
      <c r="A107" s="102"/>
      <c r="B107" s="103"/>
      <c r="C107" s="103"/>
      <c r="D107" s="103"/>
      <c r="E107" s="103"/>
      <c r="F107" s="103"/>
      <c r="G107" s="103"/>
      <c r="H107" s="103"/>
      <c r="I107" s="103"/>
      <c r="J107" s="103"/>
      <c r="K107" s="103"/>
      <c r="L107" s="103"/>
      <c r="M107" s="103"/>
      <c r="N107" s="103"/>
      <c r="O107" s="104"/>
      <c r="P107" s="102"/>
      <c r="Q107" s="103"/>
      <c r="R107" s="103"/>
      <c r="S107" s="103"/>
      <c r="T107" s="103"/>
      <c r="U107" s="103"/>
      <c r="V107" s="103"/>
      <c r="W107" s="103"/>
      <c r="X107" s="103"/>
      <c r="Y107" s="103"/>
      <c r="Z107" s="103"/>
      <c r="AA107" s="103"/>
      <c r="AB107" s="103"/>
      <c r="AC107" s="103"/>
      <c r="AD107" s="104"/>
      <c r="AE107" s="102"/>
      <c r="AF107" s="103"/>
      <c r="AG107" s="103"/>
      <c r="AH107" s="103"/>
      <c r="AI107" s="103"/>
      <c r="AJ107" s="103"/>
      <c r="AK107" s="103"/>
      <c r="AL107" s="103"/>
      <c r="AM107" s="103"/>
      <c r="AN107" s="103"/>
      <c r="AO107" s="103"/>
      <c r="AP107" s="103"/>
      <c r="AQ107" s="103"/>
      <c r="AR107" s="104"/>
    </row>
    <row r="108" spans="1:44" ht="15.75" hidden="1" customHeight="1" x14ac:dyDescent="0.25">
      <c r="A108" s="102"/>
      <c r="B108" s="103"/>
      <c r="C108" s="103"/>
      <c r="D108" s="103"/>
      <c r="E108" s="103"/>
      <c r="F108" s="103"/>
      <c r="G108" s="103"/>
      <c r="H108" s="103"/>
      <c r="I108" s="103"/>
      <c r="J108" s="103"/>
      <c r="K108" s="103"/>
      <c r="L108" s="103"/>
      <c r="M108" s="103"/>
      <c r="N108" s="103"/>
      <c r="O108" s="104"/>
      <c r="P108" s="102"/>
      <c r="Q108" s="103"/>
      <c r="R108" s="103"/>
      <c r="S108" s="103"/>
      <c r="T108" s="103"/>
      <c r="U108" s="103"/>
      <c r="V108" s="103"/>
      <c r="W108" s="103"/>
      <c r="X108" s="103"/>
      <c r="Y108" s="103"/>
      <c r="Z108" s="103"/>
      <c r="AA108" s="103"/>
      <c r="AB108" s="103"/>
      <c r="AC108" s="103"/>
      <c r="AD108" s="104"/>
      <c r="AE108" s="102"/>
      <c r="AF108" s="103"/>
      <c r="AG108" s="103"/>
      <c r="AH108" s="103"/>
      <c r="AI108" s="103"/>
      <c r="AJ108" s="103"/>
      <c r="AK108" s="103"/>
      <c r="AL108" s="103"/>
      <c r="AM108" s="103"/>
      <c r="AN108" s="103"/>
      <c r="AO108" s="103"/>
      <c r="AP108" s="103"/>
      <c r="AQ108" s="103"/>
      <c r="AR108" s="104"/>
    </row>
    <row r="109" spans="1:44" ht="15.75" hidden="1" customHeight="1" x14ac:dyDescent="0.25">
      <c r="A109" s="102"/>
      <c r="B109" s="103"/>
      <c r="C109" s="103"/>
      <c r="D109" s="103"/>
      <c r="E109" s="103"/>
      <c r="F109" s="103"/>
      <c r="G109" s="103"/>
      <c r="H109" s="103"/>
      <c r="I109" s="103"/>
      <c r="J109" s="103"/>
      <c r="K109" s="103"/>
      <c r="L109" s="103"/>
      <c r="M109" s="103"/>
      <c r="N109" s="103"/>
      <c r="O109" s="104"/>
      <c r="P109" s="102"/>
      <c r="Q109" s="103"/>
      <c r="R109" s="103"/>
      <c r="S109" s="103"/>
      <c r="T109" s="103"/>
      <c r="U109" s="103"/>
      <c r="V109" s="103"/>
      <c r="W109" s="103"/>
      <c r="X109" s="103"/>
      <c r="Y109" s="103"/>
      <c r="Z109" s="103"/>
      <c r="AA109" s="103"/>
      <c r="AB109" s="103"/>
      <c r="AC109" s="103"/>
      <c r="AD109" s="104"/>
      <c r="AE109" s="102"/>
      <c r="AF109" s="103"/>
      <c r="AG109" s="103"/>
      <c r="AH109" s="103"/>
      <c r="AI109" s="103"/>
      <c r="AJ109" s="103"/>
      <c r="AK109" s="103"/>
      <c r="AL109" s="103"/>
      <c r="AM109" s="103"/>
      <c r="AN109" s="103"/>
      <c r="AO109" s="103"/>
      <c r="AP109" s="103"/>
      <c r="AQ109" s="103"/>
      <c r="AR109" s="104"/>
    </row>
    <row r="110" spans="1:44" ht="15.75" hidden="1" customHeight="1" x14ac:dyDescent="0.25">
      <c r="A110" s="102"/>
      <c r="B110" s="103"/>
      <c r="C110" s="103"/>
      <c r="D110" s="103"/>
      <c r="E110" s="103"/>
      <c r="F110" s="103"/>
      <c r="G110" s="103"/>
      <c r="H110" s="103"/>
      <c r="I110" s="103"/>
      <c r="J110" s="103"/>
      <c r="K110" s="103"/>
      <c r="L110" s="103"/>
      <c r="M110" s="103"/>
      <c r="N110" s="103"/>
      <c r="O110" s="104"/>
      <c r="P110" s="102"/>
      <c r="Q110" s="103"/>
      <c r="R110" s="103"/>
      <c r="S110" s="103"/>
      <c r="T110" s="103"/>
      <c r="U110" s="103"/>
      <c r="V110" s="103"/>
      <c r="W110" s="103"/>
      <c r="X110" s="103"/>
      <c r="Y110" s="103"/>
      <c r="Z110" s="103"/>
      <c r="AA110" s="103"/>
      <c r="AB110" s="103"/>
      <c r="AC110" s="103"/>
      <c r="AD110" s="104"/>
      <c r="AE110" s="102"/>
      <c r="AF110" s="103"/>
      <c r="AG110" s="103"/>
      <c r="AH110" s="103"/>
      <c r="AI110" s="103"/>
      <c r="AJ110" s="103"/>
      <c r="AK110" s="103"/>
      <c r="AL110" s="103"/>
      <c r="AM110" s="103"/>
      <c r="AN110" s="103"/>
      <c r="AO110" s="103"/>
      <c r="AP110" s="103"/>
      <c r="AQ110" s="103"/>
      <c r="AR110" s="104"/>
    </row>
    <row r="111" spans="1:44" ht="15.75" hidden="1" customHeight="1" x14ac:dyDescent="0.25">
      <c r="A111" s="105"/>
      <c r="B111" s="106"/>
      <c r="C111" s="106"/>
      <c r="D111" s="106"/>
      <c r="E111" s="106"/>
      <c r="F111" s="106"/>
      <c r="G111" s="106"/>
      <c r="H111" s="106"/>
      <c r="I111" s="106"/>
      <c r="J111" s="106"/>
      <c r="K111" s="106"/>
      <c r="L111" s="106"/>
      <c r="M111" s="106"/>
      <c r="N111" s="106"/>
      <c r="O111" s="107"/>
      <c r="P111" s="105"/>
      <c r="Q111" s="106"/>
      <c r="R111" s="106"/>
      <c r="S111" s="106"/>
      <c r="T111" s="106"/>
      <c r="U111" s="106"/>
      <c r="V111" s="106"/>
      <c r="W111" s="106"/>
      <c r="X111" s="106"/>
      <c r="Y111" s="106"/>
      <c r="Z111" s="106"/>
      <c r="AA111" s="106"/>
      <c r="AB111" s="106"/>
      <c r="AC111" s="106"/>
      <c r="AD111" s="107"/>
      <c r="AE111" s="105"/>
      <c r="AF111" s="106"/>
      <c r="AG111" s="106"/>
      <c r="AH111" s="106"/>
      <c r="AI111" s="106"/>
      <c r="AJ111" s="106"/>
      <c r="AK111" s="106"/>
      <c r="AL111" s="106"/>
      <c r="AM111" s="106"/>
      <c r="AN111" s="106"/>
      <c r="AO111" s="106"/>
      <c r="AP111" s="106"/>
      <c r="AQ111" s="106"/>
      <c r="AR111" s="107"/>
    </row>
    <row r="112" spans="1:44" ht="15.75" hidden="1" customHeight="1" x14ac:dyDescent="0.25">
      <c r="A112" s="96" t="s">
        <v>120</v>
      </c>
      <c r="B112" s="97"/>
      <c r="C112" s="97"/>
      <c r="D112" s="97"/>
      <c r="E112" s="97"/>
      <c r="F112" s="97"/>
      <c r="G112" s="97"/>
      <c r="H112" s="97"/>
      <c r="I112" s="97"/>
      <c r="J112" s="97"/>
      <c r="K112" s="97"/>
      <c r="L112" s="97"/>
      <c r="M112" s="97"/>
      <c r="N112" s="97"/>
      <c r="O112" s="98"/>
      <c r="P112" s="96" t="s">
        <v>120</v>
      </c>
      <c r="Q112" s="97"/>
      <c r="R112" s="97"/>
      <c r="S112" s="97"/>
      <c r="T112" s="97"/>
      <c r="U112" s="97"/>
      <c r="V112" s="97"/>
      <c r="W112" s="97"/>
      <c r="X112" s="97"/>
      <c r="Y112" s="97"/>
      <c r="Z112" s="97"/>
      <c r="AA112" s="97"/>
      <c r="AB112" s="97"/>
      <c r="AC112" s="97"/>
      <c r="AD112" s="98"/>
      <c r="AE112" s="96" t="s">
        <v>120</v>
      </c>
      <c r="AF112" s="97"/>
      <c r="AG112" s="97"/>
      <c r="AH112" s="97"/>
      <c r="AI112" s="97"/>
      <c r="AJ112" s="97"/>
      <c r="AK112" s="97"/>
      <c r="AL112" s="97"/>
      <c r="AM112" s="97"/>
      <c r="AN112" s="97"/>
      <c r="AO112" s="97"/>
      <c r="AP112" s="97"/>
      <c r="AQ112" s="97"/>
      <c r="AR112" s="98"/>
    </row>
    <row r="113" spans="1:44" ht="15.75" hidden="1" customHeight="1" x14ac:dyDescent="0.25">
      <c r="A113" s="96" t="s">
        <v>132</v>
      </c>
      <c r="B113" s="97"/>
      <c r="C113" s="97"/>
      <c r="D113" s="97"/>
      <c r="E113" s="97"/>
      <c r="F113" s="97"/>
      <c r="G113" s="97"/>
      <c r="H113" s="97"/>
      <c r="I113" s="97"/>
      <c r="J113" s="97"/>
      <c r="K113" s="97"/>
      <c r="L113" s="97"/>
      <c r="M113" s="97"/>
      <c r="N113" s="97"/>
      <c r="O113" s="98"/>
      <c r="P113" s="96" t="s">
        <v>132</v>
      </c>
      <c r="Q113" s="97"/>
      <c r="R113" s="97"/>
      <c r="S113" s="97"/>
      <c r="T113" s="97"/>
      <c r="U113" s="97"/>
      <c r="V113" s="97"/>
      <c r="W113" s="97"/>
      <c r="X113" s="97"/>
      <c r="Y113" s="97"/>
      <c r="Z113" s="97"/>
      <c r="AA113" s="97"/>
      <c r="AB113" s="97"/>
      <c r="AC113" s="97"/>
      <c r="AD113" s="98"/>
      <c r="AE113" s="96" t="s">
        <v>132</v>
      </c>
      <c r="AF113" s="97"/>
      <c r="AG113" s="97"/>
      <c r="AH113" s="97"/>
      <c r="AI113" s="97"/>
      <c r="AJ113" s="97"/>
      <c r="AK113" s="97"/>
      <c r="AL113" s="97"/>
      <c r="AM113" s="97"/>
      <c r="AN113" s="97"/>
      <c r="AO113" s="97"/>
      <c r="AP113" s="97"/>
      <c r="AQ113" s="97"/>
      <c r="AR113" s="98"/>
    </row>
    <row r="114" spans="1:44" ht="15.75" customHeight="1" x14ac:dyDescent="0.25">
      <c r="A114" s="64"/>
      <c r="B114" s="62"/>
      <c r="C114" s="62"/>
      <c r="D114" s="62"/>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row>
    <row r="115" spans="1:44" ht="15.75" customHeight="1" x14ac:dyDescent="0.25">
      <c r="A115" s="64"/>
      <c r="B115" s="62"/>
      <c r="C115" s="62"/>
      <c r="D115" s="62"/>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row>
    <row r="116" spans="1:44" ht="15.75" customHeight="1" x14ac:dyDescent="0.25">
      <c r="A116" s="64"/>
      <c r="B116" s="62"/>
      <c r="C116" s="62"/>
      <c r="D116" s="62"/>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row>
    <row r="117" spans="1:44" ht="15.75" customHeight="1" x14ac:dyDescent="0.25">
      <c r="A117" s="64"/>
      <c r="B117" s="62"/>
      <c r="C117" s="62"/>
      <c r="D117" s="62"/>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row>
    <row r="118" spans="1:44" ht="15.75" customHeight="1" x14ac:dyDescent="0.25">
      <c r="A118" s="64"/>
      <c r="B118" s="62"/>
      <c r="C118" s="62"/>
      <c r="D118" s="62"/>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row>
    <row r="119" spans="1:44" ht="15.75" customHeight="1" x14ac:dyDescent="0.25">
      <c r="A119" s="64"/>
      <c r="B119" s="62"/>
      <c r="C119" s="62"/>
      <c r="D119" s="62"/>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row>
    <row r="120" spans="1:44" ht="15.75" customHeight="1" x14ac:dyDescent="0.25">
      <c r="A120" s="64"/>
      <c r="B120" s="62"/>
      <c r="C120" s="62"/>
      <c r="D120" s="62"/>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row>
    <row r="121" spans="1:44" ht="15.75" customHeight="1" x14ac:dyDescent="0.25">
      <c r="A121" s="64"/>
      <c r="B121" s="62"/>
      <c r="C121" s="62"/>
      <c r="D121" s="62"/>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row>
    <row r="122" spans="1:44" ht="15.75" customHeight="1" x14ac:dyDescent="0.25">
      <c r="A122" s="64"/>
      <c r="B122" s="62"/>
      <c r="C122" s="62"/>
      <c r="D122" s="62"/>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row>
    <row r="123" spans="1:44" ht="15.75" customHeight="1" x14ac:dyDescent="0.25">
      <c r="A123" s="64"/>
      <c r="B123" s="62"/>
      <c r="C123" s="62"/>
      <c r="D123" s="62"/>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row>
    <row r="124" spans="1:44" ht="15.75" customHeight="1" x14ac:dyDescent="0.25">
      <c r="A124" s="64"/>
      <c r="B124" s="62"/>
      <c r="C124" s="62"/>
      <c r="D124" s="62"/>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row>
    <row r="125" spans="1:44" ht="15.75" customHeight="1" x14ac:dyDescent="0.25">
      <c r="A125" s="64"/>
      <c r="B125" s="62"/>
      <c r="C125" s="62"/>
      <c r="D125" s="62"/>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row>
    <row r="126" spans="1:44" ht="15.75" customHeight="1" x14ac:dyDescent="0.25">
      <c r="A126" s="64"/>
      <c r="B126" s="62"/>
      <c r="C126" s="62"/>
      <c r="D126" s="62"/>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row>
    <row r="127" spans="1:44" ht="15.75" customHeight="1" x14ac:dyDescent="0.25">
      <c r="A127" s="64"/>
      <c r="B127" s="62"/>
      <c r="C127" s="62"/>
      <c r="D127" s="62"/>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row>
    <row r="128" spans="1:44" ht="15.75" customHeight="1" x14ac:dyDescent="0.25">
      <c r="A128" s="64"/>
      <c r="B128" s="62"/>
      <c r="C128" s="62"/>
      <c r="D128" s="62"/>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row>
    <row r="129" spans="1:44" ht="15.75" customHeight="1" x14ac:dyDescent="0.25">
      <c r="A129" s="64"/>
      <c r="B129" s="62"/>
      <c r="C129" s="62"/>
      <c r="D129" s="62"/>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row>
    <row r="130" spans="1:44" ht="15.75" customHeight="1" x14ac:dyDescent="0.25">
      <c r="A130" s="64"/>
      <c r="B130" s="62"/>
      <c r="C130" s="62"/>
      <c r="D130" s="62"/>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row>
    <row r="131" spans="1:44" ht="15.75" customHeight="1" x14ac:dyDescent="0.25">
      <c r="A131" s="64"/>
      <c r="B131" s="62"/>
      <c r="C131" s="62"/>
      <c r="D131" s="62"/>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row>
    <row r="132" spans="1:44" ht="15.75" customHeight="1" x14ac:dyDescent="0.25">
      <c r="A132" s="64"/>
      <c r="B132" s="62"/>
      <c r="C132" s="62"/>
      <c r="D132" s="62"/>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row>
    <row r="133" spans="1:44" ht="15.75" customHeight="1" x14ac:dyDescent="0.25">
      <c r="A133" s="64"/>
      <c r="B133" s="62"/>
      <c r="C133" s="62"/>
      <c r="D133" s="62"/>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row>
    <row r="134" spans="1:44" ht="15.75" customHeight="1" x14ac:dyDescent="0.25">
      <c r="A134" s="64"/>
      <c r="B134" s="62"/>
      <c r="C134" s="62"/>
      <c r="D134" s="62"/>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row>
    <row r="135" spans="1:44" ht="15.75" customHeight="1" x14ac:dyDescent="0.25">
      <c r="A135" s="64"/>
      <c r="B135" s="62"/>
      <c r="C135" s="62"/>
      <c r="D135" s="62"/>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row>
    <row r="136" spans="1:44" ht="15.75" customHeight="1" x14ac:dyDescent="0.25">
      <c r="A136" s="64"/>
      <c r="B136" s="62"/>
      <c r="C136" s="62"/>
      <c r="D136" s="62"/>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row>
    <row r="137" spans="1:44" ht="15.75" customHeight="1" x14ac:dyDescent="0.25">
      <c r="A137" s="64"/>
      <c r="B137" s="62"/>
      <c r="C137" s="62"/>
      <c r="D137" s="62"/>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row>
    <row r="138" spans="1:44" ht="15.75" customHeight="1" x14ac:dyDescent="0.25">
      <c r="A138" s="64"/>
      <c r="B138" s="62"/>
      <c r="C138" s="62"/>
      <c r="D138" s="62"/>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row>
    <row r="139" spans="1:44" ht="15.75" customHeight="1" x14ac:dyDescent="0.25">
      <c r="A139" s="64"/>
      <c r="B139" s="62"/>
      <c r="C139" s="62"/>
      <c r="D139" s="62"/>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row>
    <row r="140" spans="1:44" ht="15.75" customHeight="1" x14ac:dyDescent="0.25">
      <c r="A140" s="64"/>
      <c r="B140" s="62"/>
      <c r="C140" s="62"/>
      <c r="D140" s="62"/>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row>
    <row r="141" spans="1:44" ht="15.75" customHeight="1" x14ac:dyDescent="0.25">
      <c r="A141" s="64"/>
      <c r="B141" s="62"/>
      <c r="C141" s="62"/>
      <c r="D141" s="62"/>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row>
    <row r="142" spans="1:44" ht="15.75" customHeight="1" x14ac:dyDescent="0.25">
      <c r="A142" s="64"/>
      <c r="B142" s="62"/>
      <c r="C142" s="62"/>
      <c r="D142" s="62"/>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row>
    <row r="143" spans="1:44" ht="15.75" customHeight="1" x14ac:dyDescent="0.25">
      <c r="A143" s="64"/>
      <c r="B143" s="62"/>
      <c r="C143" s="62"/>
      <c r="D143" s="62"/>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row>
    <row r="144" spans="1:44" ht="15.75" customHeight="1" x14ac:dyDescent="0.25">
      <c r="A144" s="64"/>
      <c r="B144" s="62"/>
      <c r="C144" s="62"/>
      <c r="D144" s="62"/>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row>
    <row r="145" spans="1:44" ht="15.75" customHeight="1" x14ac:dyDescent="0.25">
      <c r="A145" s="64"/>
      <c r="B145" s="62"/>
      <c r="C145" s="62"/>
      <c r="D145" s="62"/>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row>
    <row r="146" spans="1:44" ht="15.75" customHeight="1" x14ac:dyDescent="0.25">
      <c r="A146" s="64"/>
      <c r="B146" s="62"/>
      <c r="C146" s="62"/>
      <c r="D146" s="62"/>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row>
    <row r="147" spans="1:44" ht="15.75" customHeight="1" x14ac:dyDescent="0.25">
      <c r="A147" s="64"/>
      <c r="B147" s="62"/>
      <c r="C147" s="62"/>
      <c r="D147" s="62"/>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row>
    <row r="148" spans="1:44" ht="15.75" customHeight="1" x14ac:dyDescent="0.25">
      <c r="A148" s="64"/>
      <c r="B148" s="62"/>
      <c r="C148" s="62"/>
      <c r="D148" s="62"/>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row>
    <row r="149" spans="1:44" ht="15.75" customHeight="1" x14ac:dyDescent="0.25">
      <c r="A149" s="64"/>
      <c r="B149" s="62"/>
      <c r="C149" s="62"/>
      <c r="D149" s="62"/>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row>
    <row r="150" spans="1:44" ht="15.75" customHeight="1" x14ac:dyDescent="0.25">
      <c r="A150" s="64"/>
      <c r="B150" s="62"/>
      <c r="C150" s="62"/>
      <c r="D150" s="62"/>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row>
    <row r="151" spans="1:44" ht="15.75" customHeight="1" x14ac:dyDescent="0.25">
      <c r="A151" s="64"/>
      <c r="B151" s="62"/>
      <c r="C151" s="62"/>
      <c r="D151" s="62"/>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row>
    <row r="152" spans="1:44" ht="15.75" customHeight="1" x14ac:dyDescent="0.25">
      <c r="A152" s="64"/>
      <c r="B152" s="62"/>
      <c r="C152" s="62"/>
      <c r="D152" s="62"/>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row>
    <row r="153" spans="1:44" ht="15.75" customHeight="1" x14ac:dyDescent="0.25">
      <c r="A153" s="64"/>
      <c r="B153" s="62"/>
      <c r="C153" s="62"/>
      <c r="D153" s="62"/>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row>
    <row r="154" spans="1:44" ht="15.75" customHeight="1" x14ac:dyDescent="0.25">
      <c r="A154" s="64"/>
      <c r="B154" s="62"/>
      <c r="C154" s="62"/>
      <c r="D154" s="62"/>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row>
    <row r="155" spans="1:44" ht="15.75" customHeight="1" x14ac:dyDescent="0.25">
      <c r="A155" s="64"/>
      <c r="B155" s="62"/>
      <c r="C155" s="62"/>
      <c r="D155" s="62"/>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row>
    <row r="156" spans="1:44" ht="15.75" customHeight="1" x14ac:dyDescent="0.25">
      <c r="A156" s="64"/>
      <c r="B156" s="62"/>
      <c r="C156" s="62"/>
      <c r="D156" s="62"/>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row>
    <row r="157" spans="1:44" ht="15.75" customHeight="1" x14ac:dyDescent="0.25">
      <c r="A157" s="64"/>
      <c r="B157" s="62"/>
      <c r="C157" s="62"/>
      <c r="D157" s="62"/>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row>
    <row r="158" spans="1:44" ht="15.75" customHeight="1" x14ac:dyDescent="0.25">
      <c r="A158" s="64"/>
      <c r="B158" s="62"/>
      <c r="C158" s="62"/>
      <c r="D158" s="62"/>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row>
    <row r="159" spans="1:44" ht="15.75" customHeight="1" x14ac:dyDescent="0.25">
      <c r="A159" s="64"/>
      <c r="B159" s="62"/>
      <c r="C159" s="62"/>
      <c r="D159" s="62"/>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row>
    <row r="160" spans="1:44" ht="15.75" customHeight="1" x14ac:dyDescent="0.25">
      <c r="A160" s="64"/>
      <c r="B160" s="62"/>
      <c r="C160" s="62"/>
      <c r="D160" s="62"/>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row>
    <row r="161" spans="1:44" ht="15.75" customHeight="1" x14ac:dyDescent="0.25">
      <c r="A161" s="64"/>
      <c r="B161" s="62"/>
      <c r="C161" s="62"/>
      <c r="D161" s="62"/>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row>
    <row r="162" spans="1:44" ht="15.75" customHeight="1" x14ac:dyDescent="0.25">
      <c r="A162" s="64"/>
      <c r="B162" s="62"/>
      <c r="C162" s="62"/>
      <c r="D162" s="62"/>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row>
    <row r="163" spans="1:44" ht="15.75" customHeight="1" x14ac:dyDescent="0.25">
      <c r="A163" s="64"/>
      <c r="B163" s="62"/>
      <c r="C163" s="62"/>
      <c r="D163" s="62"/>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row>
    <row r="164" spans="1:44" ht="15.75" customHeight="1" x14ac:dyDescent="0.25">
      <c r="A164" s="64"/>
      <c r="B164" s="62"/>
      <c r="C164" s="62"/>
      <c r="D164" s="62"/>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row>
    <row r="165" spans="1:44" ht="15.75" customHeight="1" x14ac:dyDescent="0.25">
      <c r="A165" s="64"/>
      <c r="B165" s="62"/>
      <c r="C165" s="62"/>
      <c r="D165" s="62"/>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row>
    <row r="166" spans="1:44" ht="15.75" customHeight="1" x14ac:dyDescent="0.25">
      <c r="A166" s="64"/>
      <c r="B166" s="62"/>
      <c r="C166" s="62"/>
      <c r="D166" s="62"/>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row>
    <row r="167" spans="1:44" ht="15.75" customHeight="1" x14ac:dyDescent="0.25">
      <c r="A167" s="64"/>
      <c r="B167" s="62"/>
      <c r="C167" s="62"/>
      <c r="D167" s="62"/>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row>
    <row r="168" spans="1:44" ht="15.75" customHeight="1" x14ac:dyDescent="0.25">
      <c r="A168" s="64"/>
      <c r="B168" s="62"/>
      <c r="C168" s="62"/>
      <c r="D168" s="62"/>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row>
    <row r="169" spans="1:44" ht="15.75" customHeight="1" x14ac:dyDescent="0.25">
      <c r="A169" s="64"/>
      <c r="B169" s="62"/>
      <c r="C169" s="62"/>
      <c r="D169" s="62"/>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row>
    <row r="170" spans="1:44" ht="15.75" customHeight="1" x14ac:dyDescent="0.25">
      <c r="A170" s="64"/>
      <c r="B170" s="62"/>
      <c r="C170" s="62"/>
      <c r="D170" s="62"/>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row>
    <row r="171" spans="1:44" ht="15.75" customHeight="1" x14ac:dyDescent="0.25">
      <c r="A171" s="64"/>
      <c r="B171" s="62"/>
      <c r="C171" s="62"/>
      <c r="D171" s="62"/>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row>
    <row r="172" spans="1:44" ht="15.75" customHeight="1" x14ac:dyDescent="0.25">
      <c r="A172" s="64"/>
      <c r="B172" s="62"/>
      <c r="C172" s="62"/>
      <c r="D172" s="62"/>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row>
    <row r="173" spans="1:44" ht="15.75" customHeight="1" x14ac:dyDescent="0.25">
      <c r="A173" s="64"/>
      <c r="B173" s="62"/>
      <c r="C173" s="62"/>
      <c r="D173" s="62"/>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row>
    <row r="174" spans="1:44" ht="15.75" customHeight="1" x14ac:dyDescent="0.25">
      <c r="A174" s="64"/>
      <c r="B174" s="62"/>
      <c r="C174" s="62"/>
      <c r="D174" s="62"/>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row>
    <row r="175" spans="1:44" ht="15.75" customHeight="1" x14ac:dyDescent="0.25">
      <c r="A175" s="64"/>
      <c r="B175" s="62"/>
      <c r="C175" s="62"/>
      <c r="D175" s="62"/>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row>
    <row r="176" spans="1:44" ht="15.75" customHeight="1" x14ac:dyDescent="0.25">
      <c r="A176" s="64"/>
      <c r="B176" s="62"/>
      <c r="C176" s="62"/>
      <c r="D176" s="62"/>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row>
    <row r="177" spans="1:44" ht="15.75" customHeight="1" x14ac:dyDescent="0.25">
      <c r="A177" s="64"/>
      <c r="B177" s="62"/>
      <c r="C177" s="62"/>
      <c r="D177" s="62"/>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row>
    <row r="178" spans="1:44" ht="15.75" customHeight="1" x14ac:dyDescent="0.25">
      <c r="A178" s="64"/>
      <c r="B178" s="62"/>
      <c r="C178" s="62"/>
      <c r="D178" s="62"/>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row>
    <row r="179" spans="1:44" ht="15.75" customHeight="1" x14ac:dyDescent="0.25">
      <c r="A179" s="64"/>
      <c r="B179" s="62"/>
      <c r="C179" s="62"/>
      <c r="D179" s="62"/>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row>
    <row r="180" spans="1:44" ht="15.75" customHeight="1" x14ac:dyDescent="0.25">
      <c r="A180" s="64"/>
      <c r="B180" s="62"/>
      <c r="C180" s="62"/>
      <c r="D180" s="62"/>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row>
    <row r="181" spans="1:44" ht="15.75" customHeight="1" x14ac:dyDescent="0.25">
      <c r="A181" s="64"/>
      <c r="B181" s="62"/>
      <c r="C181" s="62"/>
      <c r="D181" s="62"/>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row>
    <row r="182" spans="1:44" ht="15.75" customHeight="1" x14ac:dyDescent="0.25">
      <c r="A182" s="64"/>
      <c r="B182" s="62"/>
      <c r="C182" s="62"/>
      <c r="D182" s="62"/>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row>
    <row r="183" spans="1:44" ht="15.75" customHeight="1" x14ac:dyDescent="0.25">
      <c r="A183" s="64"/>
      <c r="B183" s="62"/>
      <c r="C183" s="62"/>
      <c r="D183" s="62"/>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row>
    <row r="184" spans="1:44" ht="15.75" customHeight="1" x14ac:dyDescent="0.25">
      <c r="A184" s="64"/>
      <c r="B184" s="62"/>
      <c r="C184" s="62"/>
      <c r="D184" s="62"/>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row>
    <row r="185" spans="1:44" ht="15.75" customHeight="1" x14ac:dyDescent="0.25">
      <c r="A185" s="64"/>
      <c r="B185" s="62"/>
      <c r="C185" s="62"/>
      <c r="D185" s="62"/>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row>
    <row r="186" spans="1:44" ht="15.75" customHeight="1" x14ac:dyDescent="0.25">
      <c r="A186" s="64"/>
      <c r="B186" s="62"/>
      <c r="C186" s="62"/>
      <c r="D186" s="62"/>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row>
    <row r="187" spans="1:44" ht="15.75" customHeight="1" x14ac:dyDescent="0.25">
      <c r="A187" s="64"/>
      <c r="B187" s="62"/>
      <c r="C187" s="62"/>
      <c r="D187" s="62"/>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row>
    <row r="188" spans="1:44" ht="15.75" customHeight="1" x14ac:dyDescent="0.25">
      <c r="A188" s="64"/>
      <c r="B188" s="62"/>
      <c r="C188" s="62"/>
      <c r="D188" s="62"/>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row>
    <row r="189" spans="1:44" ht="15.75" customHeight="1" x14ac:dyDescent="0.25">
      <c r="A189" s="64"/>
      <c r="B189" s="62"/>
      <c r="C189" s="62"/>
      <c r="D189" s="62"/>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row>
    <row r="190" spans="1:44" ht="15.75" customHeight="1" x14ac:dyDescent="0.25">
      <c r="A190" s="64"/>
      <c r="B190" s="62"/>
      <c r="C190" s="62"/>
      <c r="D190" s="62"/>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row>
    <row r="191" spans="1:44" ht="15.75" customHeight="1" x14ac:dyDescent="0.25">
      <c r="A191" s="64"/>
      <c r="B191" s="62"/>
      <c r="C191" s="62"/>
      <c r="D191" s="62"/>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row>
    <row r="192" spans="1:44" ht="15.75" customHeight="1" x14ac:dyDescent="0.25">
      <c r="A192" s="64"/>
      <c r="B192" s="62"/>
      <c r="C192" s="62"/>
      <c r="D192" s="62"/>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row>
    <row r="193" spans="1:44" ht="15.75" customHeight="1" x14ac:dyDescent="0.25">
      <c r="A193" s="64"/>
      <c r="B193" s="62"/>
      <c r="C193" s="62"/>
      <c r="D193" s="62"/>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row>
    <row r="194" spans="1:44" ht="15.75" customHeight="1" x14ac:dyDescent="0.25">
      <c r="A194" s="64"/>
      <c r="B194" s="62"/>
      <c r="C194" s="62"/>
      <c r="D194" s="62"/>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row>
    <row r="195" spans="1:44" ht="15.75" customHeight="1" x14ac:dyDescent="0.25">
      <c r="A195" s="64"/>
      <c r="B195" s="62"/>
      <c r="C195" s="62"/>
      <c r="D195" s="62"/>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row>
    <row r="196" spans="1:44" ht="15.75" customHeight="1" x14ac:dyDescent="0.25">
      <c r="A196" s="64"/>
      <c r="B196" s="62"/>
      <c r="C196" s="62"/>
      <c r="D196" s="62"/>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row>
    <row r="197" spans="1:44" ht="15.75" customHeight="1" x14ac:dyDescent="0.25">
      <c r="A197" s="64"/>
      <c r="B197" s="62"/>
      <c r="C197" s="62"/>
      <c r="D197" s="62"/>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row>
    <row r="198" spans="1:44" ht="15.75" customHeight="1" x14ac:dyDescent="0.25">
      <c r="A198" s="64"/>
      <c r="B198" s="62"/>
      <c r="C198" s="62"/>
      <c r="D198" s="62"/>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row>
    <row r="199" spans="1:44" ht="15.75" customHeight="1" x14ac:dyDescent="0.25">
      <c r="A199" s="64"/>
      <c r="B199" s="62"/>
      <c r="C199" s="62"/>
      <c r="D199" s="62"/>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row>
    <row r="200" spans="1:44" ht="15.75" customHeight="1" x14ac:dyDescent="0.25">
      <c r="A200" s="64"/>
      <c r="B200" s="62"/>
      <c r="C200" s="62"/>
      <c r="D200" s="62"/>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row>
    <row r="201" spans="1:44" ht="15.75" customHeight="1" x14ac:dyDescent="0.25">
      <c r="A201" s="64"/>
      <c r="B201" s="62"/>
      <c r="C201" s="62"/>
      <c r="D201" s="62"/>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row>
    <row r="202" spans="1:44" ht="15.75" customHeight="1" x14ac:dyDescent="0.25">
      <c r="A202" s="64"/>
      <c r="B202" s="62"/>
      <c r="C202" s="62"/>
      <c r="D202" s="62"/>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row>
    <row r="203" spans="1:44" ht="15.75" customHeight="1" x14ac:dyDescent="0.25">
      <c r="A203" s="64"/>
      <c r="B203" s="62"/>
      <c r="C203" s="62"/>
      <c r="D203" s="62"/>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row>
    <row r="204" spans="1:44" ht="15.75" customHeight="1" x14ac:dyDescent="0.25">
      <c r="A204" s="64"/>
      <c r="B204" s="62"/>
      <c r="C204" s="62"/>
      <c r="D204" s="62"/>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row>
    <row r="205" spans="1:44" ht="15.75" customHeight="1" x14ac:dyDescent="0.25">
      <c r="A205" s="64"/>
      <c r="B205" s="62"/>
      <c r="C205" s="62"/>
      <c r="D205" s="62"/>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row>
    <row r="206" spans="1:44" ht="15.75" customHeight="1" x14ac:dyDescent="0.25">
      <c r="A206" s="64"/>
      <c r="B206" s="62"/>
      <c r="C206" s="62"/>
      <c r="D206" s="62"/>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row>
    <row r="207" spans="1:44" ht="15.75" customHeight="1" x14ac:dyDescent="0.25">
      <c r="A207" s="64"/>
      <c r="B207" s="62"/>
      <c r="C207" s="62"/>
      <c r="D207" s="62"/>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row>
    <row r="208" spans="1:44" ht="15.75" customHeight="1" x14ac:dyDescent="0.25">
      <c r="A208" s="64"/>
      <c r="B208" s="62"/>
      <c r="C208" s="62"/>
      <c r="D208" s="62"/>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row>
    <row r="209" spans="1:44" ht="15.75" customHeight="1" x14ac:dyDescent="0.25">
      <c r="A209" s="64"/>
      <c r="B209" s="62"/>
      <c r="C209" s="62"/>
      <c r="D209" s="62"/>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row>
    <row r="210" spans="1:44" ht="15.75" customHeight="1" x14ac:dyDescent="0.25">
      <c r="A210" s="64"/>
      <c r="B210" s="62"/>
      <c r="C210" s="62"/>
      <c r="D210" s="62"/>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row>
    <row r="211" spans="1:44" ht="15.75" customHeight="1" x14ac:dyDescent="0.25">
      <c r="A211" s="64"/>
      <c r="B211" s="62"/>
      <c r="C211" s="62"/>
      <c r="D211" s="62"/>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row>
    <row r="212" spans="1:44" ht="15.75" customHeight="1" x14ac:dyDescent="0.25">
      <c r="A212" s="64"/>
      <c r="B212" s="62"/>
      <c r="C212" s="62"/>
      <c r="D212" s="62"/>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row>
    <row r="213" spans="1:44" ht="15.75" customHeight="1" x14ac:dyDescent="0.25">
      <c r="A213" s="64"/>
      <c r="B213" s="62"/>
      <c r="C213" s="62"/>
      <c r="D213" s="62"/>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row>
    <row r="214" spans="1:44" ht="15.75" customHeight="1" x14ac:dyDescent="0.25">
      <c r="A214" s="64"/>
      <c r="B214" s="62"/>
      <c r="C214" s="62"/>
      <c r="D214" s="62"/>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row>
    <row r="215" spans="1:44" ht="15.75" customHeight="1" x14ac:dyDescent="0.25">
      <c r="A215" s="64"/>
      <c r="B215" s="62"/>
      <c r="C215" s="62"/>
      <c r="D215" s="62"/>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row>
    <row r="216" spans="1:44" ht="15.75" customHeight="1" x14ac:dyDescent="0.25">
      <c r="A216" s="64"/>
      <c r="B216" s="62"/>
      <c r="C216" s="62"/>
      <c r="D216" s="62"/>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row>
    <row r="217" spans="1:44" ht="15.75" customHeight="1" x14ac:dyDescent="0.25">
      <c r="A217" s="64"/>
      <c r="B217" s="62"/>
      <c r="C217" s="62"/>
      <c r="D217" s="62"/>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row>
    <row r="218" spans="1:44" ht="15.75" customHeight="1" x14ac:dyDescent="0.25">
      <c r="A218" s="64"/>
      <c r="B218" s="62"/>
      <c r="C218" s="62"/>
      <c r="D218" s="62"/>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row>
    <row r="219" spans="1:44" ht="15.75" customHeight="1" x14ac:dyDescent="0.25">
      <c r="A219" s="64"/>
      <c r="B219" s="62"/>
      <c r="C219" s="62"/>
      <c r="D219" s="62"/>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row>
    <row r="220" spans="1:44" ht="15.75" customHeight="1" x14ac:dyDescent="0.25">
      <c r="A220" s="64"/>
      <c r="B220" s="62"/>
      <c r="C220" s="62"/>
      <c r="D220" s="62"/>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row>
    <row r="221" spans="1:44" ht="15.75" customHeight="1" x14ac:dyDescent="0.25">
      <c r="A221" s="64"/>
      <c r="B221" s="62"/>
      <c r="C221" s="62"/>
      <c r="D221" s="62"/>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row>
    <row r="222" spans="1:44" ht="15.75" customHeight="1" x14ac:dyDescent="0.25">
      <c r="A222" s="64"/>
      <c r="B222" s="62"/>
      <c r="C222" s="62"/>
      <c r="D222" s="62"/>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row>
    <row r="223" spans="1:44" ht="15.75" customHeight="1" x14ac:dyDescent="0.25">
      <c r="A223" s="64"/>
      <c r="B223" s="62"/>
      <c r="C223" s="62"/>
      <c r="D223" s="62"/>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row>
    <row r="224" spans="1:44" ht="15.75" customHeight="1" x14ac:dyDescent="0.25">
      <c r="A224" s="64"/>
      <c r="B224" s="62"/>
      <c r="C224" s="62"/>
      <c r="D224" s="62"/>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row>
    <row r="225" spans="1:44" ht="15.75" customHeight="1" x14ac:dyDescent="0.25">
      <c r="A225" s="64"/>
      <c r="B225" s="62"/>
      <c r="C225" s="62"/>
      <c r="D225" s="62"/>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row>
    <row r="226" spans="1:44" ht="15.75" customHeight="1" x14ac:dyDescent="0.25">
      <c r="A226" s="64"/>
      <c r="B226" s="62"/>
      <c r="C226" s="62"/>
      <c r="D226" s="62"/>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row>
    <row r="227" spans="1:44" ht="15.75" customHeight="1" x14ac:dyDescent="0.25">
      <c r="A227" s="64"/>
      <c r="B227" s="62"/>
      <c r="C227" s="62"/>
      <c r="D227" s="62"/>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row>
    <row r="228" spans="1:44" ht="15.75" customHeight="1" x14ac:dyDescent="0.25">
      <c r="A228" s="64"/>
      <c r="B228" s="62"/>
      <c r="C228" s="62"/>
      <c r="D228" s="62"/>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row>
    <row r="229" spans="1:44" ht="15.75" customHeight="1" x14ac:dyDescent="0.25">
      <c r="A229" s="64"/>
      <c r="B229" s="62"/>
      <c r="C229" s="62"/>
      <c r="D229" s="62"/>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row>
    <row r="230" spans="1:44" ht="15.75" customHeight="1" x14ac:dyDescent="0.25">
      <c r="A230" s="64"/>
      <c r="B230" s="62"/>
      <c r="C230" s="62"/>
      <c r="D230" s="62"/>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row>
    <row r="231" spans="1:44" ht="15.75" customHeight="1" x14ac:dyDescent="0.25">
      <c r="A231" s="64"/>
      <c r="B231" s="62"/>
      <c r="C231" s="62"/>
      <c r="D231" s="62"/>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row>
    <row r="232" spans="1:44" ht="15.75" customHeight="1" x14ac:dyDescent="0.25">
      <c r="A232" s="64"/>
      <c r="B232" s="62"/>
      <c r="C232" s="62"/>
      <c r="D232" s="62"/>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row>
    <row r="233" spans="1:44" ht="15.75" customHeight="1" x14ac:dyDescent="0.25">
      <c r="A233" s="64"/>
      <c r="B233" s="62"/>
      <c r="C233" s="62"/>
      <c r="D233" s="62"/>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row>
    <row r="234" spans="1:44" ht="15.75" customHeight="1" x14ac:dyDescent="0.25">
      <c r="A234" s="64"/>
      <c r="B234" s="62"/>
      <c r="C234" s="62"/>
      <c r="D234" s="62"/>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row>
    <row r="235" spans="1:44" ht="15.75" customHeight="1" x14ac:dyDescent="0.25">
      <c r="A235" s="64"/>
      <c r="B235" s="62"/>
      <c r="C235" s="62"/>
      <c r="D235" s="62"/>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row>
    <row r="236" spans="1:44" ht="15.75" customHeight="1" x14ac:dyDescent="0.25">
      <c r="A236" s="64"/>
      <c r="B236" s="62"/>
      <c r="C236" s="62"/>
      <c r="D236" s="62"/>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row>
    <row r="237" spans="1:44" ht="15.75" customHeight="1" x14ac:dyDescent="0.25">
      <c r="A237" s="64"/>
      <c r="B237" s="62"/>
      <c r="C237" s="62"/>
      <c r="D237" s="62"/>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row>
    <row r="238" spans="1:44" ht="15.75" customHeight="1" x14ac:dyDescent="0.25">
      <c r="A238" s="64"/>
      <c r="B238" s="62"/>
      <c r="C238" s="62"/>
      <c r="D238" s="62"/>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row>
    <row r="239" spans="1:44" ht="15.75" customHeight="1" x14ac:dyDescent="0.25">
      <c r="A239" s="64"/>
      <c r="B239" s="62"/>
      <c r="C239" s="62"/>
      <c r="D239" s="62"/>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row>
    <row r="240" spans="1:44" ht="15.75" customHeight="1" x14ac:dyDescent="0.25">
      <c r="A240" s="64"/>
      <c r="B240" s="62"/>
      <c r="C240" s="62"/>
      <c r="D240" s="62"/>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row>
    <row r="241" spans="1:44" ht="15.75" customHeight="1" x14ac:dyDescent="0.25">
      <c r="A241" s="64"/>
      <c r="B241" s="62"/>
      <c r="C241" s="62"/>
      <c r="D241" s="62"/>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row>
    <row r="242" spans="1:44" ht="15.75" customHeight="1" x14ac:dyDescent="0.25">
      <c r="A242" s="64"/>
      <c r="B242" s="62"/>
      <c r="C242" s="62"/>
      <c r="D242" s="62"/>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row>
    <row r="243" spans="1:44" ht="15.75" customHeight="1" x14ac:dyDescent="0.25">
      <c r="A243" s="64"/>
      <c r="B243" s="62"/>
      <c r="C243" s="62"/>
      <c r="D243" s="62"/>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row>
    <row r="244" spans="1:44" ht="15.75" customHeight="1" x14ac:dyDescent="0.25">
      <c r="A244" s="64"/>
      <c r="B244" s="62"/>
      <c r="C244" s="62"/>
      <c r="D244" s="62"/>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row>
    <row r="245" spans="1:44" ht="15.75" customHeight="1" x14ac:dyDescent="0.25">
      <c r="A245" s="64"/>
      <c r="B245" s="62"/>
      <c r="C245" s="62"/>
      <c r="D245" s="62"/>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row>
    <row r="246" spans="1:44" ht="15.75" customHeight="1" x14ac:dyDescent="0.25">
      <c r="A246" s="64"/>
      <c r="B246" s="62"/>
      <c r="C246" s="62"/>
      <c r="D246" s="62"/>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row>
    <row r="247" spans="1:44" ht="15.75" customHeight="1" x14ac:dyDescent="0.25">
      <c r="A247" s="64"/>
      <c r="B247" s="62"/>
      <c r="C247" s="62"/>
      <c r="D247" s="62"/>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row>
    <row r="248" spans="1:44" ht="15.75" customHeight="1" x14ac:dyDescent="0.25">
      <c r="A248" s="64"/>
      <c r="B248" s="62"/>
      <c r="C248" s="62"/>
      <c r="D248" s="62"/>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row>
    <row r="249" spans="1:44" ht="15.75" customHeight="1" x14ac:dyDescent="0.25">
      <c r="A249" s="64"/>
      <c r="B249" s="62"/>
      <c r="C249" s="62"/>
      <c r="D249" s="62"/>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row>
    <row r="250" spans="1:44" ht="15.75" customHeight="1" x14ac:dyDescent="0.25">
      <c r="A250" s="64"/>
      <c r="B250" s="62"/>
      <c r="C250" s="62"/>
      <c r="D250" s="62"/>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row>
    <row r="251" spans="1:44" ht="15.75" customHeight="1" x14ac:dyDescent="0.25">
      <c r="A251" s="64"/>
      <c r="B251" s="62"/>
      <c r="C251" s="62"/>
      <c r="D251" s="62"/>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row>
    <row r="252" spans="1:44" ht="15.75" customHeight="1" x14ac:dyDescent="0.25">
      <c r="A252" s="64"/>
      <c r="B252" s="62"/>
      <c r="C252" s="62"/>
      <c r="D252" s="62"/>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row>
    <row r="253" spans="1:44" ht="15.75" customHeight="1" x14ac:dyDescent="0.25">
      <c r="A253" s="64"/>
      <c r="B253" s="62"/>
      <c r="C253" s="62"/>
      <c r="D253" s="62"/>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row>
    <row r="254" spans="1:44" ht="15.75" customHeight="1" x14ac:dyDescent="0.25">
      <c r="A254" s="64"/>
      <c r="B254" s="62"/>
      <c r="C254" s="62"/>
      <c r="D254" s="62"/>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row>
    <row r="255" spans="1:44" ht="15.75" customHeight="1" x14ac:dyDescent="0.25">
      <c r="A255" s="64"/>
      <c r="B255" s="62"/>
      <c r="C255" s="62"/>
      <c r="D255" s="62"/>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row>
    <row r="256" spans="1:44" ht="15.75" customHeight="1" x14ac:dyDescent="0.25">
      <c r="A256" s="64"/>
      <c r="B256" s="62"/>
      <c r="C256" s="62"/>
      <c r="D256" s="62"/>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row>
    <row r="257" spans="1:44" ht="15.75" customHeight="1" x14ac:dyDescent="0.25">
      <c r="A257" s="64"/>
      <c r="B257" s="62"/>
      <c r="C257" s="62"/>
      <c r="D257" s="62"/>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row>
    <row r="258" spans="1:44" ht="15.75" customHeight="1" x14ac:dyDescent="0.25">
      <c r="A258" s="64"/>
      <c r="B258" s="62"/>
      <c r="C258" s="62"/>
      <c r="D258" s="62"/>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row>
    <row r="259" spans="1:44" ht="15.75" customHeight="1" x14ac:dyDescent="0.25">
      <c r="A259" s="64"/>
      <c r="B259" s="62"/>
      <c r="C259" s="62"/>
      <c r="D259" s="62"/>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row>
    <row r="260" spans="1:44" ht="15.75" customHeight="1" x14ac:dyDescent="0.25">
      <c r="A260" s="64"/>
      <c r="B260" s="62"/>
      <c r="C260" s="62"/>
      <c r="D260" s="62"/>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row>
    <row r="261" spans="1:44" ht="15.75" customHeight="1" x14ac:dyDescent="0.25">
      <c r="A261" s="64"/>
      <c r="B261" s="62"/>
      <c r="C261" s="62"/>
      <c r="D261" s="62"/>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row>
    <row r="262" spans="1:44" ht="15.75" customHeight="1" x14ac:dyDescent="0.25">
      <c r="A262" s="64"/>
      <c r="B262" s="62"/>
      <c r="C262" s="62"/>
      <c r="D262" s="62"/>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row>
    <row r="263" spans="1:44" ht="15.75" customHeight="1" x14ac:dyDescent="0.25">
      <c r="A263" s="64"/>
      <c r="B263" s="62"/>
      <c r="C263" s="62"/>
      <c r="D263" s="62"/>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row>
    <row r="264" spans="1:44" ht="15.75" customHeight="1" x14ac:dyDescent="0.25">
      <c r="A264" s="64"/>
      <c r="B264" s="62"/>
      <c r="C264" s="62"/>
      <c r="D264" s="62"/>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row>
    <row r="265" spans="1:44" ht="15.75" customHeight="1" x14ac:dyDescent="0.25">
      <c r="A265" s="64"/>
      <c r="B265" s="62"/>
      <c r="C265" s="62"/>
      <c r="D265" s="62"/>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row>
    <row r="266" spans="1:44" ht="15.75" customHeight="1" x14ac:dyDescent="0.25">
      <c r="A266" s="64"/>
      <c r="B266" s="62"/>
      <c r="C266" s="62"/>
      <c r="D266" s="62"/>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row>
    <row r="267" spans="1:44" ht="15.75" customHeight="1" x14ac:dyDescent="0.25">
      <c r="A267" s="64"/>
      <c r="B267" s="62"/>
      <c r="C267" s="62"/>
      <c r="D267" s="62"/>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row>
    <row r="268" spans="1:44" ht="15.75" customHeight="1" x14ac:dyDescent="0.25">
      <c r="A268" s="64"/>
      <c r="B268" s="62"/>
      <c r="C268" s="62"/>
      <c r="D268" s="62"/>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row>
    <row r="269" spans="1:44" ht="15.75" customHeight="1" x14ac:dyDescent="0.25">
      <c r="A269" s="64"/>
      <c r="B269" s="62"/>
      <c r="C269" s="62"/>
      <c r="D269" s="62"/>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row>
    <row r="270" spans="1:44" ht="15.75" customHeight="1" x14ac:dyDescent="0.25">
      <c r="A270" s="64"/>
      <c r="B270" s="62"/>
      <c r="C270" s="62"/>
      <c r="D270" s="62"/>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row>
    <row r="271" spans="1:44" ht="15.75" customHeight="1" x14ac:dyDescent="0.25">
      <c r="A271" s="64"/>
      <c r="B271" s="62"/>
      <c r="C271" s="62"/>
      <c r="D271" s="62"/>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row>
    <row r="272" spans="1:44" ht="15.75" customHeight="1" x14ac:dyDescent="0.25">
      <c r="A272" s="64"/>
      <c r="B272" s="62"/>
      <c r="C272" s="62"/>
      <c r="D272" s="62"/>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row>
    <row r="273" spans="1:44" ht="15.75" customHeight="1" x14ac:dyDescent="0.25">
      <c r="A273" s="64"/>
      <c r="B273" s="62"/>
      <c r="C273" s="62"/>
      <c r="D273" s="62"/>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row>
    <row r="274" spans="1:44" ht="15.75" customHeight="1" x14ac:dyDescent="0.25">
      <c r="A274" s="64"/>
      <c r="B274" s="62"/>
      <c r="C274" s="62"/>
      <c r="D274" s="62"/>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row>
    <row r="275" spans="1:44" ht="15.75" customHeight="1" x14ac:dyDescent="0.25">
      <c r="A275" s="64"/>
      <c r="B275" s="62"/>
      <c r="C275" s="62"/>
      <c r="D275" s="62"/>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row>
    <row r="276" spans="1:44" ht="15.75" customHeight="1" x14ac:dyDescent="0.25">
      <c r="A276" s="64"/>
      <c r="B276" s="62"/>
      <c r="C276" s="62"/>
      <c r="D276" s="62"/>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row>
    <row r="277" spans="1:44" ht="15.75" customHeight="1" x14ac:dyDescent="0.25">
      <c r="A277" s="64"/>
      <c r="B277" s="62"/>
      <c r="C277" s="62"/>
      <c r="D277" s="62"/>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row>
    <row r="278" spans="1:44" ht="15.75" customHeight="1" x14ac:dyDescent="0.25">
      <c r="A278" s="64"/>
      <c r="B278" s="62"/>
      <c r="C278" s="62"/>
      <c r="D278" s="62"/>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row>
    <row r="279" spans="1:44" ht="15.75" customHeight="1" x14ac:dyDescent="0.25">
      <c r="A279" s="64"/>
      <c r="B279" s="62"/>
      <c r="C279" s="62"/>
      <c r="D279" s="62"/>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row>
    <row r="280" spans="1:44" ht="15.75" customHeight="1" x14ac:dyDescent="0.25">
      <c r="A280" s="64"/>
      <c r="B280" s="62"/>
      <c r="C280" s="62"/>
      <c r="D280" s="62"/>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row>
    <row r="281" spans="1:44" ht="15.75" customHeight="1" x14ac:dyDescent="0.25">
      <c r="A281" s="64"/>
      <c r="B281" s="62"/>
      <c r="C281" s="62"/>
      <c r="D281" s="62"/>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row>
    <row r="282" spans="1:44" ht="15.75" customHeight="1" x14ac:dyDescent="0.25">
      <c r="A282" s="64"/>
      <c r="B282" s="62"/>
      <c r="C282" s="62"/>
      <c r="D282" s="62"/>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row>
    <row r="283" spans="1:44" ht="15.75" customHeight="1" x14ac:dyDescent="0.25">
      <c r="A283" s="64"/>
      <c r="B283" s="62"/>
      <c r="C283" s="62"/>
      <c r="D283" s="62"/>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row>
    <row r="284" spans="1:44" ht="15.75" customHeight="1" x14ac:dyDescent="0.25">
      <c r="A284" s="64"/>
      <c r="B284" s="62"/>
      <c r="C284" s="62"/>
      <c r="D284" s="62"/>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row>
    <row r="285" spans="1:44" ht="15.75" customHeight="1" x14ac:dyDescent="0.25">
      <c r="A285" s="64"/>
      <c r="B285" s="62"/>
      <c r="C285" s="62"/>
      <c r="D285" s="62"/>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row>
    <row r="286" spans="1:44" ht="15.75" customHeight="1" x14ac:dyDescent="0.25">
      <c r="A286" s="64"/>
      <c r="B286" s="62"/>
      <c r="C286" s="62"/>
      <c r="D286" s="62"/>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row>
    <row r="287" spans="1:44" ht="15.75" customHeight="1" x14ac:dyDescent="0.25">
      <c r="A287" s="64"/>
      <c r="B287" s="62"/>
      <c r="C287" s="62"/>
      <c r="D287" s="62"/>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row>
    <row r="288" spans="1:44" ht="15.75" customHeight="1" x14ac:dyDescent="0.25">
      <c r="A288" s="64"/>
      <c r="B288" s="62"/>
      <c r="C288" s="62"/>
      <c r="D288" s="62"/>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row>
    <row r="289" spans="1:44" ht="15.75" customHeight="1" x14ac:dyDescent="0.25">
      <c r="A289" s="64"/>
      <c r="B289" s="62"/>
      <c r="C289" s="62"/>
      <c r="D289" s="62"/>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row>
    <row r="290" spans="1:44" ht="15.75" customHeight="1" x14ac:dyDescent="0.25">
      <c r="A290" s="64"/>
      <c r="B290" s="62"/>
      <c r="C290" s="62"/>
      <c r="D290" s="62"/>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row>
    <row r="291" spans="1:44" ht="15.75" customHeight="1" x14ac:dyDescent="0.25">
      <c r="A291" s="64"/>
      <c r="B291" s="62"/>
      <c r="C291" s="62"/>
      <c r="D291" s="62"/>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row>
    <row r="292" spans="1:44" ht="15.75" customHeight="1" x14ac:dyDescent="0.25">
      <c r="A292" s="64"/>
      <c r="B292" s="62"/>
      <c r="C292" s="62"/>
      <c r="D292" s="62"/>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row>
    <row r="293" spans="1:44" ht="15.75" customHeight="1" x14ac:dyDescent="0.25">
      <c r="A293" s="64"/>
      <c r="B293" s="62"/>
      <c r="C293" s="62"/>
      <c r="D293" s="62"/>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row>
    <row r="294" spans="1:44" ht="15.75" customHeight="1" x14ac:dyDescent="0.25">
      <c r="A294" s="64"/>
      <c r="B294" s="62"/>
      <c r="C294" s="62"/>
      <c r="D294" s="62"/>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row>
    <row r="295" spans="1:44" ht="15.75" customHeight="1" x14ac:dyDescent="0.25">
      <c r="A295" s="64"/>
      <c r="B295" s="62"/>
      <c r="C295" s="62"/>
      <c r="D295" s="62"/>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row>
    <row r="296" spans="1:44" ht="15.75" customHeight="1" x14ac:dyDescent="0.25">
      <c r="A296" s="64"/>
      <c r="B296" s="62"/>
      <c r="C296" s="62"/>
      <c r="D296" s="62"/>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row>
    <row r="297" spans="1:44" ht="15.75" customHeight="1" x14ac:dyDescent="0.25">
      <c r="A297" s="64"/>
      <c r="B297" s="62"/>
      <c r="C297" s="62"/>
      <c r="D297" s="62"/>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row>
    <row r="298" spans="1:44" ht="15.75" customHeight="1" x14ac:dyDescent="0.25">
      <c r="A298" s="64"/>
      <c r="B298" s="62"/>
      <c r="C298" s="62"/>
      <c r="D298" s="62"/>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row>
    <row r="299" spans="1:44" ht="15.75" customHeight="1" x14ac:dyDescent="0.25">
      <c r="A299" s="64"/>
      <c r="B299" s="62"/>
      <c r="C299" s="62"/>
      <c r="D299" s="62"/>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row>
    <row r="300" spans="1:44" ht="15.75" customHeight="1" x14ac:dyDescent="0.25">
      <c r="A300" s="64"/>
      <c r="B300" s="62"/>
      <c r="C300" s="62"/>
      <c r="D300" s="62"/>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row>
    <row r="301" spans="1:44" ht="15.75" customHeight="1" x14ac:dyDescent="0.25">
      <c r="A301" s="64"/>
      <c r="B301" s="62"/>
      <c r="C301" s="62"/>
      <c r="D301" s="62"/>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row>
    <row r="302" spans="1:44" ht="15.75" customHeight="1" x14ac:dyDescent="0.25">
      <c r="A302" s="64"/>
      <c r="B302" s="62"/>
      <c r="C302" s="62"/>
      <c r="D302" s="62"/>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row>
    <row r="303" spans="1:44" ht="15.75" customHeight="1" x14ac:dyDescent="0.25">
      <c r="A303" s="64"/>
      <c r="B303" s="62"/>
      <c r="C303" s="62"/>
      <c r="D303" s="62"/>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row>
    <row r="304" spans="1:44" ht="15.75" customHeight="1" x14ac:dyDescent="0.25">
      <c r="A304" s="64"/>
      <c r="B304" s="62"/>
      <c r="C304" s="62"/>
      <c r="D304" s="62"/>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row>
    <row r="305" spans="1:44" ht="15.75" customHeight="1" x14ac:dyDescent="0.25">
      <c r="A305" s="64"/>
      <c r="B305" s="62"/>
      <c r="C305" s="62"/>
      <c r="D305" s="62"/>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row>
    <row r="306" spans="1:44" ht="15.75" customHeight="1" x14ac:dyDescent="0.25">
      <c r="A306" s="64"/>
      <c r="B306" s="62"/>
      <c r="C306" s="62"/>
      <c r="D306" s="62"/>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row>
    <row r="307" spans="1:44" ht="15.75" customHeight="1" x14ac:dyDescent="0.25">
      <c r="A307" s="64"/>
      <c r="B307" s="62"/>
      <c r="C307" s="62"/>
      <c r="D307" s="62"/>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row>
    <row r="308" spans="1:44" ht="15.75" customHeight="1" x14ac:dyDescent="0.25">
      <c r="A308" s="64"/>
      <c r="B308" s="62"/>
      <c r="C308" s="62"/>
      <c r="D308" s="62"/>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row>
    <row r="309" spans="1:44" ht="15.75" customHeight="1" x14ac:dyDescent="0.25">
      <c r="A309" s="64"/>
      <c r="B309" s="62"/>
      <c r="C309" s="62"/>
      <c r="D309" s="62"/>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row>
    <row r="310" spans="1:44" ht="15.75" customHeight="1" x14ac:dyDescent="0.25">
      <c r="A310" s="64"/>
      <c r="B310" s="62"/>
      <c r="C310" s="62"/>
      <c r="D310" s="62"/>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row>
    <row r="311" spans="1:44" ht="15.75" customHeight="1" x14ac:dyDescent="0.25">
      <c r="A311" s="64"/>
      <c r="B311" s="62"/>
      <c r="C311" s="62"/>
      <c r="D311" s="62"/>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row>
    <row r="312" spans="1:44" ht="15.75" customHeight="1" x14ac:dyDescent="0.25">
      <c r="A312" s="64"/>
      <c r="B312" s="62"/>
      <c r="C312" s="62"/>
      <c r="D312" s="62"/>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row>
    <row r="313" spans="1:44" ht="15.75" customHeight="1" x14ac:dyDescent="0.25">
      <c r="A313" s="64"/>
      <c r="B313" s="62"/>
      <c r="C313" s="62"/>
      <c r="D313" s="62"/>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row>
    <row r="314" spans="1:44" ht="15.75" customHeight="1" x14ac:dyDescent="0.25">
      <c r="A314" s="64"/>
      <c r="B314" s="62"/>
      <c r="C314" s="62"/>
      <c r="D314" s="62"/>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row>
    <row r="315" spans="1:44" ht="15.75" customHeight="1" x14ac:dyDescent="0.25">
      <c r="A315" s="64"/>
      <c r="B315" s="62"/>
      <c r="C315" s="62"/>
      <c r="D315" s="62"/>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row>
    <row r="316" spans="1:44" ht="15.75" customHeight="1" x14ac:dyDescent="0.25">
      <c r="A316" s="64"/>
      <c r="B316" s="62"/>
      <c r="C316" s="62"/>
      <c r="D316" s="62"/>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58"/>
      <c r="AH316" s="58"/>
      <c r="AI316" s="58"/>
      <c r="AJ316" s="58"/>
      <c r="AK316" s="58"/>
      <c r="AL316" s="58"/>
      <c r="AM316" s="58"/>
      <c r="AN316" s="58"/>
      <c r="AO316" s="58"/>
      <c r="AP316" s="58"/>
      <c r="AQ316" s="58"/>
      <c r="AR316" s="58"/>
    </row>
    <row r="317" spans="1:44" ht="15.75" customHeight="1" x14ac:dyDescent="0.25">
      <c r="A317" s="64"/>
      <c r="B317" s="62"/>
      <c r="C317" s="62"/>
      <c r="D317" s="62"/>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58"/>
      <c r="AK317" s="58"/>
      <c r="AL317" s="58"/>
      <c r="AM317" s="58"/>
      <c r="AN317" s="58"/>
      <c r="AO317" s="58"/>
      <c r="AP317" s="58"/>
      <c r="AQ317" s="58"/>
      <c r="AR317" s="58"/>
    </row>
    <row r="318" spans="1:44" ht="15.75" customHeight="1" x14ac:dyDescent="0.25">
      <c r="A318" s="64"/>
      <c r="B318" s="62"/>
      <c r="C318" s="62"/>
      <c r="D318" s="62"/>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c r="AG318" s="58"/>
      <c r="AH318" s="58"/>
      <c r="AI318" s="58"/>
      <c r="AJ318" s="58"/>
      <c r="AK318" s="58"/>
      <c r="AL318" s="58"/>
      <c r="AM318" s="58"/>
      <c r="AN318" s="58"/>
      <c r="AO318" s="58"/>
      <c r="AP318" s="58"/>
      <c r="AQ318" s="58"/>
      <c r="AR318" s="58"/>
    </row>
    <row r="319" spans="1:44" ht="15.75" customHeight="1" x14ac:dyDescent="0.25">
      <c r="A319" s="64"/>
      <c r="B319" s="62"/>
      <c r="C319" s="62"/>
      <c r="D319" s="62"/>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c r="AG319" s="58"/>
      <c r="AH319" s="58"/>
      <c r="AI319" s="58"/>
      <c r="AJ319" s="58"/>
      <c r="AK319" s="58"/>
      <c r="AL319" s="58"/>
      <c r="AM319" s="58"/>
      <c r="AN319" s="58"/>
      <c r="AO319" s="58"/>
      <c r="AP319" s="58"/>
      <c r="AQ319" s="58"/>
      <c r="AR319" s="58"/>
    </row>
    <row r="320" spans="1:44" ht="15.75" customHeight="1" x14ac:dyDescent="0.25">
      <c r="A320" s="64"/>
      <c r="B320" s="62"/>
      <c r="C320" s="62"/>
      <c r="D320" s="62"/>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c r="AI320" s="58"/>
      <c r="AJ320" s="58"/>
      <c r="AK320" s="58"/>
      <c r="AL320" s="58"/>
      <c r="AM320" s="58"/>
      <c r="AN320" s="58"/>
      <c r="AO320" s="58"/>
      <c r="AP320" s="58"/>
      <c r="AQ320" s="58"/>
      <c r="AR320" s="58"/>
    </row>
    <row r="321" spans="1:44" ht="15.75" customHeight="1" x14ac:dyDescent="0.25">
      <c r="A321" s="64"/>
      <c r="B321" s="62"/>
      <c r="C321" s="62"/>
      <c r="D321" s="62"/>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c r="AG321" s="58"/>
      <c r="AH321" s="58"/>
      <c r="AI321" s="58"/>
      <c r="AJ321" s="58"/>
      <c r="AK321" s="58"/>
      <c r="AL321" s="58"/>
      <c r="AM321" s="58"/>
      <c r="AN321" s="58"/>
      <c r="AO321" s="58"/>
      <c r="AP321" s="58"/>
      <c r="AQ321" s="58"/>
      <c r="AR321" s="58"/>
    </row>
    <row r="322" spans="1:44" ht="15.75" customHeight="1" x14ac:dyDescent="0.25">
      <c r="A322" s="64"/>
      <c r="B322" s="62"/>
      <c r="C322" s="62"/>
      <c r="D322" s="62"/>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c r="AG322" s="58"/>
      <c r="AH322" s="58"/>
      <c r="AI322" s="58"/>
      <c r="AJ322" s="58"/>
      <c r="AK322" s="58"/>
      <c r="AL322" s="58"/>
      <c r="AM322" s="58"/>
      <c r="AN322" s="58"/>
      <c r="AO322" s="58"/>
      <c r="AP322" s="58"/>
      <c r="AQ322" s="58"/>
      <c r="AR322" s="58"/>
    </row>
    <row r="323" spans="1:44" ht="15.75" customHeight="1" x14ac:dyDescent="0.25">
      <c r="A323" s="64"/>
      <c r="B323" s="62"/>
      <c r="C323" s="62"/>
      <c r="D323" s="62"/>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c r="AG323" s="58"/>
      <c r="AH323" s="58"/>
      <c r="AI323" s="58"/>
      <c r="AJ323" s="58"/>
      <c r="AK323" s="58"/>
      <c r="AL323" s="58"/>
      <c r="AM323" s="58"/>
      <c r="AN323" s="58"/>
      <c r="AO323" s="58"/>
      <c r="AP323" s="58"/>
      <c r="AQ323" s="58"/>
      <c r="AR323" s="58"/>
    </row>
    <row r="324" spans="1:44" ht="15.75" customHeight="1" x14ac:dyDescent="0.25">
      <c r="A324" s="64"/>
      <c r="B324" s="62"/>
      <c r="C324" s="62"/>
      <c r="D324" s="62"/>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c r="AE324" s="58"/>
      <c r="AF324" s="58"/>
      <c r="AG324" s="58"/>
      <c r="AH324" s="58"/>
      <c r="AI324" s="58"/>
      <c r="AJ324" s="58"/>
      <c r="AK324" s="58"/>
      <c r="AL324" s="58"/>
      <c r="AM324" s="58"/>
      <c r="AN324" s="58"/>
      <c r="AO324" s="58"/>
      <c r="AP324" s="58"/>
      <c r="AQ324" s="58"/>
      <c r="AR324" s="58"/>
    </row>
    <row r="325" spans="1:44" ht="15.75" customHeight="1" x14ac:dyDescent="0.25">
      <c r="A325" s="64"/>
      <c r="B325" s="62"/>
      <c r="C325" s="62"/>
      <c r="D325" s="62"/>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c r="AG325" s="58"/>
      <c r="AH325" s="58"/>
      <c r="AI325" s="58"/>
      <c r="AJ325" s="58"/>
      <c r="AK325" s="58"/>
      <c r="AL325" s="58"/>
      <c r="AM325" s="58"/>
      <c r="AN325" s="58"/>
      <c r="AO325" s="58"/>
      <c r="AP325" s="58"/>
      <c r="AQ325" s="58"/>
      <c r="AR325" s="58"/>
    </row>
    <row r="326" spans="1:44" ht="15.75" customHeight="1" x14ac:dyDescent="0.25">
      <c r="A326" s="64"/>
      <c r="B326" s="62"/>
      <c r="C326" s="62"/>
      <c r="D326" s="62"/>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c r="AG326" s="58"/>
      <c r="AH326" s="58"/>
      <c r="AI326" s="58"/>
      <c r="AJ326" s="58"/>
      <c r="AK326" s="58"/>
      <c r="AL326" s="58"/>
      <c r="AM326" s="58"/>
      <c r="AN326" s="58"/>
      <c r="AO326" s="58"/>
      <c r="AP326" s="58"/>
      <c r="AQ326" s="58"/>
      <c r="AR326" s="58"/>
    </row>
    <row r="327" spans="1:44" ht="15.75" customHeight="1" x14ac:dyDescent="0.25">
      <c r="A327" s="64"/>
      <c r="B327" s="62"/>
      <c r="C327" s="62"/>
      <c r="D327" s="62"/>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c r="AG327" s="58"/>
      <c r="AH327" s="58"/>
      <c r="AI327" s="58"/>
      <c r="AJ327" s="58"/>
      <c r="AK327" s="58"/>
      <c r="AL327" s="58"/>
      <c r="AM327" s="58"/>
      <c r="AN327" s="58"/>
      <c r="AO327" s="58"/>
      <c r="AP327" s="58"/>
      <c r="AQ327" s="58"/>
      <c r="AR327" s="58"/>
    </row>
    <row r="328" spans="1:44" ht="15.75" customHeight="1" x14ac:dyDescent="0.25">
      <c r="A328" s="64"/>
      <c r="B328" s="62"/>
      <c r="C328" s="62"/>
      <c r="D328" s="62"/>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8"/>
      <c r="AI328" s="58"/>
      <c r="AJ328" s="58"/>
      <c r="AK328" s="58"/>
      <c r="AL328" s="58"/>
      <c r="AM328" s="58"/>
      <c r="AN328" s="58"/>
      <c r="AO328" s="58"/>
      <c r="AP328" s="58"/>
      <c r="AQ328" s="58"/>
      <c r="AR328" s="58"/>
    </row>
    <row r="329" spans="1:44" ht="15.75" customHeight="1" x14ac:dyDescent="0.25">
      <c r="A329" s="64"/>
      <c r="B329" s="62"/>
      <c r="C329" s="62"/>
      <c r="D329" s="62"/>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c r="AI329" s="58"/>
      <c r="AJ329" s="58"/>
      <c r="AK329" s="58"/>
      <c r="AL329" s="58"/>
      <c r="AM329" s="58"/>
      <c r="AN329" s="58"/>
      <c r="AO329" s="58"/>
      <c r="AP329" s="58"/>
      <c r="AQ329" s="58"/>
      <c r="AR329" s="58"/>
    </row>
    <row r="330" spans="1:44" ht="15.75" customHeight="1" x14ac:dyDescent="0.25">
      <c r="A330" s="64"/>
      <c r="B330" s="62"/>
      <c r="C330" s="62"/>
      <c r="D330" s="62"/>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c r="AG330" s="58"/>
      <c r="AH330" s="58"/>
      <c r="AI330" s="58"/>
      <c r="AJ330" s="58"/>
      <c r="AK330" s="58"/>
      <c r="AL330" s="58"/>
      <c r="AM330" s="58"/>
      <c r="AN330" s="58"/>
      <c r="AO330" s="58"/>
      <c r="AP330" s="58"/>
      <c r="AQ330" s="58"/>
      <c r="AR330" s="58"/>
    </row>
    <row r="331" spans="1:44" ht="15.75" customHeight="1" x14ac:dyDescent="0.25">
      <c r="A331" s="64"/>
      <c r="B331" s="62"/>
      <c r="C331" s="62"/>
      <c r="D331" s="62"/>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c r="AG331" s="58"/>
      <c r="AH331" s="58"/>
      <c r="AI331" s="58"/>
      <c r="AJ331" s="58"/>
      <c r="AK331" s="58"/>
      <c r="AL331" s="58"/>
      <c r="AM331" s="58"/>
      <c r="AN331" s="58"/>
      <c r="AO331" s="58"/>
      <c r="AP331" s="58"/>
      <c r="AQ331" s="58"/>
      <c r="AR331" s="58"/>
    </row>
    <row r="332" spans="1:44" ht="15.75" customHeight="1" x14ac:dyDescent="0.25">
      <c r="A332" s="64"/>
      <c r="B332" s="62"/>
      <c r="C332" s="62"/>
      <c r="D332" s="62"/>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8"/>
      <c r="AI332" s="58"/>
      <c r="AJ332" s="58"/>
      <c r="AK332" s="58"/>
      <c r="AL332" s="58"/>
      <c r="AM332" s="58"/>
      <c r="AN332" s="58"/>
      <c r="AO332" s="58"/>
      <c r="AP332" s="58"/>
      <c r="AQ332" s="58"/>
      <c r="AR332" s="58"/>
    </row>
    <row r="333" spans="1:44" ht="15.75" customHeight="1" x14ac:dyDescent="0.25">
      <c r="A333" s="64"/>
      <c r="B333" s="62"/>
      <c r="C333" s="62"/>
      <c r="D333" s="62"/>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E333" s="58"/>
      <c r="AF333" s="58"/>
      <c r="AG333" s="58"/>
      <c r="AH333" s="58"/>
      <c r="AI333" s="58"/>
      <c r="AJ333" s="58"/>
      <c r="AK333" s="58"/>
      <c r="AL333" s="58"/>
      <c r="AM333" s="58"/>
      <c r="AN333" s="58"/>
      <c r="AO333" s="58"/>
      <c r="AP333" s="58"/>
      <c r="AQ333" s="58"/>
      <c r="AR333" s="58"/>
    </row>
    <row r="334" spans="1:44" ht="15.75" customHeight="1" x14ac:dyDescent="0.25">
      <c r="A334" s="64"/>
      <c r="B334" s="62"/>
      <c r="C334" s="62"/>
      <c r="D334" s="62"/>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E334" s="58"/>
      <c r="AF334" s="58"/>
      <c r="AG334" s="58"/>
      <c r="AH334" s="58"/>
      <c r="AI334" s="58"/>
      <c r="AJ334" s="58"/>
      <c r="AK334" s="58"/>
      <c r="AL334" s="58"/>
      <c r="AM334" s="58"/>
      <c r="AN334" s="58"/>
      <c r="AO334" s="58"/>
      <c r="AP334" s="58"/>
      <c r="AQ334" s="58"/>
      <c r="AR334" s="58"/>
    </row>
    <row r="335" spans="1:44" ht="15.75" customHeight="1" x14ac:dyDescent="0.25">
      <c r="A335" s="64"/>
      <c r="B335" s="62"/>
      <c r="C335" s="62"/>
      <c r="D335" s="62"/>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c r="AJ335" s="58"/>
      <c r="AK335" s="58"/>
      <c r="AL335" s="58"/>
      <c r="AM335" s="58"/>
      <c r="AN335" s="58"/>
      <c r="AO335" s="58"/>
      <c r="AP335" s="58"/>
      <c r="AQ335" s="58"/>
      <c r="AR335" s="58"/>
    </row>
    <row r="336" spans="1:44" ht="15.75" customHeight="1" x14ac:dyDescent="0.25">
      <c r="A336" s="64"/>
      <c r="B336" s="62"/>
      <c r="C336" s="62"/>
      <c r="D336" s="62"/>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E336" s="58"/>
      <c r="AF336" s="58"/>
      <c r="AG336" s="58"/>
      <c r="AH336" s="58"/>
      <c r="AI336" s="58"/>
      <c r="AJ336" s="58"/>
      <c r="AK336" s="58"/>
      <c r="AL336" s="58"/>
      <c r="AM336" s="58"/>
      <c r="AN336" s="58"/>
      <c r="AO336" s="58"/>
      <c r="AP336" s="58"/>
      <c r="AQ336" s="58"/>
      <c r="AR336" s="58"/>
    </row>
    <row r="337" spans="1:44" ht="15.75" customHeight="1" x14ac:dyDescent="0.25">
      <c r="A337" s="64"/>
      <c r="B337" s="62"/>
      <c r="C337" s="62"/>
      <c r="D337" s="62"/>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E337" s="58"/>
      <c r="AF337" s="58"/>
      <c r="AG337" s="58"/>
      <c r="AH337" s="58"/>
      <c r="AI337" s="58"/>
      <c r="AJ337" s="58"/>
      <c r="AK337" s="58"/>
      <c r="AL337" s="58"/>
      <c r="AM337" s="58"/>
      <c r="AN337" s="58"/>
      <c r="AO337" s="58"/>
      <c r="AP337" s="58"/>
      <c r="AQ337" s="58"/>
      <c r="AR337" s="58"/>
    </row>
    <row r="338" spans="1:44" ht="15.75" customHeight="1" x14ac:dyDescent="0.25">
      <c r="A338" s="64"/>
      <c r="B338" s="62"/>
      <c r="C338" s="62"/>
      <c r="D338" s="62"/>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E338" s="58"/>
      <c r="AF338" s="58"/>
      <c r="AG338" s="58"/>
      <c r="AH338" s="58"/>
      <c r="AI338" s="58"/>
      <c r="AJ338" s="58"/>
      <c r="AK338" s="58"/>
      <c r="AL338" s="58"/>
      <c r="AM338" s="58"/>
      <c r="AN338" s="58"/>
      <c r="AO338" s="58"/>
      <c r="AP338" s="58"/>
      <c r="AQ338" s="58"/>
      <c r="AR338" s="58"/>
    </row>
    <row r="339" spans="1:44" ht="15.75" customHeight="1" x14ac:dyDescent="0.25">
      <c r="A339" s="64"/>
      <c r="B339" s="62"/>
      <c r="C339" s="62"/>
      <c r="D339" s="62"/>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E339" s="58"/>
      <c r="AF339" s="58"/>
      <c r="AG339" s="58"/>
      <c r="AH339" s="58"/>
      <c r="AI339" s="58"/>
      <c r="AJ339" s="58"/>
      <c r="AK339" s="58"/>
      <c r="AL339" s="58"/>
      <c r="AM339" s="58"/>
      <c r="AN339" s="58"/>
      <c r="AO339" s="58"/>
      <c r="AP339" s="58"/>
      <c r="AQ339" s="58"/>
      <c r="AR339" s="58"/>
    </row>
    <row r="340" spans="1:44" ht="15.75" customHeight="1" x14ac:dyDescent="0.25">
      <c r="A340" s="64"/>
      <c r="B340" s="62"/>
      <c r="C340" s="62"/>
      <c r="D340" s="62"/>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c r="AG340" s="58"/>
      <c r="AH340" s="58"/>
      <c r="AI340" s="58"/>
      <c r="AJ340" s="58"/>
      <c r="AK340" s="58"/>
      <c r="AL340" s="58"/>
      <c r="AM340" s="58"/>
      <c r="AN340" s="58"/>
      <c r="AO340" s="58"/>
      <c r="AP340" s="58"/>
      <c r="AQ340" s="58"/>
      <c r="AR340" s="58"/>
    </row>
    <row r="341" spans="1:44" ht="15.75" customHeight="1" x14ac:dyDescent="0.25">
      <c r="A341" s="64"/>
      <c r="B341" s="62"/>
      <c r="C341" s="62"/>
      <c r="D341" s="62"/>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c r="AG341" s="58"/>
      <c r="AH341" s="58"/>
      <c r="AI341" s="58"/>
      <c r="AJ341" s="58"/>
      <c r="AK341" s="58"/>
      <c r="AL341" s="58"/>
      <c r="AM341" s="58"/>
      <c r="AN341" s="58"/>
      <c r="AO341" s="58"/>
      <c r="AP341" s="58"/>
      <c r="AQ341" s="58"/>
      <c r="AR341" s="58"/>
    </row>
    <row r="342" spans="1:44" ht="15.75" customHeight="1" x14ac:dyDescent="0.25">
      <c r="A342" s="64"/>
      <c r="B342" s="62"/>
      <c r="C342" s="62"/>
      <c r="D342" s="62"/>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c r="AG342" s="58"/>
      <c r="AH342" s="58"/>
      <c r="AI342" s="58"/>
      <c r="AJ342" s="58"/>
      <c r="AK342" s="58"/>
      <c r="AL342" s="58"/>
      <c r="AM342" s="58"/>
      <c r="AN342" s="58"/>
      <c r="AO342" s="58"/>
      <c r="AP342" s="58"/>
      <c r="AQ342" s="58"/>
      <c r="AR342" s="58"/>
    </row>
    <row r="343" spans="1:44" ht="15.75" customHeight="1" x14ac:dyDescent="0.25">
      <c r="A343" s="64"/>
      <c r="B343" s="62"/>
      <c r="C343" s="62"/>
      <c r="D343" s="62"/>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c r="AG343" s="58"/>
      <c r="AH343" s="58"/>
      <c r="AI343" s="58"/>
      <c r="AJ343" s="58"/>
      <c r="AK343" s="58"/>
      <c r="AL343" s="58"/>
      <c r="AM343" s="58"/>
      <c r="AN343" s="58"/>
      <c r="AO343" s="58"/>
      <c r="AP343" s="58"/>
      <c r="AQ343" s="58"/>
      <c r="AR343" s="58"/>
    </row>
    <row r="344" spans="1:44" ht="15.75" customHeight="1" x14ac:dyDescent="0.25">
      <c r="A344" s="64"/>
      <c r="B344" s="62"/>
      <c r="C344" s="62"/>
      <c r="D344" s="62"/>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c r="AJ344" s="58"/>
      <c r="AK344" s="58"/>
      <c r="AL344" s="58"/>
      <c r="AM344" s="58"/>
      <c r="AN344" s="58"/>
      <c r="AO344" s="58"/>
      <c r="AP344" s="58"/>
      <c r="AQ344" s="58"/>
      <c r="AR344" s="58"/>
    </row>
    <row r="345" spans="1:44" ht="15.75" customHeight="1" x14ac:dyDescent="0.25">
      <c r="A345" s="64"/>
      <c r="B345" s="62"/>
      <c r="C345" s="62"/>
      <c r="D345" s="62"/>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c r="AH345" s="58"/>
      <c r="AI345" s="58"/>
      <c r="AJ345" s="58"/>
      <c r="AK345" s="58"/>
      <c r="AL345" s="58"/>
      <c r="AM345" s="58"/>
      <c r="AN345" s="58"/>
      <c r="AO345" s="58"/>
      <c r="AP345" s="58"/>
      <c r="AQ345" s="58"/>
      <c r="AR345" s="58"/>
    </row>
    <row r="346" spans="1:44" ht="15.75" customHeight="1" x14ac:dyDescent="0.25">
      <c r="A346" s="64"/>
      <c r="B346" s="62"/>
      <c r="C346" s="62"/>
      <c r="D346" s="62"/>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c r="AI346" s="58"/>
      <c r="AJ346" s="58"/>
      <c r="AK346" s="58"/>
      <c r="AL346" s="58"/>
      <c r="AM346" s="58"/>
      <c r="AN346" s="58"/>
      <c r="AO346" s="58"/>
      <c r="AP346" s="58"/>
      <c r="AQ346" s="58"/>
      <c r="AR346" s="58"/>
    </row>
    <row r="347" spans="1:44" ht="15.75" customHeight="1" x14ac:dyDescent="0.25">
      <c r="A347" s="64"/>
      <c r="B347" s="62"/>
      <c r="C347" s="62"/>
      <c r="D347" s="62"/>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c r="AJ347" s="58"/>
      <c r="AK347" s="58"/>
      <c r="AL347" s="58"/>
      <c r="AM347" s="58"/>
      <c r="AN347" s="58"/>
      <c r="AO347" s="58"/>
      <c r="AP347" s="58"/>
      <c r="AQ347" s="58"/>
      <c r="AR347" s="58"/>
    </row>
    <row r="348" spans="1:44" ht="15.75" customHeight="1" x14ac:dyDescent="0.25">
      <c r="A348" s="64"/>
      <c r="B348" s="62"/>
      <c r="C348" s="62"/>
      <c r="D348" s="62"/>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c r="AI348" s="58"/>
      <c r="AJ348" s="58"/>
      <c r="AK348" s="58"/>
      <c r="AL348" s="58"/>
      <c r="AM348" s="58"/>
      <c r="AN348" s="58"/>
      <c r="AO348" s="58"/>
      <c r="AP348" s="58"/>
      <c r="AQ348" s="58"/>
      <c r="AR348" s="58"/>
    </row>
    <row r="349" spans="1:44" ht="15.75" customHeight="1" x14ac:dyDescent="0.25">
      <c r="A349" s="64"/>
      <c r="B349" s="62"/>
      <c r="C349" s="62"/>
      <c r="D349" s="62"/>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c r="AJ349" s="58"/>
      <c r="AK349" s="58"/>
      <c r="AL349" s="58"/>
      <c r="AM349" s="58"/>
      <c r="AN349" s="58"/>
      <c r="AO349" s="58"/>
      <c r="AP349" s="58"/>
      <c r="AQ349" s="58"/>
      <c r="AR349" s="58"/>
    </row>
    <row r="350" spans="1:44" ht="15.75" customHeight="1" x14ac:dyDescent="0.25">
      <c r="A350" s="64"/>
      <c r="B350" s="62"/>
      <c r="C350" s="62"/>
      <c r="D350" s="62"/>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c r="AJ350" s="58"/>
      <c r="AK350" s="58"/>
      <c r="AL350" s="58"/>
      <c r="AM350" s="58"/>
      <c r="AN350" s="58"/>
      <c r="AO350" s="58"/>
      <c r="AP350" s="58"/>
      <c r="AQ350" s="58"/>
      <c r="AR350" s="58"/>
    </row>
    <row r="351" spans="1:44" ht="15.75" customHeight="1" x14ac:dyDescent="0.25">
      <c r="A351" s="64"/>
      <c r="B351" s="62"/>
      <c r="C351" s="62"/>
      <c r="D351" s="62"/>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c r="AJ351" s="58"/>
      <c r="AK351" s="58"/>
      <c r="AL351" s="58"/>
      <c r="AM351" s="58"/>
      <c r="AN351" s="58"/>
      <c r="AO351" s="58"/>
      <c r="AP351" s="58"/>
      <c r="AQ351" s="58"/>
      <c r="AR351" s="58"/>
    </row>
    <row r="352" spans="1:44" ht="15.75" customHeight="1" x14ac:dyDescent="0.25">
      <c r="A352" s="64"/>
      <c r="B352" s="62"/>
      <c r="C352" s="62"/>
      <c r="D352" s="62"/>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c r="AJ352" s="58"/>
      <c r="AK352" s="58"/>
      <c r="AL352" s="58"/>
      <c r="AM352" s="58"/>
      <c r="AN352" s="58"/>
      <c r="AO352" s="58"/>
      <c r="AP352" s="58"/>
      <c r="AQ352" s="58"/>
      <c r="AR352" s="58"/>
    </row>
    <row r="353" spans="1:44" ht="15.75" customHeight="1" x14ac:dyDescent="0.25">
      <c r="A353" s="64"/>
      <c r="B353" s="62"/>
      <c r="C353" s="62"/>
      <c r="D353" s="62"/>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c r="AJ353" s="58"/>
      <c r="AK353" s="58"/>
      <c r="AL353" s="58"/>
      <c r="AM353" s="58"/>
      <c r="AN353" s="58"/>
      <c r="AO353" s="58"/>
      <c r="AP353" s="58"/>
      <c r="AQ353" s="58"/>
      <c r="AR353" s="58"/>
    </row>
    <row r="354" spans="1:44" ht="15.75" customHeight="1" x14ac:dyDescent="0.25">
      <c r="A354" s="64"/>
      <c r="B354" s="62"/>
      <c r="C354" s="62"/>
      <c r="D354" s="62"/>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8"/>
      <c r="AI354" s="58"/>
      <c r="AJ354" s="58"/>
      <c r="AK354" s="58"/>
      <c r="AL354" s="58"/>
      <c r="AM354" s="58"/>
      <c r="AN354" s="58"/>
      <c r="AO354" s="58"/>
      <c r="AP354" s="58"/>
      <c r="AQ354" s="58"/>
      <c r="AR354" s="58"/>
    </row>
    <row r="355" spans="1:44" ht="15.75" customHeight="1" x14ac:dyDescent="0.25">
      <c r="A355" s="64"/>
      <c r="B355" s="62"/>
      <c r="C355" s="62"/>
      <c r="D355" s="62"/>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c r="AG355" s="58"/>
      <c r="AH355" s="58"/>
      <c r="AI355" s="58"/>
      <c r="AJ355" s="58"/>
      <c r="AK355" s="58"/>
      <c r="AL355" s="58"/>
      <c r="AM355" s="58"/>
      <c r="AN355" s="58"/>
      <c r="AO355" s="58"/>
      <c r="AP355" s="58"/>
      <c r="AQ355" s="58"/>
      <c r="AR355" s="58"/>
    </row>
    <row r="356" spans="1:44" ht="15.75" customHeight="1" x14ac:dyDescent="0.25">
      <c r="A356" s="64"/>
      <c r="B356" s="62"/>
      <c r="C356" s="62"/>
      <c r="D356" s="62"/>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c r="AJ356" s="58"/>
      <c r="AK356" s="58"/>
      <c r="AL356" s="58"/>
      <c r="AM356" s="58"/>
      <c r="AN356" s="58"/>
      <c r="AO356" s="58"/>
      <c r="AP356" s="58"/>
      <c r="AQ356" s="58"/>
      <c r="AR356" s="58"/>
    </row>
    <row r="357" spans="1:44" ht="15.75" customHeight="1" x14ac:dyDescent="0.25">
      <c r="A357" s="64"/>
      <c r="B357" s="62"/>
      <c r="C357" s="62"/>
      <c r="D357" s="62"/>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c r="AJ357" s="58"/>
      <c r="AK357" s="58"/>
      <c r="AL357" s="58"/>
      <c r="AM357" s="58"/>
      <c r="AN357" s="58"/>
      <c r="AO357" s="58"/>
      <c r="AP357" s="58"/>
      <c r="AQ357" s="58"/>
      <c r="AR357" s="58"/>
    </row>
    <row r="358" spans="1:44" ht="15.75" customHeight="1" x14ac:dyDescent="0.25">
      <c r="A358" s="64"/>
      <c r="B358" s="62"/>
      <c r="C358" s="62"/>
      <c r="D358" s="62"/>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c r="AJ358" s="58"/>
      <c r="AK358" s="58"/>
      <c r="AL358" s="58"/>
      <c r="AM358" s="58"/>
      <c r="AN358" s="58"/>
      <c r="AO358" s="58"/>
      <c r="AP358" s="58"/>
      <c r="AQ358" s="58"/>
      <c r="AR358" s="58"/>
    </row>
    <row r="359" spans="1:44" ht="15.75" customHeight="1" x14ac:dyDescent="0.25">
      <c r="A359" s="64"/>
      <c r="B359" s="62"/>
      <c r="C359" s="62"/>
      <c r="D359" s="62"/>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c r="AJ359" s="58"/>
      <c r="AK359" s="58"/>
      <c r="AL359" s="58"/>
      <c r="AM359" s="58"/>
      <c r="AN359" s="58"/>
      <c r="AO359" s="58"/>
      <c r="AP359" s="58"/>
      <c r="AQ359" s="58"/>
      <c r="AR359" s="58"/>
    </row>
    <row r="360" spans="1:44" ht="15.75" customHeight="1" x14ac:dyDescent="0.25">
      <c r="A360" s="64"/>
      <c r="B360" s="62"/>
      <c r="C360" s="62"/>
      <c r="D360" s="62"/>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c r="AI360" s="58"/>
      <c r="AJ360" s="58"/>
      <c r="AK360" s="58"/>
      <c r="AL360" s="58"/>
      <c r="AM360" s="58"/>
      <c r="AN360" s="58"/>
      <c r="AO360" s="58"/>
      <c r="AP360" s="58"/>
      <c r="AQ360" s="58"/>
      <c r="AR360" s="58"/>
    </row>
    <row r="361" spans="1:44" ht="15.75" customHeight="1" x14ac:dyDescent="0.25">
      <c r="A361" s="64"/>
      <c r="B361" s="62"/>
      <c r="C361" s="62"/>
      <c r="D361" s="62"/>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c r="AI361" s="58"/>
      <c r="AJ361" s="58"/>
      <c r="AK361" s="58"/>
      <c r="AL361" s="58"/>
      <c r="AM361" s="58"/>
      <c r="AN361" s="58"/>
      <c r="AO361" s="58"/>
      <c r="AP361" s="58"/>
      <c r="AQ361" s="58"/>
      <c r="AR361" s="58"/>
    </row>
    <row r="362" spans="1:44" ht="15.75" customHeight="1" x14ac:dyDescent="0.25">
      <c r="A362" s="64"/>
      <c r="B362" s="62"/>
      <c r="C362" s="62"/>
      <c r="D362" s="62"/>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c r="AJ362" s="58"/>
      <c r="AK362" s="58"/>
      <c r="AL362" s="58"/>
      <c r="AM362" s="58"/>
      <c r="AN362" s="58"/>
      <c r="AO362" s="58"/>
      <c r="AP362" s="58"/>
      <c r="AQ362" s="58"/>
      <c r="AR362" s="58"/>
    </row>
    <row r="363" spans="1:44" ht="15.75" customHeight="1" x14ac:dyDescent="0.25">
      <c r="A363" s="64"/>
      <c r="B363" s="62"/>
      <c r="C363" s="62"/>
      <c r="D363" s="62"/>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c r="AJ363" s="58"/>
      <c r="AK363" s="58"/>
      <c r="AL363" s="58"/>
      <c r="AM363" s="58"/>
      <c r="AN363" s="58"/>
      <c r="AO363" s="58"/>
      <c r="AP363" s="58"/>
      <c r="AQ363" s="58"/>
      <c r="AR363" s="58"/>
    </row>
    <row r="364" spans="1:44" ht="15.75" customHeight="1" x14ac:dyDescent="0.25">
      <c r="A364" s="64"/>
      <c r="B364" s="62"/>
      <c r="C364" s="62"/>
      <c r="D364" s="62"/>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c r="AG364" s="58"/>
      <c r="AH364" s="58"/>
      <c r="AI364" s="58"/>
      <c r="AJ364" s="58"/>
      <c r="AK364" s="58"/>
      <c r="AL364" s="58"/>
      <c r="AM364" s="58"/>
      <c r="AN364" s="58"/>
      <c r="AO364" s="58"/>
      <c r="AP364" s="58"/>
      <c r="AQ364" s="58"/>
      <c r="AR364" s="58"/>
    </row>
    <row r="365" spans="1:44" ht="15.75" customHeight="1" x14ac:dyDescent="0.25">
      <c r="A365" s="64"/>
      <c r="B365" s="62"/>
      <c r="C365" s="62"/>
      <c r="D365" s="62"/>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8"/>
      <c r="AI365" s="58"/>
      <c r="AJ365" s="58"/>
      <c r="AK365" s="58"/>
      <c r="AL365" s="58"/>
      <c r="AM365" s="58"/>
      <c r="AN365" s="58"/>
      <c r="AO365" s="58"/>
      <c r="AP365" s="58"/>
      <c r="AQ365" s="58"/>
      <c r="AR365" s="58"/>
    </row>
    <row r="366" spans="1:44" ht="15.75" customHeight="1" x14ac:dyDescent="0.25">
      <c r="A366" s="64"/>
      <c r="B366" s="62"/>
      <c r="C366" s="62"/>
      <c r="D366" s="62"/>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c r="AI366" s="58"/>
      <c r="AJ366" s="58"/>
      <c r="AK366" s="58"/>
      <c r="AL366" s="58"/>
      <c r="AM366" s="58"/>
      <c r="AN366" s="58"/>
      <c r="AO366" s="58"/>
      <c r="AP366" s="58"/>
      <c r="AQ366" s="58"/>
      <c r="AR366" s="58"/>
    </row>
    <row r="367" spans="1:44" ht="15.75" customHeight="1" x14ac:dyDescent="0.25">
      <c r="A367" s="64"/>
      <c r="B367" s="62"/>
      <c r="C367" s="62"/>
      <c r="D367" s="62"/>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c r="AP367" s="58"/>
      <c r="AQ367" s="58"/>
      <c r="AR367" s="58"/>
    </row>
    <row r="368" spans="1:44" ht="15.75" customHeight="1" x14ac:dyDescent="0.25">
      <c r="A368" s="64"/>
      <c r="B368" s="62"/>
      <c r="C368" s="62"/>
      <c r="D368" s="62"/>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c r="AJ368" s="58"/>
      <c r="AK368" s="58"/>
      <c r="AL368" s="58"/>
      <c r="AM368" s="58"/>
      <c r="AN368" s="58"/>
      <c r="AO368" s="58"/>
      <c r="AP368" s="58"/>
      <c r="AQ368" s="58"/>
      <c r="AR368" s="58"/>
    </row>
    <row r="369" spans="1:44" ht="15.75" customHeight="1" x14ac:dyDescent="0.25">
      <c r="A369" s="64"/>
      <c r="B369" s="62"/>
      <c r="C369" s="62"/>
      <c r="D369" s="62"/>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8"/>
      <c r="AI369" s="58"/>
      <c r="AJ369" s="58"/>
      <c r="AK369" s="58"/>
      <c r="AL369" s="58"/>
      <c r="AM369" s="58"/>
      <c r="AN369" s="58"/>
      <c r="AO369" s="58"/>
      <c r="AP369" s="58"/>
      <c r="AQ369" s="58"/>
      <c r="AR369" s="58"/>
    </row>
    <row r="370" spans="1:44" ht="15.75" customHeight="1" x14ac:dyDescent="0.25">
      <c r="A370" s="64"/>
      <c r="B370" s="62"/>
      <c r="C370" s="62"/>
      <c r="D370" s="62"/>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c r="AG370" s="58"/>
      <c r="AH370" s="58"/>
      <c r="AI370" s="58"/>
      <c r="AJ370" s="58"/>
      <c r="AK370" s="58"/>
      <c r="AL370" s="58"/>
      <c r="AM370" s="58"/>
      <c r="AN370" s="58"/>
      <c r="AO370" s="58"/>
      <c r="AP370" s="58"/>
      <c r="AQ370" s="58"/>
      <c r="AR370" s="58"/>
    </row>
    <row r="371" spans="1:44" ht="15.75" customHeight="1" x14ac:dyDescent="0.25">
      <c r="A371" s="64"/>
      <c r="B371" s="62"/>
      <c r="C371" s="62"/>
      <c r="D371" s="62"/>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c r="AI371" s="58"/>
      <c r="AJ371" s="58"/>
      <c r="AK371" s="58"/>
      <c r="AL371" s="58"/>
      <c r="AM371" s="58"/>
      <c r="AN371" s="58"/>
      <c r="AO371" s="58"/>
      <c r="AP371" s="58"/>
      <c r="AQ371" s="58"/>
      <c r="AR371" s="58"/>
    </row>
    <row r="372" spans="1:44" ht="15.75" customHeight="1" x14ac:dyDescent="0.25">
      <c r="A372" s="64"/>
      <c r="B372" s="62"/>
      <c r="C372" s="62"/>
      <c r="D372" s="62"/>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c r="AG372" s="58"/>
      <c r="AH372" s="58"/>
      <c r="AI372" s="58"/>
      <c r="AJ372" s="58"/>
      <c r="AK372" s="58"/>
      <c r="AL372" s="58"/>
      <c r="AM372" s="58"/>
      <c r="AN372" s="58"/>
      <c r="AO372" s="58"/>
      <c r="AP372" s="58"/>
      <c r="AQ372" s="58"/>
      <c r="AR372" s="58"/>
    </row>
    <row r="373" spans="1:44" ht="15.75" customHeight="1" x14ac:dyDescent="0.25">
      <c r="A373" s="64"/>
      <c r="B373" s="62"/>
      <c r="C373" s="62"/>
      <c r="D373" s="62"/>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c r="AG373" s="58"/>
      <c r="AH373" s="58"/>
      <c r="AI373" s="58"/>
      <c r="AJ373" s="58"/>
      <c r="AK373" s="58"/>
      <c r="AL373" s="58"/>
      <c r="AM373" s="58"/>
      <c r="AN373" s="58"/>
      <c r="AO373" s="58"/>
      <c r="AP373" s="58"/>
      <c r="AQ373" s="58"/>
      <c r="AR373" s="58"/>
    </row>
    <row r="374" spans="1:44" ht="15.75" customHeight="1" x14ac:dyDescent="0.25">
      <c r="A374" s="64"/>
      <c r="B374" s="62"/>
      <c r="C374" s="62"/>
      <c r="D374" s="62"/>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58"/>
      <c r="AK374" s="58"/>
      <c r="AL374" s="58"/>
      <c r="AM374" s="58"/>
      <c r="AN374" s="58"/>
      <c r="AO374" s="58"/>
      <c r="AP374" s="58"/>
      <c r="AQ374" s="58"/>
      <c r="AR374" s="58"/>
    </row>
    <row r="375" spans="1:44" ht="15.75" customHeight="1" x14ac:dyDescent="0.25">
      <c r="A375" s="64"/>
      <c r="B375" s="62"/>
      <c r="C375" s="62"/>
      <c r="D375" s="62"/>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c r="AP375" s="58"/>
      <c r="AQ375" s="58"/>
      <c r="AR375" s="58"/>
    </row>
    <row r="376" spans="1:44" ht="15.75" customHeight="1" x14ac:dyDescent="0.25">
      <c r="A376" s="64"/>
      <c r="B376" s="62"/>
      <c r="C376" s="62"/>
      <c r="D376" s="62"/>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c r="AI376" s="58"/>
      <c r="AJ376" s="58"/>
      <c r="AK376" s="58"/>
      <c r="AL376" s="58"/>
      <c r="AM376" s="58"/>
      <c r="AN376" s="58"/>
      <c r="AO376" s="58"/>
      <c r="AP376" s="58"/>
      <c r="AQ376" s="58"/>
      <c r="AR376" s="58"/>
    </row>
    <row r="377" spans="1:44" ht="15.75" customHeight="1" x14ac:dyDescent="0.25">
      <c r="A377" s="64"/>
      <c r="B377" s="62"/>
      <c r="C377" s="62"/>
      <c r="D377" s="62"/>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58"/>
      <c r="AK377" s="58"/>
      <c r="AL377" s="58"/>
      <c r="AM377" s="58"/>
      <c r="AN377" s="58"/>
      <c r="AO377" s="58"/>
      <c r="AP377" s="58"/>
      <c r="AQ377" s="58"/>
      <c r="AR377" s="58"/>
    </row>
    <row r="378" spans="1:44" ht="15.75" customHeight="1" x14ac:dyDescent="0.25">
      <c r="A378" s="64"/>
      <c r="B378" s="62"/>
      <c r="C378" s="62"/>
      <c r="D378" s="62"/>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c r="AP378" s="58"/>
      <c r="AQ378" s="58"/>
      <c r="AR378" s="58"/>
    </row>
    <row r="379" spans="1:44" ht="15.75" customHeight="1" x14ac:dyDescent="0.25">
      <c r="A379" s="64"/>
      <c r="B379" s="62"/>
      <c r="C379" s="62"/>
      <c r="D379" s="62"/>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c r="AP379" s="58"/>
      <c r="AQ379" s="58"/>
      <c r="AR379" s="58"/>
    </row>
    <row r="380" spans="1:44" ht="15.75" customHeight="1" x14ac:dyDescent="0.25">
      <c r="A380" s="64"/>
      <c r="B380" s="62"/>
      <c r="C380" s="62"/>
      <c r="D380" s="62"/>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c r="AP380" s="58"/>
      <c r="AQ380" s="58"/>
      <c r="AR380" s="58"/>
    </row>
    <row r="381" spans="1:44" ht="15.75" customHeight="1" x14ac:dyDescent="0.25">
      <c r="A381" s="64"/>
      <c r="B381" s="62"/>
      <c r="C381" s="62"/>
      <c r="D381" s="62"/>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c r="AP381" s="58"/>
      <c r="AQ381" s="58"/>
      <c r="AR381" s="58"/>
    </row>
    <row r="382" spans="1:44" ht="15.75" customHeight="1" x14ac:dyDescent="0.25">
      <c r="A382" s="64"/>
      <c r="B382" s="62"/>
      <c r="C382" s="62"/>
      <c r="D382" s="62"/>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c r="AO382" s="58"/>
      <c r="AP382" s="58"/>
      <c r="AQ382" s="58"/>
      <c r="AR382" s="58"/>
    </row>
    <row r="383" spans="1:44" ht="15.75" customHeight="1" x14ac:dyDescent="0.25">
      <c r="A383" s="64"/>
      <c r="B383" s="62"/>
      <c r="C383" s="62"/>
      <c r="D383" s="62"/>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58"/>
      <c r="AK383" s="58"/>
      <c r="AL383" s="58"/>
      <c r="AM383" s="58"/>
      <c r="AN383" s="58"/>
      <c r="AO383" s="58"/>
      <c r="AP383" s="58"/>
      <c r="AQ383" s="58"/>
      <c r="AR383" s="58"/>
    </row>
    <row r="384" spans="1:44" ht="15.75" customHeight="1" x14ac:dyDescent="0.25">
      <c r="A384" s="64"/>
      <c r="B384" s="62"/>
      <c r="C384" s="62"/>
      <c r="D384" s="62"/>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c r="AG384" s="58"/>
      <c r="AH384" s="58"/>
      <c r="AI384" s="58"/>
      <c r="AJ384" s="58"/>
      <c r="AK384" s="58"/>
      <c r="AL384" s="58"/>
      <c r="AM384" s="58"/>
      <c r="AN384" s="58"/>
      <c r="AO384" s="58"/>
      <c r="AP384" s="58"/>
      <c r="AQ384" s="58"/>
      <c r="AR384" s="58"/>
    </row>
    <row r="385" spans="1:44" ht="15.75" customHeight="1" x14ac:dyDescent="0.25">
      <c r="A385" s="64"/>
      <c r="B385" s="62"/>
      <c r="C385" s="62"/>
      <c r="D385" s="62"/>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c r="AG385" s="58"/>
      <c r="AH385" s="58"/>
      <c r="AI385" s="58"/>
      <c r="AJ385" s="58"/>
      <c r="AK385" s="58"/>
      <c r="AL385" s="58"/>
      <c r="AM385" s="58"/>
      <c r="AN385" s="58"/>
      <c r="AO385" s="58"/>
      <c r="AP385" s="58"/>
      <c r="AQ385" s="58"/>
      <c r="AR385" s="58"/>
    </row>
    <row r="386" spans="1:44" ht="15.75" customHeight="1" x14ac:dyDescent="0.25">
      <c r="A386" s="64"/>
      <c r="B386" s="62"/>
      <c r="C386" s="62"/>
      <c r="D386" s="62"/>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c r="AI386" s="58"/>
      <c r="AJ386" s="58"/>
      <c r="AK386" s="58"/>
      <c r="AL386" s="58"/>
      <c r="AM386" s="58"/>
      <c r="AN386" s="58"/>
      <c r="AO386" s="58"/>
      <c r="AP386" s="58"/>
      <c r="AQ386" s="58"/>
      <c r="AR386" s="58"/>
    </row>
    <row r="387" spans="1:44" ht="15.75" customHeight="1" x14ac:dyDescent="0.25">
      <c r="A387" s="64"/>
      <c r="B387" s="62"/>
      <c r="C387" s="62"/>
      <c r="D387" s="62"/>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c r="AG387" s="58"/>
      <c r="AH387" s="58"/>
      <c r="AI387" s="58"/>
      <c r="AJ387" s="58"/>
      <c r="AK387" s="58"/>
      <c r="AL387" s="58"/>
      <c r="AM387" s="58"/>
      <c r="AN387" s="58"/>
      <c r="AO387" s="58"/>
      <c r="AP387" s="58"/>
      <c r="AQ387" s="58"/>
      <c r="AR387" s="58"/>
    </row>
    <row r="388" spans="1:44" ht="15.75" customHeight="1" x14ac:dyDescent="0.25">
      <c r="A388" s="64"/>
      <c r="B388" s="62"/>
      <c r="C388" s="62"/>
      <c r="D388" s="62"/>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c r="AG388" s="58"/>
      <c r="AH388" s="58"/>
      <c r="AI388" s="58"/>
      <c r="AJ388" s="58"/>
      <c r="AK388" s="58"/>
      <c r="AL388" s="58"/>
      <c r="AM388" s="58"/>
      <c r="AN388" s="58"/>
      <c r="AO388" s="58"/>
      <c r="AP388" s="58"/>
      <c r="AQ388" s="58"/>
      <c r="AR388" s="58"/>
    </row>
    <row r="389" spans="1:44" ht="15.75" customHeight="1" x14ac:dyDescent="0.25">
      <c r="A389" s="64"/>
      <c r="B389" s="62"/>
      <c r="C389" s="62"/>
      <c r="D389" s="62"/>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c r="AI389" s="58"/>
      <c r="AJ389" s="58"/>
      <c r="AK389" s="58"/>
      <c r="AL389" s="58"/>
      <c r="AM389" s="58"/>
      <c r="AN389" s="58"/>
      <c r="AO389" s="58"/>
      <c r="AP389" s="58"/>
      <c r="AQ389" s="58"/>
      <c r="AR389" s="58"/>
    </row>
    <row r="390" spans="1:44" ht="15.75" customHeight="1" x14ac:dyDescent="0.25">
      <c r="A390" s="64"/>
      <c r="B390" s="62"/>
      <c r="C390" s="62"/>
      <c r="D390" s="62"/>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c r="AG390" s="58"/>
      <c r="AH390" s="58"/>
      <c r="AI390" s="58"/>
      <c r="AJ390" s="58"/>
      <c r="AK390" s="58"/>
      <c r="AL390" s="58"/>
      <c r="AM390" s="58"/>
      <c r="AN390" s="58"/>
      <c r="AO390" s="58"/>
      <c r="AP390" s="58"/>
      <c r="AQ390" s="58"/>
      <c r="AR390" s="58"/>
    </row>
    <row r="391" spans="1:44" ht="15.75" customHeight="1" x14ac:dyDescent="0.25">
      <c r="A391" s="64"/>
      <c r="B391" s="62"/>
      <c r="C391" s="62"/>
      <c r="D391" s="62"/>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c r="AG391" s="58"/>
      <c r="AH391" s="58"/>
      <c r="AI391" s="58"/>
      <c r="AJ391" s="58"/>
      <c r="AK391" s="58"/>
      <c r="AL391" s="58"/>
      <c r="AM391" s="58"/>
      <c r="AN391" s="58"/>
      <c r="AO391" s="58"/>
      <c r="AP391" s="58"/>
      <c r="AQ391" s="58"/>
      <c r="AR391" s="58"/>
    </row>
    <row r="392" spans="1:44" ht="15.75" customHeight="1" x14ac:dyDescent="0.25">
      <c r="A392" s="64"/>
      <c r="B392" s="62"/>
      <c r="C392" s="62"/>
      <c r="D392" s="62"/>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c r="AR392" s="58"/>
    </row>
    <row r="393" spans="1:44" ht="15.75" customHeight="1" x14ac:dyDescent="0.25">
      <c r="A393" s="64"/>
      <c r="B393" s="62"/>
      <c r="C393" s="62"/>
      <c r="D393" s="62"/>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c r="AR393" s="58"/>
    </row>
    <row r="394" spans="1:44" ht="15.75" customHeight="1" x14ac:dyDescent="0.25">
      <c r="A394" s="64"/>
      <c r="B394" s="62"/>
      <c r="C394" s="62"/>
      <c r="D394" s="62"/>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row>
    <row r="395" spans="1:44" ht="15.75" customHeight="1" x14ac:dyDescent="0.25">
      <c r="A395" s="64"/>
      <c r="B395" s="62"/>
      <c r="C395" s="62"/>
      <c r="D395" s="62"/>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row>
    <row r="396" spans="1:44" ht="15.75" customHeight="1" x14ac:dyDescent="0.25">
      <c r="A396" s="64"/>
      <c r="B396" s="62"/>
      <c r="C396" s="62"/>
      <c r="D396" s="62"/>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row>
    <row r="397" spans="1:44" ht="15.75" customHeight="1" x14ac:dyDescent="0.25">
      <c r="A397" s="64"/>
      <c r="B397" s="62"/>
      <c r="C397" s="62"/>
      <c r="D397" s="62"/>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row>
    <row r="398" spans="1:44" ht="15.75" customHeight="1" x14ac:dyDescent="0.25">
      <c r="A398" s="64"/>
      <c r="B398" s="62"/>
      <c r="C398" s="62"/>
      <c r="D398" s="62"/>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row>
    <row r="399" spans="1:44" ht="15.75" customHeight="1" x14ac:dyDescent="0.25">
      <c r="A399" s="64"/>
      <c r="B399" s="62"/>
      <c r="C399" s="62"/>
      <c r="D399" s="62"/>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row>
    <row r="400" spans="1:44" ht="15.75" customHeight="1" x14ac:dyDescent="0.25">
      <c r="A400" s="64"/>
      <c r="B400" s="62"/>
      <c r="C400" s="62"/>
      <c r="D400" s="62"/>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row>
    <row r="401" spans="1:44" ht="15.75" customHeight="1" x14ac:dyDescent="0.25">
      <c r="A401" s="64"/>
      <c r="B401" s="62"/>
      <c r="C401" s="62"/>
      <c r="D401" s="62"/>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row>
    <row r="402" spans="1:44" ht="15.75" customHeight="1" x14ac:dyDescent="0.25">
      <c r="A402" s="64"/>
      <c r="B402" s="62"/>
      <c r="C402" s="62"/>
      <c r="D402" s="62"/>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row>
    <row r="403" spans="1:44" ht="15.75" customHeight="1" x14ac:dyDescent="0.25">
      <c r="A403" s="64"/>
      <c r="B403" s="62"/>
      <c r="C403" s="62"/>
      <c r="D403" s="62"/>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row>
    <row r="404" spans="1:44" ht="15.75" customHeight="1" x14ac:dyDescent="0.25">
      <c r="A404" s="64"/>
      <c r="B404" s="62"/>
      <c r="C404" s="62"/>
      <c r="D404" s="62"/>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row>
    <row r="405" spans="1:44" ht="15.75" customHeight="1" x14ac:dyDescent="0.25">
      <c r="A405" s="64"/>
      <c r="B405" s="62"/>
      <c r="C405" s="62"/>
      <c r="D405" s="62"/>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row>
    <row r="406" spans="1:44" ht="15.75" customHeight="1" x14ac:dyDescent="0.25">
      <c r="A406" s="64"/>
      <c r="B406" s="62"/>
      <c r="C406" s="62"/>
      <c r="D406" s="62"/>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c r="AG406" s="58"/>
      <c r="AH406" s="58"/>
      <c r="AI406" s="58"/>
      <c r="AJ406" s="58"/>
      <c r="AK406" s="58"/>
      <c r="AL406" s="58"/>
      <c r="AM406" s="58"/>
      <c r="AN406" s="58"/>
      <c r="AO406" s="58"/>
      <c r="AP406" s="58"/>
      <c r="AQ406" s="58"/>
      <c r="AR406" s="58"/>
    </row>
    <row r="407" spans="1:44" ht="15.75" customHeight="1" x14ac:dyDescent="0.25">
      <c r="A407" s="64"/>
      <c r="B407" s="62"/>
      <c r="C407" s="62"/>
      <c r="D407" s="62"/>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8"/>
      <c r="AI407" s="58"/>
      <c r="AJ407" s="58"/>
      <c r="AK407" s="58"/>
      <c r="AL407" s="58"/>
      <c r="AM407" s="58"/>
      <c r="AN407" s="58"/>
      <c r="AO407" s="58"/>
      <c r="AP407" s="58"/>
      <c r="AQ407" s="58"/>
      <c r="AR407" s="58"/>
    </row>
    <row r="408" spans="1:44" ht="15.75" customHeight="1" x14ac:dyDescent="0.25">
      <c r="A408" s="64"/>
      <c r="B408" s="62"/>
      <c r="C408" s="62"/>
      <c r="D408" s="62"/>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c r="AE408" s="58"/>
      <c r="AF408" s="58"/>
      <c r="AG408" s="58"/>
      <c r="AH408" s="58"/>
      <c r="AI408" s="58"/>
      <c r="AJ408" s="58"/>
      <c r="AK408" s="58"/>
      <c r="AL408" s="58"/>
      <c r="AM408" s="58"/>
      <c r="AN408" s="58"/>
      <c r="AO408" s="58"/>
      <c r="AP408" s="58"/>
      <c r="AQ408" s="58"/>
      <c r="AR408" s="58"/>
    </row>
    <row r="409" spans="1:44" ht="15.75" customHeight="1" x14ac:dyDescent="0.25">
      <c r="A409" s="64"/>
      <c r="B409" s="62"/>
      <c r="C409" s="62"/>
      <c r="D409" s="62"/>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c r="AE409" s="58"/>
      <c r="AF409" s="58"/>
      <c r="AG409" s="58"/>
      <c r="AH409" s="58"/>
      <c r="AI409" s="58"/>
      <c r="AJ409" s="58"/>
      <c r="AK409" s="58"/>
      <c r="AL409" s="58"/>
      <c r="AM409" s="58"/>
      <c r="AN409" s="58"/>
      <c r="AO409" s="58"/>
      <c r="AP409" s="58"/>
      <c r="AQ409" s="58"/>
      <c r="AR409" s="58"/>
    </row>
    <row r="410" spans="1:44" ht="15.75" customHeight="1" x14ac:dyDescent="0.25">
      <c r="A410" s="64"/>
      <c r="B410" s="62"/>
      <c r="C410" s="62"/>
      <c r="D410" s="62"/>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8"/>
      <c r="AI410" s="58"/>
      <c r="AJ410" s="58"/>
      <c r="AK410" s="58"/>
      <c r="AL410" s="58"/>
      <c r="AM410" s="58"/>
      <c r="AN410" s="58"/>
      <c r="AO410" s="58"/>
      <c r="AP410" s="58"/>
      <c r="AQ410" s="58"/>
      <c r="AR410" s="58"/>
    </row>
    <row r="411" spans="1:44" ht="15.75" customHeight="1" x14ac:dyDescent="0.25">
      <c r="A411" s="64"/>
      <c r="B411" s="62"/>
      <c r="C411" s="62"/>
      <c r="D411" s="62"/>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c r="AG411" s="58"/>
      <c r="AH411" s="58"/>
      <c r="AI411" s="58"/>
      <c r="AJ411" s="58"/>
      <c r="AK411" s="58"/>
      <c r="AL411" s="58"/>
      <c r="AM411" s="58"/>
      <c r="AN411" s="58"/>
      <c r="AO411" s="58"/>
      <c r="AP411" s="58"/>
      <c r="AQ411" s="58"/>
      <c r="AR411" s="58"/>
    </row>
    <row r="412" spans="1:44" ht="15.75" customHeight="1" x14ac:dyDescent="0.25">
      <c r="A412" s="64"/>
      <c r="B412" s="62"/>
      <c r="C412" s="62"/>
      <c r="D412" s="62"/>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c r="AG412" s="58"/>
      <c r="AH412" s="58"/>
      <c r="AI412" s="58"/>
      <c r="AJ412" s="58"/>
      <c r="AK412" s="58"/>
      <c r="AL412" s="58"/>
      <c r="AM412" s="58"/>
      <c r="AN412" s="58"/>
      <c r="AO412" s="58"/>
      <c r="AP412" s="58"/>
      <c r="AQ412" s="58"/>
      <c r="AR412" s="58"/>
    </row>
    <row r="413" spans="1:44" ht="15.75" customHeight="1" x14ac:dyDescent="0.25">
      <c r="A413" s="64"/>
      <c r="B413" s="62"/>
      <c r="C413" s="62"/>
      <c r="D413" s="62"/>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8"/>
      <c r="AI413" s="58"/>
      <c r="AJ413" s="58"/>
      <c r="AK413" s="58"/>
      <c r="AL413" s="58"/>
      <c r="AM413" s="58"/>
      <c r="AN413" s="58"/>
      <c r="AO413" s="58"/>
      <c r="AP413" s="58"/>
      <c r="AQ413" s="58"/>
      <c r="AR413" s="58"/>
    </row>
    <row r="414" spans="1:44" ht="15.75" customHeight="1" x14ac:dyDescent="0.25">
      <c r="A414" s="64"/>
      <c r="B414" s="62"/>
      <c r="C414" s="62"/>
      <c r="D414" s="62"/>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c r="AE414" s="58"/>
      <c r="AF414" s="58"/>
      <c r="AG414" s="58"/>
      <c r="AH414" s="58"/>
      <c r="AI414" s="58"/>
      <c r="AJ414" s="58"/>
      <c r="AK414" s="58"/>
      <c r="AL414" s="58"/>
      <c r="AM414" s="58"/>
      <c r="AN414" s="58"/>
      <c r="AO414" s="58"/>
      <c r="AP414" s="58"/>
      <c r="AQ414" s="58"/>
      <c r="AR414" s="58"/>
    </row>
    <row r="415" spans="1:44" ht="15.75" customHeight="1" x14ac:dyDescent="0.25">
      <c r="A415" s="64"/>
      <c r="B415" s="62"/>
      <c r="C415" s="62"/>
      <c r="D415" s="62"/>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c r="AG415" s="58"/>
      <c r="AH415" s="58"/>
      <c r="AI415" s="58"/>
      <c r="AJ415" s="58"/>
      <c r="AK415" s="58"/>
      <c r="AL415" s="58"/>
      <c r="AM415" s="58"/>
      <c r="AN415" s="58"/>
      <c r="AO415" s="58"/>
      <c r="AP415" s="58"/>
      <c r="AQ415" s="58"/>
      <c r="AR415" s="58"/>
    </row>
    <row r="416" spans="1:44" ht="15.75" customHeight="1" x14ac:dyDescent="0.25">
      <c r="A416" s="64"/>
      <c r="B416" s="62"/>
      <c r="C416" s="62"/>
      <c r="D416" s="62"/>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8"/>
      <c r="AI416" s="58"/>
      <c r="AJ416" s="58"/>
      <c r="AK416" s="58"/>
      <c r="AL416" s="58"/>
      <c r="AM416" s="58"/>
      <c r="AN416" s="58"/>
      <c r="AO416" s="58"/>
      <c r="AP416" s="58"/>
      <c r="AQ416" s="58"/>
      <c r="AR416" s="58"/>
    </row>
    <row r="417" spans="1:44" ht="15.75" customHeight="1" x14ac:dyDescent="0.25">
      <c r="A417" s="64"/>
      <c r="B417" s="62"/>
      <c r="C417" s="62"/>
      <c r="D417" s="62"/>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c r="AG417" s="58"/>
      <c r="AH417" s="58"/>
      <c r="AI417" s="58"/>
      <c r="AJ417" s="58"/>
      <c r="AK417" s="58"/>
      <c r="AL417" s="58"/>
      <c r="AM417" s="58"/>
      <c r="AN417" s="58"/>
      <c r="AO417" s="58"/>
      <c r="AP417" s="58"/>
      <c r="AQ417" s="58"/>
      <c r="AR417" s="58"/>
    </row>
    <row r="418" spans="1:44" ht="15.75" customHeight="1" x14ac:dyDescent="0.25">
      <c r="A418" s="64"/>
      <c r="B418" s="62"/>
      <c r="C418" s="62"/>
      <c r="D418" s="62"/>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c r="AG418" s="58"/>
      <c r="AH418" s="58"/>
      <c r="AI418" s="58"/>
      <c r="AJ418" s="58"/>
      <c r="AK418" s="58"/>
      <c r="AL418" s="58"/>
      <c r="AM418" s="58"/>
      <c r="AN418" s="58"/>
      <c r="AO418" s="58"/>
      <c r="AP418" s="58"/>
      <c r="AQ418" s="58"/>
      <c r="AR418" s="58"/>
    </row>
    <row r="419" spans="1:44" ht="15.75" customHeight="1" x14ac:dyDescent="0.25">
      <c r="A419" s="64"/>
      <c r="B419" s="62"/>
      <c r="C419" s="62"/>
      <c r="D419" s="62"/>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8"/>
      <c r="AI419" s="58"/>
      <c r="AJ419" s="58"/>
      <c r="AK419" s="58"/>
      <c r="AL419" s="58"/>
      <c r="AM419" s="58"/>
      <c r="AN419" s="58"/>
      <c r="AO419" s="58"/>
      <c r="AP419" s="58"/>
      <c r="AQ419" s="58"/>
      <c r="AR419" s="58"/>
    </row>
    <row r="420" spans="1:44" ht="15.75" customHeight="1" x14ac:dyDescent="0.25">
      <c r="A420" s="64"/>
      <c r="B420" s="62"/>
      <c r="C420" s="62"/>
      <c r="D420" s="62"/>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c r="AG420" s="58"/>
      <c r="AH420" s="58"/>
      <c r="AI420" s="58"/>
      <c r="AJ420" s="58"/>
      <c r="AK420" s="58"/>
      <c r="AL420" s="58"/>
      <c r="AM420" s="58"/>
      <c r="AN420" s="58"/>
      <c r="AO420" s="58"/>
      <c r="AP420" s="58"/>
      <c r="AQ420" s="58"/>
      <c r="AR420" s="58"/>
    </row>
    <row r="421" spans="1:44" ht="15.75" customHeight="1" x14ac:dyDescent="0.25">
      <c r="A421" s="64"/>
      <c r="B421" s="62"/>
      <c r="C421" s="62"/>
      <c r="D421" s="62"/>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c r="AE421" s="58"/>
      <c r="AF421" s="58"/>
      <c r="AG421" s="58"/>
      <c r="AH421" s="58"/>
      <c r="AI421" s="58"/>
      <c r="AJ421" s="58"/>
      <c r="AK421" s="58"/>
      <c r="AL421" s="58"/>
      <c r="AM421" s="58"/>
      <c r="AN421" s="58"/>
      <c r="AO421" s="58"/>
      <c r="AP421" s="58"/>
      <c r="AQ421" s="58"/>
      <c r="AR421" s="58"/>
    </row>
    <row r="422" spans="1:44" ht="15.75" customHeight="1" x14ac:dyDescent="0.25">
      <c r="A422" s="64"/>
      <c r="B422" s="62"/>
      <c r="C422" s="62"/>
      <c r="D422" s="62"/>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8"/>
      <c r="AI422" s="58"/>
      <c r="AJ422" s="58"/>
      <c r="AK422" s="58"/>
      <c r="AL422" s="58"/>
      <c r="AM422" s="58"/>
      <c r="AN422" s="58"/>
      <c r="AO422" s="58"/>
      <c r="AP422" s="58"/>
      <c r="AQ422" s="58"/>
      <c r="AR422" s="58"/>
    </row>
    <row r="423" spans="1:44" ht="15.75" customHeight="1" x14ac:dyDescent="0.25">
      <c r="A423" s="64"/>
      <c r="B423" s="62"/>
      <c r="C423" s="62"/>
      <c r="D423" s="62"/>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c r="AG423" s="58"/>
      <c r="AH423" s="58"/>
      <c r="AI423" s="58"/>
      <c r="AJ423" s="58"/>
      <c r="AK423" s="58"/>
      <c r="AL423" s="58"/>
      <c r="AM423" s="58"/>
      <c r="AN423" s="58"/>
      <c r="AO423" s="58"/>
      <c r="AP423" s="58"/>
      <c r="AQ423" s="58"/>
      <c r="AR423" s="58"/>
    </row>
    <row r="424" spans="1:44" ht="15.75" customHeight="1" x14ac:dyDescent="0.25">
      <c r="A424" s="64"/>
      <c r="B424" s="62"/>
      <c r="C424" s="62"/>
      <c r="D424" s="62"/>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c r="AG424" s="58"/>
      <c r="AH424" s="58"/>
      <c r="AI424" s="58"/>
      <c r="AJ424" s="58"/>
      <c r="AK424" s="58"/>
      <c r="AL424" s="58"/>
      <c r="AM424" s="58"/>
      <c r="AN424" s="58"/>
      <c r="AO424" s="58"/>
      <c r="AP424" s="58"/>
      <c r="AQ424" s="58"/>
      <c r="AR424" s="58"/>
    </row>
    <row r="425" spans="1:44" ht="15.75" customHeight="1" x14ac:dyDescent="0.25">
      <c r="A425" s="64"/>
      <c r="B425" s="62"/>
      <c r="C425" s="62"/>
      <c r="D425" s="62"/>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8"/>
      <c r="AI425" s="58"/>
      <c r="AJ425" s="58"/>
      <c r="AK425" s="58"/>
      <c r="AL425" s="58"/>
      <c r="AM425" s="58"/>
      <c r="AN425" s="58"/>
      <c r="AO425" s="58"/>
      <c r="AP425" s="58"/>
      <c r="AQ425" s="58"/>
      <c r="AR425" s="58"/>
    </row>
    <row r="426" spans="1:44" ht="15.75" customHeight="1" x14ac:dyDescent="0.25">
      <c r="A426" s="64"/>
      <c r="B426" s="62"/>
      <c r="C426" s="62"/>
      <c r="D426" s="62"/>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c r="AG426" s="58"/>
      <c r="AH426" s="58"/>
      <c r="AI426" s="58"/>
      <c r="AJ426" s="58"/>
      <c r="AK426" s="58"/>
      <c r="AL426" s="58"/>
      <c r="AM426" s="58"/>
      <c r="AN426" s="58"/>
      <c r="AO426" s="58"/>
      <c r="AP426" s="58"/>
      <c r="AQ426" s="58"/>
      <c r="AR426" s="58"/>
    </row>
    <row r="427" spans="1:44" ht="15.75" customHeight="1" x14ac:dyDescent="0.25">
      <c r="A427" s="64"/>
      <c r="B427" s="62"/>
      <c r="C427" s="62"/>
      <c r="D427" s="62"/>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c r="AG427" s="58"/>
      <c r="AH427" s="58"/>
      <c r="AI427" s="58"/>
      <c r="AJ427" s="58"/>
      <c r="AK427" s="58"/>
      <c r="AL427" s="58"/>
      <c r="AM427" s="58"/>
      <c r="AN427" s="58"/>
      <c r="AO427" s="58"/>
      <c r="AP427" s="58"/>
      <c r="AQ427" s="58"/>
      <c r="AR427" s="58"/>
    </row>
    <row r="428" spans="1:44" ht="15.75" customHeight="1" x14ac:dyDescent="0.25">
      <c r="A428" s="64"/>
      <c r="B428" s="62"/>
      <c r="C428" s="62"/>
      <c r="D428" s="62"/>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8"/>
      <c r="AI428" s="58"/>
      <c r="AJ428" s="58"/>
      <c r="AK428" s="58"/>
      <c r="AL428" s="58"/>
      <c r="AM428" s="58"/>
      <c r="AN428" s="58"/>
      <c r="AO428" s="58"/>
      <c r="AP428" s="58"/>
      <c r="AQ428" s="58"/>
      <c r="AR428" s="58"/>
    </row>
    <row r="429" spans="1:44" ht="15.75" customHeight="1" x14ac:dyDescent="0.25">
      <c r="A429" s="64"/>
      <c r="B429" s="62"/>
      <c r="C429" s="62"/>
      <c r="D429" s="62"/>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c r="AG429" s="58"/>
      <c r="AH429" s="58"/>
      <c r="AI429" s="58"/>
      <c r="AJ429" s="58"/>
      <c r="AK429" s="58"/>
      <c r="AL429" s="58"/>
      <c r="AM429" s="58"/>
      <c r="AN429" s="58"/>
      <c r="AO429" s="58"/>
      <c r="AP429" s="58"/>
      <c r="AQ429" s="58"/>
      <c r="AR429" s="58"/>
    </row>
    <row r="430" spans="1:44" ht="15.75" customHeight="1" x14ac:dyDescent="0.25">
      <c r="A430" s="64"/>
      <c r="B430" s="62"/>
      <c r="C430" s="62"/>
      <c r="D430" s="62"/>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c r="AE430" s="58"/>
      <c r="AF430" s="58"/>
      <c r="AG430" s="58"/>
      <c r="AH430" s="58"/>
      <c r="AI430" s="58"/>
      <c r="AJ430" s="58"/>
      <c r="AK430" s="58"/>
      <c r="AL430" s="58"/>
      <c r="AM430" s="58"/>
      <c r="AN430" s="58"/>
      <c r="AO430" s="58"/>
      <c r="AP430" s="58"/>
      <c r="AQ430" s="58"/>
      <c r="AR430" s="58"/>
    </row>
    <row r="431" spans="1:44" ht="15.75" customHeight="1" x14ac:dyDescent="0.25">
      <c r="A431" s="64"/>
      <c r="B431" s="62"/>
      <c r="C431" s="62"/>
      <c r="D431" s="62"/>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8"/>
      <c r="AI431" s="58"/>
      <c r="AJ431" s="58"/>
      <c r="AK431" s="58"/>
      <c r="AL431" s="58"/>
      <c r="AM431" s="58"/>
      <c r="AN431" s="58"/>
      <c r="AO431" s="58"/>
      <c r="AP431" s="58"/>
      <c r="AQ431" s="58"/>
      <c r="AR431" s="58"/>
    </row>
    <row r="432" spans="1:44" ht="15.75" customHeight="1" x14ac:dyDescent="0.25">
      <c r="A432" s="64"/>
      <c r="B432" s="62"/>
      <c r="C432" s="62"/>
      <c r="D432" s="62"/>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c r="AE432" s="58"/>
      <c r="AF432" s="58"/>
      <c r="AG432" s="58"/>
      <c r="AH432" s="58"/>
      <c r="AI432" s="58"/>
      <c r="AJ432" s="58"/>
      <c r="AK432" s="58"/>
      <c r="AL432" s="58"/>
      <c r="AM432" s="58"/>
      <c r="AN432" s="58"/>
      <c r="AO432" s="58"/>
      <c r="AP432" s="58"/>
      <c r="AQ432" s="58"/>
      <c r="AR432" s="58"/>
    </row>
    <row r="433" spans="1:44" ht="15.75" customHeight="1" x14ac:dyDescent="0.25">
      <c r="A433" s="64"/>
      <c r="B433" s="62"/>
      <c r="C433" s="62"/>
      <c r="D433" s="62"/>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8"/>
      <c r="AI433" s="58"/>
      <c r="AJ433" s="58"/>
      <c r="AK433" s="58"/>
      <c r="AL433" s="58"/>
      <c r="AM433" s="58"/>
      <c r="AN433" s="58"/>
      <c r="AO433" s="58"/>
      <c r="AP433" s="58"/>
      <c r="AQ433" s="58"/>
      <c r="AR433" s="58"/>
    </row>
    <row r="434" spans="1:44" ht="15.75" customHeight="1" x14ac:dyDescent="0.25">
      <c r="A434" s="64"/>
      <c r="B434" s="62"/>
      <c r="C434" s="62"/>
      <c r="D434" s="62"/>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58"/>
      <c r="AK434" s="58"/>
      <c r="AL434" s="58"/>
      <c r="AM434" s="58"/>
      <c r="AN434" s="58"/>
      <c r="AO434" s="58"/>
      <c r="AP434" s="58"/>
      <c r="AQ434" s="58"/>
      <c r="AR434" s="58"/>
    </row>
    <row r="435" spans="1:44" ht="15.75" customHeight="1" x14ac:dyDescent="0.25">
      <c r="A435" s="64"/>
      <c r="B435" s="62"/>
      <c r="C435" s="62"/>
      <c r="D435" s="62"/>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8"/>
      <c r="AI435" s="58"/>
      <c r="AJ435" s="58"/>
      <c r="AK435" s="58"/>
      <c r="AL435" s="58"/>
      <c r="AM435" s="58"/>
      <c r="AN435" s="58"/>
      <c r="AO435" s="58"/>
      <c r="AP435" s="58"/>
      <c r="AQ435" s="58"/>
      <c r="AR435" s="58"/>
    </row>
    <row r="436" spans="1:44" ht="15.75" customHeight="1" x14ac:dyDescent="0.25">
      <c r="A436" s="64"/>
      <c r="B436" s="62"/>
      <c r="C436" s="62"/>
      <c r="D436" s="62"/>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8"/>
      <c r="AI436" s="58"/>
      <c r="AJ436" s="58"/>
      <c r="AK436" s="58"/>
      <c r="AL436" s="58"/>
      <c r="AM436" s="58"/>
      <c r="AN436" s="58"/>
      <c r="AO436" s="58"/>
      <c r="AP436" s="58"/>
      <c r="AQ436" s="58"/>
      <c r="AR436" s="58"/>
    </row>
    <row r="437" spans="1:44" ht="15.75" customHeight="1" x14ac:dyDescent="0.25">
      <c r="A437" s="64"/>
      <c r="B437" s="62"/>
      <c r="C437" s="62"/>
      <c r="D437" s="62"/>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58"/>
      <c r="AK437" s="58"/>
      <c r="AL437" s="58"/>
      <c r="AM437" s="58"/>
      <c r="AN437" s="58"/>
      <c r="AO437" s="58"/>
      <c r="AP437" s="58"/>
      <c r="AQ437" s="58"/>
      <c r="AR437" s="58"/>
    </row>
    <row r="438" spans="1:44" ht="15.75" customHeight="1" x14ac:dyDescent="0.25">
      <c r="A438" s="64"/>
      <c r="B438" s="62"/>
      <c r="C438" s="62"/>
      <c r="D438" s="62"/>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c r="AI438" s="58"/>
      <c r="AJ438" s="58"/>
      <c r="AK438" s="58"/>
      <c r="AL438" s="58"/>
      <c r="AM438" s="58"/>
      <c r="AN438" s="58"/>
      <c r="AO438" s="58"/>
      <c r="AP438" s="58"/>
      <c r="AQ438" s="58"/>
      <c r="AR438" s="58"/>
    </row>
    <row r="439" spans="1:44" ht="15.75" customHeight="1" x14ac:dyDescent="0.25">
      <c r="A439" s="64"/>
      <c r="B439" s="62"/>
      <c r="C439" s="62"/>
      <c r="D439" s="62"/>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8"/>
      <c r="AI439" s="58"/>
      <c r="AJ439" s="58"/>
      <c r="AK439" s="58"/>
      <c r="AL439" s="58"/>
      <c r="AM439" s="58"/>
      <c r="AN439" s="58"/>
      <c r="AO439" s="58"/>
      <c r="AP439" s="58"/>
      <c r="AQ439" s="58"/>
      <c r="AR439" s="58"/>
    </row>
    <row r="440" spans="1:44" ht="15.75" customHeight="1" x14ac:dyDescent="0.25">
      <c r="A440" s="64"/>
      <c r="B440" s="62"/>
      <c r="C440" s="62"/>
      <c r="D440" s="62"/>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58"/>
      <c r="AK440" s="58"/>
      <c r="AL440" s="58"/>
      <c r="AM440" s="58"/>
      <c r="AN440" s="58"/>
      <c r="AO440" s="58"/>
      <c r="AP440" s="58"/>
      <c r="AQ440" s="58"/>
      <c r="AR440" s="58"/>
    </row>
    <row r="441" spans="1:44" ht="15.75" customHeight="1" x14ac:dyDescent="0.25">
      <c r="A441" s="64"/>
      <c r="B441" s="62"/>
      <c r="C441" s="62"/>
      <c r="D441" s="62"/>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8"/>
      <c r="AI441" s="58"/>
      <c r="AJ441" s="58"/>
      <c r="AK441" s="58"/>
      <c r="AL441" s="58"/>
      <c r="AM441" s="58"/>
      <c r="AN441" s="58"/>
      <c r="AO441" s="58"/>
      <c r="AP441" s="58"/>
      <c r="AQ441" s="58"/>
      <c r="AR441" s="58"/>
    </row>
    <row r="442" spans="1:44" ht="15.75" customHeight="1" x14ac:dyDescent="0.25">
      <c r="A442" s="64"/>
      <c r="B442" s="62"/>
      <c r="C442" s="62"/>
      <c r="D442" s="62"/>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8"/>
      <c r="AI442" s="58"/>
      <c r="AJ442" s="58"/>
      <c r="AK442" s="58"/>
      <c r="AL442" s="58"/>
      <c r="AM442" s="58"/>
      <c r="AN442" s="58"/>
      <c r="AO442" s="58"/>
      <c r="AP442" s="58"/>
      <c r="AQ442" s="58"/>
      <c r="AR442" s="58"/>
    </row>
    <row r="443" spans="1:44" ht="15.75" customHeight="1" x14ac:dyDescent="0.25">
      <c r="A443" s="64"/>
      <c r="B443" s="62"/>
      <c r="C443" s="62"/>
      <c r="D443" s="62"/>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58"/>
      <c r="AK443" s="58"/>
      <c r="AL443" s="58"/>
      <c r="AM443" s="58"/>
      <c r="AN443" s="58"/>
      <c r="AO443" s="58"/>
      <c r="AP443" s="58"/>
      <c r="AQ443" s="58"/>
      <c r="AR443" s="58"/>
    </row>
    <row r="444" spans="1:44" ht="15.75" customHeight="1" x14ac:dyDescent="0.25">
      <c r="A444" s="64"/>
      <c r="B444" s="62"/>
      <c r="C444" s="62"/>
      <c r="D444" s="62"/>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8"/>
      <c r="AI444" s="58"/>
      <c r="AJ444" s="58"/>
      <c r="AK444" s="58"/>
      <c r="AL444" s="58"/>
      <c r="AM444" s="58"/>
      <c r="AN444" s="58"/>
      <c r="AO444" s="58"/>
      <c r="AP444" s="58"/>
      <c r="AQ444" s="58"/>
      <c r="AR444" s="58"/>
    </row>
    <row r="445" spans="1:44" ht="15.75" customHeight="1" x14ac:dyDescent="0.25">
      <c r="A445" s="64"/>
      <c r="B445" s="62"/>
      <c r="C445" s="62"/>
      <c r="D445" s="62"/>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8"/>
      <c r="AI445" s="58"/>
      <c r="AJ445" s="58"/>
      <c r="AK445" s="58"/>
      <c r="AL445" s="58"/>
      <c r="AM445" s="58"/>
      <c r="AN445" s="58"/>
      <c r="AO445" s="58"/>
      <c r="AP445" s="58"/>
      <c r="AQ445" s="58"/>
      <c r="AR445" s="58"/>
    </row>
    <row r="446" spans="1:44" ht="15.75" customHeight="1" x14ac:dyDescent="0.25">
      <c r="A446" s="64"/>
      <c r="B446" s="62"/>
      <c r="C446" s="62"/>
      <c r="D446" s="62"/>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58"/>
      <c r="AK446" s="58"/>
      <c r="AL446" s="58"/>
      <c r="AM446" s="58"/>
      <c r="AN446" s="58"/>
      <c r="AO446" s="58"/>
      <c r="AP446" s="58"/>
      <c r="AQ446" s="58"/>
      <c r="AR446" s="58"/>
    </row>
    <row r="447" spans="1:44" ht="15.75" customHeight="1" x14ac:dyDescent="0.25">
      <c r="A447" s="64"/>
      <c r="B447" s="62"/>
      <c r="C447" s="62"/>
      <c r="D447" s="62"/>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8"/>
      <c r="AI447" s="58"/>
      <c r="AJ447" s="58"/>
      <c r="AK447" s="58"/>
      <c r="AL447" s="58"/>
      <c r="AM447" s="58"/>
      <c r="AN447" s="58"/>
      <c r="AO447" s="58"/>
      <c r="AP447" s="58"/>
      <c r="AQ447" s="58"/>
      <c r="AR447" s="58"/>
    </row>
    <row r="448" spans="1:44" ht="15.75" customHeight="1" x14ac:dyDescent="0.25">
      <c r="A448" s="64"/>
      <c r="B448" s="62"/>
      <c r="C448" s="62"/>
      <c r="D448" s="62"/>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8"/>
      <c r="AI448" s="58"/>
      <c r="AJ448" s="58"/>
      <c r="AK448" s="58"/>
      <c r="AL448" s="58"/>
      <c r="AM448" s="58"/>
      <c r="AN448" s="58"/>
      <c r="AO448" s="58"/>
      <c r="AP448" s="58"/>
      <c r="AQ448" s="58"/>
      <c r="AR448" s="58"/>
    </row>
    <row r="449" spans="1:44" ht="15.75" customHeight="1" x14ac:dyDescent="0.25">
      <c r="A449" s="64"/>
      <c r="B449" s="62"/>
      <c r="C449" s="62"/>
      <c r="D449" s="62"/>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58"/>
      <c r="AK449" s="58"/>
      <c r="AL449" s="58"/>
      <c r="AM449" s="58"/>
      <c r="AN449" s="58"/>
      <c r="AO449" s="58"/>
      <c r="AP449" s="58"/>
      <c r="AQ449" s="58"/>
      <c r="AR449" s="58"/>
    </row>
    <row r="450" spans="1:44" ht="15.75" customHeight="1" x14ac:dyDescent="0.25">
      <c r="A450" s="64"/>
      <c r="B450" s="62"/>
      <c r="C450" s="62"/>
      <c r="D450" s="62"/>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8"/>
      <c r="AI450" s="58"/>
      <c r="AJ450" s="58"/>
      <c r="AK450" s="58"/>
      <c r="AL450" s="58"/>
      <c r="AM450" s="58"/>
      <c r="AN450" s="58"/>
      <c r="AO450" s="58"/>
      <c r="AP450" s="58"/>
      <c r="AQ450" s="58"/>
      <c r="AR450" s="58"/>
    </row>
    <row r="451" spans="1:44" ht="15.75" customHeight="1" x14ac:dyDescent="0.25">
      <c r="A451" s="64"/>
      <c r="B451" s="62"/>
      <c r="C451" s="62"/>
      <c r="D451" s="62"/>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8"/>
      <c r="AI451" s="58"/>
      <c r="AJ451" s="58"/>
      <c r="AK451" s="58"/>
      <c r="AL451" s="58"/>
      <c r="AM451" s="58"/>
      <c r="AN451" s="58"/>
      <c r="AO451" s="58"/>
      <c r="AP451" s="58"/>
      <c r="AQ451" s="58"/>
      <c r="AR451" s="58"/>
    </row>
    <row r="452" spans="1:44" ht="15.75" customHeight="1" x14ac:dyDescent="0.25">
      <c r="A452" s="64"/>
      <c r="B452" s="62"/>
      <c r="C452" s="62"/>
      <c r="D452" s="62"/>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58"/>
      <c r="AK452" s="58"/>
      <c r="AL452" s="58"/>
      <c r="AM452" s="58"/>
      <c r="AN452" s="58"/>
      <c r="AO452" s="58"/>
      <c r="AP452" s="58"/>
      <c r="AQ452" s="58"/>
      <c r="AR452" s="58"/>
    </row>
    <row r="453" spans="1:44" ht="15.75" customHeight="1" x14ac:dyDescent="0.25">
      <c r="A453" s="64"/>
      <c r="B453" s="62"/>
      <c r="C453" s="62"/>
      <c r="D453" s="62"/>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8"/>
      <c r="AI453" s="58"/>
      <c r="AJ453" s="58"/>
      <c r="AK453" s="58"/>
      <c r="AL453" s="58"/>
      <c r="AM453" s="58"/>
      <c r="AN453" s="58"/>
      <c r="AO453" s="58"/>
      <c r="AP453" s="58"/>
      <c r="AQ453" s="58"/>
      <c r="AR453" s="58"/>
    </row>
    <row r="454" spans="1:44" ht="15.75" customHeight="1" x14ac:dyDescent="0.25">
      <c r="A454" s="64"/>
      <c r="B454" s="62"/>
      <c r="C454" s="62"/>
      <c r="D454" s="62"/>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8"/>
      <c r="AI454" s="58"/>
      <c r="AJ454" s="58"/>
      <c r="AK454" s="58"/>
      <c r="AL454" s="58"/>
      <c r="AM454" s="58"/>
      <c r="AN454" s="58"/>
      <c r="AO454" s="58"/>
      <c r="AP454" s="58"/>
      <c r="AQ454" s="58"/>
      <c r="AR454" s="58"/>
    </row>
    <row r="455" spans="1:44" ht="15.75" customHeight="1" x14ac:dyDescent="0.25">
      <c r="A455" s="64"/>
      <c r="B455" s="62"/>
      <c r="C455" s="62"/>
      <c r="D455" s="62"/>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58"/>
      <c r="AK455" s="58"/>
      <c r="AL455" s="58"/>
      <c r="AM455" s="58"/>
      <c r="AN455" s="58"/>
      <c r="AO455" s="58"/>
      <c r="AP455" s="58"/>
      <c r="AQ455" s="58"/>
      <c r="AR455" s="58"/>
    </row>
    <row r="456" spans="1:44" ht="15.75" customHeight="1" x14ac:dyDescent="0.25">
      <c r="A456" s="64"/>
      <c r="B456" s="62"/>
      <c r="C456" s="62"/>
      <c r="D456" s="62"/>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8"/>
      <c r="AI456" s="58"/>
      <c r="AJ456" s="58"/>
      <c r="AK456" s="58"/>
      <c r="AL456" s="58"/>
      <c r="AM456" s="58"/>
      <c r="AN456" s="58"/>
      <c r="AO456" s="58"/>
      <c r="AP456" s="58"/>
      <c r="AQ456" s="58"/>
      <c r="AR456" s="58"/>
    </row>
    <row r="457" spans="1:44" ht="15.75" customHeight="1" x14ac:dyDescent="0.25">
      <c r="A457" s="64"/>
      <c r="B457" s="62"/>
      <c r="C457" s="62"/>
      <c r="D457" s="62"/>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8"/>
      <c r="AI457" s="58"/>
      <c r="AJ457" s="58"/>
      <c r="AK457" s="58"/>
      <c r="AL457" s="58"/>
      <c r="AM457" s="58"/>
      <c r="AN457" s="58"/>
      <c r="AO457" s="58"/>
      <c r="AP457" s="58"/>
      <c r="AQ457" s="58"/>
      <c r="AR457" s="58"/>
    </row>
    <row r="458" spans="1:44" ht="15.75" customHeight="1" x14ac:dyDescent="0.25">
      <c r="A458" s="64"/>
      <c r="B458" s="62"/>
      <c r="C458" s="62"/>
      <c r="D458" s="62"/>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58"/>
      <c r="AK458" s="58"/>
      <c r="AL458" s="58"/>
      <c r="AM458" s="58"/>
      <c r="AN458" s="58"/>
      <c r="AO458" s="58"/>
      <c r="AP458" s="58"/>
      <c r="AQ458" s="58"/>
      <c r="AR458" s="58"/>
    </row>
    <row r="459" spans="1:44" ht="15.75" customHeight="1" x14ac:dyDescent="0.25">
      <c r="A459" s="64"/>
      <c r="B459" s="62"/>
      <c r="C459" s="62"/>
      <c r="D459" s="62"/>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8"/>
      <c r="AI459" s="58"/>
      <c r="AJ459" s="58"/>
      <c r="AK459" s="58"/>
      <c r="AL459" s="58"/>
      <c r="AM459" s="58"/>
      <c r="AN459" s="58"/>
      <c r="AO459" s="58"/>
      <c r="AP459" s="58"/>
      <c r="AQ459" s="58"/>
      <c r="AR459" s="58"/>
    </row>
    <row r="460" spans="1:44" ht="15.75" customHeight="1" x14ac:dyDescent="0.25">
      <c r="A460" s="64"/>
      <c r="B460" s="62"/>
      <c r="C460" s="62"/>
      <c r="D460" s="62"/>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8"/>
      <c r="AI460" s="58"/>
      <c r="AJ460" s="58"/>
      <c r="AK460" s="58"/>
      <c r="AL460" s="58"/>
      <c r="AM460" s="58"/>
      <c r="AN460" s="58"/>
      <c r="AO460" s="58"/>
      <c r="AP460" s="58"/>
      <c r="AQ460" s="58"/>
      <c r="AR460" s="58"/>
    </row>
    <row r="461" spans="1:44" ht="15.75" customHeight="1" x14ac:dyDescent="0.25">
      <c r="A461" s="64"/>
      <c r="B461" s="62"/>
      <c r="C461" s="62"/>
      <c r="D461" s="62"/>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58"/>
      <c r="AK461" s="58"/>
      <c r="AL461" s="58"/>
      <c r="AM461" s="58"/>
      <c r="AN461" s="58"/>
      <c r="AO461" s="58"/>
      <c r="AP461" s="58"/>
      <c r="AQ461" s="58"/>
      <c r="AR461" s="58"/>
    </row>
    <row r="462" spans="1:44" ht="15.75" customHeight="1" x14ac:dyDescent="0.25">
      <c r="A462" s="64"/>
      <c r="B462" s="62"/>
      <c r="C462" s="62"/>
      <c r="D462" s="62"/>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8"/>
      <c r="AI462" s="58"/>
      <c r="AJ462" s="58"/>
      <c r="AK462" s="58"/>
      <c r="AL462" s="58"/>
      <c r="AM462" s="58"/>
      <c r="AN462" s="58"/>
      <c r="AO462" s="58"/>
      <c r="AP462" s="58"/>
      <c r="AQ462" s="58"/>
      <c r="AR462" s="58"/>
    </row>
    <row r="463" spans="1:44" ht="15.75" customHeight="1" x14ac:dyDescent="0.25">
      <c r="A463" s="64"/>
      <c r="B463" s="62"/>
      <c r="C463" s="62"/>
      <c r="D463" s="62"/>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8"/>
      <c r="AI463" s="58"/>
      <c r="AJ463" s="58"/>
      <c r="AK463" s="58"/>
      <c r="AL463" s="58"/>
      <c r="AM463" s="58"/>
      <c r="AN463" s="58"/>
      <c r="AO463" s="58"/>
      <c r="AP463" s="58"/>
      <c r="AQ463" s="58"/>
      <c r="AR463" s="58"/>
    </row>
    <row r="464" spans="1:44" ht="15.75" customHeight="1" x14ac:dyDescent="0.25">
      <c r="A464" s="64"/>
      <c r="B464" s="62"/>
      <c r="C464" s="62"/>
      <c r="D464" s="62"/>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58"/>
      <c r="AK464" s="58"/>
      <c r="AL464" s="58"/>
      <c r="AM464" s="58"/>
      <c r="AN464" s="58"/>
      <c r="AO464" s="58"/>
      <c r="AP464" s="58"/>
      <c r="AQ464" s="58"/>
      <c r="AR464" s="58"/>
    </row>
    <row r="465" spans="1:44" ht="15.75" customHeight="1" x14ac:dyDescent="0.25">
      <c r="A465" s="64"/>
      <c r="B465" s="62"/>
      <c r="C465" s="62"/>
      <c r="D465" s="62"/>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8"/>
      <c r="AI465" s="58"/>
      <c r="AJ465" s="58"/>
      <c r="AK465" s="58"/>
      <c r="AL465" s="58"/>
      <c r="AM465" s="58"/>
      <c r="AN465" s="58"/>
      <c r="AO465" s="58"/>
      <c r="AP465" s="58"/>
      <c r="AQ465" s="58"/>
      <c r="AR465" s="58"/>
    </row>
    <row r="466" spans="1:44" ht="15.75" customHeight="1" x14ac:dyDescent="0.25">
      <c r="A466" s="64"/>
      <c r="B466" s="62"/>
      <c r="C466" s="62"/>
      <c r="D466" s="62"/>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8"/>
      <c r="AI466" s="58"/>
      <c r="AJ466" s="58"/>
      <c r="AK466" s="58"/>
      <c r="AL466" s="58"/>
      <c r="AM466" s="58"/>
      <c r="AN466" s="58"/>
      <c r="AO466" s="58"/>
      <c r="AP466" s="58"/>
      <c r="AQ466" s="58"/>
      <c r="AR466" s="58"/>
    </row>
    <row r="467" spans="1:44" ht="15.75" customHeight="1" x14ac:dyDescent="0.25">
      <c r="A467" s="64"/>
      <c r="B467" s="62"/>
      <c r="C467" s="62"/>
      <c r="D467" s="62"/>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58"/>
      <c r="AK467" s="58"/>
      <c r="AL467" s="58"/>
      <c r="AM467" s="58"/>
      <c r="AN467" s="58"/>
      <c r="AO467" s="58"/>
      <c r="AP467" s="58"/>
      <c r="AQ467" s="58"/>
      <c r="AR467" s="58"/>
    </row>
    <row r="468" spans="1:44" ht="15.75" customHeight="1" x14ac:dyDescent="0.25">
      <c r="A468" s="64"/>
      <c r="B468" s="62"/>
      <c r="C468" s="62"/>
      <c r="D468" s="62"/>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8"/>
      <c r="AI468" s="58"/>
      <c r="AJ468" s="58"/>
      <c r="AK468" s="58"/>
      <c r="AL468" s="58"/>
      <c r="AM468" s="58"/>
      <c r="AN468" s="58"/>
      <c r="AO468" s="58"/>
      <c r="AP468" s="58"/>
      <c r="AQ468" s="58"/>
      <c r="AR468" s="58"/>
    </row>
    <row r="469" spans="1:44" ht="15.75" customHeight="1" x14ac:dyDescent="0.25">
      <c r="A469" s="64"/>
      <c r="B469" s="62"/>
      <c r="C469" s="62"/>
      <c r="D469" s="62"/>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8"/>
      <c r="AI469" s="58"/>
      <c r="AJ469" s="58"/>
      <c r="AK469" s="58"/>
      <c r="AL469" s="58"/>
      <c r="AM469" s="58"/>
      <c r="AN469" s="58"/>
      <c r="AO469" s="58"/>
      <c r="AP469" s="58"/>
      <c r="AQ469" s="58"/>
      <c r="AR469" s="58"/>
    </row>
    <row r="470" spans="1:44" ht="15.75" customHeight="1" x14ac:dyDescent="0.25">
      <c r="A470" s="64"/>
      <c r="B470" s="62"/>
      <c r="C470" s="62"/>
      <c r="D470" s="62"/>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58"/>
      <c r="AK470" s="58"/>
      <c r="AL470" s="58"/>
      <c r="AM470" s="58"/>
      <c r="AN470" s="58"/>
      <c r="AO470" s="58"/>
      <c r="AP470" s="58"/>
      <c r="AQ470" s="58"/>
      <c r="AR470" s="58"/>
    </row>
    <row r="471" spans="1:44" ht="15.75" customHeight="1" x14ac:dyDescent="0.25">
      <c r="A471" s="64"/>
      <c r="B471" s="62"/>
      <c r="C471" s="62"/>
      <c r="D471" s="62"/>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c r="AG471" s="58"/>
      <c r="AH471" s="58"/>
      <c r="AI471" s="58"/>
      <c r="AJ471" s="58"/>
      <c r="AK471" s="58"/>
      <c r="AL471" s="58"/>
      <c r="AM471" s="58"/>
      <c r="AN471" s="58"/>
      <c r="AO471" s="58"/>
      <c r="AP471" s="58"/>
      <c r="AQ471" s="58"/>
      <c r="AR471" s="58"/>
    </row>
    <row r="472" spans="1:44" ht="15.75" customHeight="1" x14ac:dyDescent="0.25">
      <c r="A472" s="64"/>
      <c r="B472" s="62"/>
      <c r="C472" s="62"/>
      <c r="D472" s="62"/>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c r="AG472" s="58"/>
      <c r="AH472" s="58"/>
      <c r="AI472" s="58"/>
      <c r="AJ472" s="58"/>
      <c r="AK472" s="58"/>
      <c r="AL472" s="58"/>
      <c r="AM472" s="58"/>
      <c r="AN472" s="58"/>
      <c r="AO472" s="58"/>
      <c r="AP472" s="58"/>
      <c r="AQ472" s="58"/>
      <c r="AR472" s="58"/>
    </row>
    <row r="473" spans="1:44" ht="15.75" customHeight="1" x14ac:dyDescent="0.25">
      <c r="A473" s="64"/>
      <c r="B473" s="62"/>
      <c r="C473" s="62"/>
      <c r="D473" s="62"/>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8"/>
      <c r="AI473" s="58"/>
      <c r="AJ473" s="58"/>
      <c r="AK473" s="58"/>
      <c r="AL473" s="58"/>
      <c r="AM473" s="58"/>
      <c r="AN473" s="58"/>
      <c r="AO473" s="58"/>
      <c r="AP473" s="58"/>
      <c r="AQ473" s="58"/>
      <c r="AR473" s="58"/>
    </row>
    <row r="474" spans="1:44" ht="15.75" customHeight="1" x14ac:dyDescent="0.25">
      <c r="A474" s="64"/>
      <c r="B474" s="62"/>
      <c r="C474" s="62"/>
      <c r="D474" s="62"/>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c r="AE474" s="58"/>
      <c r="AF474" s="58"/>
      <c r="AG474" s="58"/>
      <c r="AH474" s="58"/>
      <c r="AI474" s="58"/>
      <c r="AJ474" s="58"/>
      <c r="AK474" s="58"/>
      <c r="AL474" s="58"/>
      <c r="AM474" s="58"/>
      <c r="AN474" s="58"/>
      <c r="AO474" s="58"/>
      <c r="AP474" s="58"/>
      <c r="AQ474" s="58"/>
      <c r="AR474" s="58"/>
    </row>
    <row r="475" spans="1:44" ht="15.75" customHeight="1" x14ac:dyDescent="0.25">
      <c r="A475" s="64"/>
      <c r="B475" s="62"/>
      <c r="C475" s="62"/>
      <c r="D475" s="62"/>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c r="AG475" s="58"/>
      <c r="AH475" s="58"/>
      <c r="AI475" s="58"/>
      <c r="AJ475" s="58"/>
      <c r="AK475" s="58"/>
      <c r="AL475" s="58"/>
      <c r="AM475" s="58"/>
      <c r="AN475" s="58"/>
      <c r="AO475" s="58"/>
      <c r="AP475" s="58"/>
      <c r="AQ475" s="58"/>
      <c r="AR475" s="58"/>
    </row>
    <row r="476" spans="1:44" ht="15.75" customHeight="1" x14ac:dyDescent="0.25">
      <c r="A476" s="64"/>
      <c r="B476" s="62"/>
      <c r="C476" s="62"/>
      <c r="D476" s="62"/>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8"/>
      <c r="AI476" s="58"/>
      <c r="AJ476" s="58"/>
      <c r="AK476" s="58"/>
      <c r="AL476" s="58"/>
      <c r="AM476" s="58"/>
      <c r="AN476" s="58"/>
      <c r="AO476" s="58"/>
      <c r="AP476" s="58"/>
      <c r="AQ476" s="58"/>
      <c r="AR476" s="58"/>
    </row>
    <row r="477" spans="1:44" ht="15.75" customHeight="1" x14ac:dyDescent="0.25">
      <c r="A477" s="64"/>
      <c r="B477" s="62"/>
      <c r="C477" s="62"/>
      <c r="D477" s="62"/>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c r="AG477" s="58"/>
      <c r="AH477" s="58"/>
      <c r="AI477" s="58"/>
      <c r="AJ477" s="58"/>
      <c r="AK477" s="58"/>
      <c r="AL477" s="58"/>
      <c r="AM477" s="58"/>
      <c r="AN477" s="58"/>
      <c r="AO477" s="58"/>
      <c r="AP477" s="58"/>
      <c r="AQ477" s="58"/>
      <c r="AR477" s="58"/>
    </row>
    <row r="478" spans="1:44" ht="15.75" customHeight="1" x14ac:dyDescent="0.25">
      <c r="A478" s="64"/>
      <c r="B478" s="62"/>
      <c r="C478" s="62"/>
      <c r="D478" s="62"/>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c r="AG478" s="58"/>
      <c r="AH478" s="58"/>
      <c r="AI478" s="58"/>
      <c r="AJ478" s="58"/>
      <c r="AK478" s="58"/>
      <c r="AL478" s="58"/>
      <c r="AM478" s="58"/>
      <c r="AN478" s="58"/>
      <c r="AO478" s="58"/>
      <c r="AP478" s="58"/>
      <c r="AQ478" s="58"/>
      <c r="AR478" s="58"/>
    </row>
    <row r="479" spans="1:44" ht="15.75" customHeight="1" x14ac:dyDescent="0.25">
      <c r="A479" s="64"/>
      <c r="B479" s="62"/>
      <c r="C479" s="62"/>
      <c r="D479" s="62"/>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8"/>
      <c r="AI479" s="58"/>
      <c r="AJ479" s="58"/>
      <c r="AK479" s="58"/>
      <c r="AL479" s="58"/>
      <c r="AM479" s="58"/>
      <c r="AN479" s="58"/>
      <c r="AO479" s="58"/>
      <c r="AP479" s="58"/>
      <c r="AQ479" s="58"/>
      <c r="AR479" s="58"/>
    </row>
    <row r="480" spans="1:44" ht="15.75" customHeight="1" x14ac:dyDescent="0.25">
      <c r="A480" s="64"/>
      <c r="B480" s="62"/>
      <c r="C480" s="62"/>
      <c r="D480" s="62"/>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c r="AG480" s="58"/>
      <c r="AH480" s="58"/>
      <c r="AI480" s="58"/>
      <c r="AJ480" s="58"/>
      <c r="AK480" s="58"/>
      <c r="AL480" s="58"/>
      <c r="AM480" s="58"/>
      <c r="AN480" s="58"/>
      <c r="AO480" s="58"/>
      <c r="AP480" s="58"/>
      <c r="AQ480" s="58"/>
      <c r="AR480" s="58"/>
    </row>
    <row r="481" spans="1:44" ht="15.75" customHeight="1" x14ac:dyDescent="0.25">
      <c r="A481" s="64"/>
      <c r="B481" s="62"/>
      <c r="C481" s="62"/>
      <c r="D481" s="62"/>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c r="AG481" s="58"/>
      <c r="AH481" s="58"/>
      <c r="AI481" s="58"/>
      <c r="AJ481" s="58"/>
      <c r="AK481" s="58"/>
      <c r="AL481" s="58"/>
      <c r="AM481" s="58"/>
      <c r="AN481" s="58"/>
      <c r="AO481" s="58"/>
      <c r="AP481" s="58"/>
      <c r="AQ481" s="58"/>
      <c r="AR481" s="58"/>
    </row>
    <row r="482" spans="1:44" ht="15.75" customHeight="1" x14ac:dyDescent="0.25">
      <c r="A482" s="64"/>
      <c r="B482" s="62"/>
      <c r="C482" s="62"/>
      <c r="D482" s="62"/>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8"/>
      <c r="AI482" s="58"/>
      <c r="AJ482" s="58"/>
      <c r="AK482" s="58"/>
      <c r="AL482" s="58"/>
      <c r="AM482" s="58"/>
      <c r="AN482" s="58"/>
      <c r="AO482" s="58"/>
      <c r="AP482" s="58"/>
      <c r="AQ482" s="58"/>
      <c r="AR482" s="58"/>
    </row>
    <row r="483" spans="1:44" ht="15.75" customHeight="1" x14ac:dyDescent="0.25">
      <c r="A483" s="64"/>
      <c r="B483" s="62"/>
      <c r="C483" s="62"/>
      <c r="D483" s="62"/>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c r="AG483" s="58"/>
      <c r="AH483" s="58"/>
      <c r="AI483" s="58"/>
      <c r="AJ483" s="58"/>
      <c r="AK483" s="58"/>
      <c r="AL483" s="58"/>
      <c r="AM483" s="58"/>
      <c r="AN483" s="58"/>
      <c r="AO483" s="58"/>
      <c r="AP483" s="58"/>
      <c r="AQ483" s="58"/>
      <c r="AR483" s="58"/>
    </row>
    <row r="484" spans="1:44" ht="15.75" customHeight="1" x14ac:dyDescent="0.25">
      <c r="A484" s="64"/>
      <c r="B484" s="62"/>
      <c r="C484" s="62"/>
      <c r="D484" s="62"/>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c r="AE484" s="58"/>
      <c r="AF484" s="58"/>
      <c r="AG484" s="58"/>
      <c r="AH484" s="58"/>
      <c r="AI484" s="58"/>
      <c r="AJ484" s="58"/>
      <c r="AK484" s="58"/>
      <c r="AL484" s="58"/>
      <c r="AM484" s="58"/>
      <c r="AN484" s="58"/>
      <c r="AO484" s="58"/>
      <c r="AP484" s="58"/>
      <c r="AQ484" s="58"/>
      <c r="AR484" s="58"/>
    </row>
    <row r="485" spans="1:44" ht="15.75" customHeight="1" x14ac:dyDescent="0.25">
      <c r="A485" s="64"/>
      <c r="B485" s="62"/>
      <c r="C485" s="62"/>
      <c r="D485" s="62"/>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8"/>
      <c r="AI485" s="58"/>
      <c r="AJ485" s="58"/>
      <c r="AK485" s="58"/>
      <c r="AL485" s="58"/>
      <c r="AM485" s="58"/>
      <c r="AN485" s="58"/>
      <c r="AO485" s="58"/>
      <c r="AP485" s="58"/>
      <c r="AQ485" s="58"/>
      <c r="AR485" s="58"/>
    </row>
    <row r="486" spans="1:44" ht="15.75" customHeight="1" x14ac:dyDescent="0.25">
      <c r="A486" s="64"/>
      <c r="B486" s="62"/>
      <c r="C486" s="62"/>
      <c r="D486" s="62"/>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c r="AE486" s="58"/>
      <c r="AF486" s="58"/>
      <c r="AG486" s="58"/>
      <c r="AH486" s="58"/>
      <c r="AI486" s="58"/>
      <c r="AJ486" s="58"/>
      <c r="AK486" s="58"/>
      <c r="AL486" s="58"/>
      <c r="AM486" s="58"/>
      <c r="AN486" s="58"/>
      <c r="AO486" s="58"/>
      <c r="AP486" s="58"/>
      <c r="AQ486" s="58"/>
      <c r="AR486" s="58"/>
    </row>
    <row r="487" spans="1:44" ht="15.75" customHeight="1" x14ac:dyDescent="0.25">
      <c r="A487" s="64"/>
      <c r="B487" s="62"/>
      <c r="C487" s="62"/>
      <c r="D487" s="62"/>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c r="AG487" s="58"/>
      <c r="AH487" s="58"/>
      <c r="AI487" s="58"/>
      <c r="AJ487" s="58"/>
      <c r="AK487" s="58"/>
      <c r="AL487" s="58"/>
      <c r="AM487" s="58"/>
      <c r="AN487" s="58"/>
      <c r="AO487" s="58"/>
      <c r="AP487" s="58"/>
      <c r="AQ487" s="58"/>
      <c r="AR487" s="58"/>
    </row>
    <row r="488" spans="1:44" ht="15.75" customHeight="1" x14ac:dyDescent="0.25">
      <c r="A488" s="64"/>
      <c r="B488" s="62"/>
      <c r="C488" s="62"/>
      <c r="D488" s="62"/>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8"/>
      <c r="AI488" s="58"/>
      <c r="AJ488" s="58"/>
      <c r="AK488" s="58"/>
      <c r="AL488" s="58"/>
      <c r="AM488" s="58"/>
      <c r="AN488" s="58"/>
      <c r="AO488" s="58"/>
      <c r="AP488" s="58"/>
      <c r="AQ488" s="58"/>
      <c r="AR488" s="58"/>
    </row>
    <row r="489" spans="1:44" ht="15.75" customHeight="1" x14ac:dyDescent="0.25">
      <c r="A489" s="64"/>
      <c r="B489" s="62"/>
      <c r="C489" s="62"/>
      <c r="D489" s="62"/>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c r="AE489" s="58"/>
      <c r="AF489" s="58"/>
      <c r="AG489" s="58"/>
      <c r="AH489" s="58"/>
      <c r="AI489" s="58"/>
      <c r="AJ489" s="58"/>
      <c r="AK489" s="58"/>
      <c r="AL489" s="58"/>
      <c r="AM489" s="58"/>
      <c r="AN489" s="58"/>
      <c r="AO489" s="58"/>
      <c r="AP489" s="58"/>
      <c r="AQ489" s="58"/>
      <c r="AR489" s="58"/>
    </row>
    <row r="490" spans="1:44" ht="15.75" customHeight="1" x14ac:dyDescent="0.25">
      <c r="A490" s="64"/>
      <c r="B490" s="62"/>
      <c r="C490" s="62"/>
      <c r="D490" s="62"/>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c r="AE490" s="58"/>
      <c r="AF490" s="58"/>
      <c r="AG490" s="58"/>
      <c r="AH490" s="58"/>
      <c r="AI490" s="58"/>
      <c r="AJ490" s="58"/>
      <c r="AK490" s="58"/>
      <c r="AL490" s="58"/>
      <c r="AM490" s="58"/>
      <c r="AN490" s="58"/>
      <c r="AO490" s="58"/>
      <c r="AP490" s="58"/>
      <c r="AQ490" s="58"/>
      <c r="AR490" s="58"/>
    </row>
    <row r="491" spans="1:44" ht="15.75" customHeight="1" x14ac:dyDescent="0.25">
      <c r="A491" s="64"/>
      <c r="B491" s="62"/>
      <c r="C491" s="62"/>
      <c r="D491" s="62"/>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8"/>
      <c r="AI491" s="58"/>
      <c r="AJ491" s="58"/>
      <c r="AK491" s="58"/>
      <c r="AL491" s="58"/>
      <c r="AM491" s="58"/>
      <c r="AN491" s="58"/>
      <c r="AO491" s="58"/>
      <c r="AP491" s="58"/>
      <c r="AQ491" s="58"/>
      <c r="AR491" s="58"/>
    </row>
    <row r="492" spans="1:44" ht="15.75" customHeight="1" x14ac:dyDescent="0.25">
      <c r="A492" s="64"/>
      <c r="B492" s="62"/>
      <c r="C492" s="62"/>
      <c r="D492" s="62"/>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c r="AG492" s="58"/>
      <c r="AH492" s="58"/>
      <c r="AI492" s="58"/>
      <c r="AJ492" s="58"/>
      <c r="AK492" s="58"/>
      <c r="AL492" s="58"/>
      <c r="AM492" s="58"/>
      <c r="AN492" s="58"/>
      <c r="AO492" s="58"/>
      <c r="AP492" s="58"/>
      <c r="AQ492" s="58"/>
      <c r="AR492" s="58"/>
    </row>
    <row r="493" spans="1:44" ht="15.75" customHeight="1" x14ac:dyDescent="0.25">
      <c r="A493" s="64"/>
      <c r="B493" s="62"/>
      <c r="C493" s="62"/>
      <c r="D493" s="62"/>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c r="AE493" s="58"/>
      <c r="AF493" s="58"/>
      <c r="AG493" s="58"/>
      <c r="AH493" s="58"/>
      <c r="AI493" s="58"/>
      <c r="AJ493" s="58"/>
      <c r="AK493" s="58"/>
      <c r="AL493" s="58"/>
      <c r="AM493" s="58"/>
      <c r="AN493" s="58"/>
      <c r="AO493" s="58"/>
      <c r="AP493" s="58"/>
      <c r="AQ493" s="58"/>
      <c r="AR493" s="58"/>
    </row>
    <row r="494" spans="1:44" ht="15.75" customHeight="1" x14ac:dyDescent="0.25">
      <c r="A494" s="64"/>
      <c r="B494" s="62"/>
      <c r="C494" s="62"/>
      <c r="D494" s="62"/>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8"/>
      <c r="AI494" s="58"/>
      <c r="AJ494" s="58"/>
      <c r="AK494" s="58"/>
      <c r="AL494" s="58"/>
      <c r="AM494" s="58"/>
      <c r="AN494" s="58"/>
      <c r="AO494" s="58"/>
      <c r="AP494" s="58"/>
      <c r="AQ494" s="58"/>
      <c r="AR494" s="58"/>
    </row>
    <row r="495" spans="1:44" ht="15.75" customHeight="1" x14ac:dyDescent="0.25">
      <c r="A495" s="64"/>
      <c r="B495" s="62"/>
      <c r="C495" s="62"/>
      <c r="D495" s="62"/>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c r="AG495" s="58"/>
      <c r="AH495" s="58"/>
      <c r="AI495" s="58"/>
      <c r="AJ495" s="58"/>
      <c r="AK495" s="58"/>
      <c r="AL495" s="58"/>
      <c r="AM495" s="58"/>
      <c r="AN495" s="58"/>
      <c r="AO495" s="58"/>
      <c r="AP495" s="58"/>
      <c r="AQ495" s="58"/>
      <c r="AR495" s="58"/>
    </row>
    <row r="496" spans="1:44" ht="15.75" customHeight="1" x14ac:dyDescent="0.25">
      <c r="A496" s="64"/>
      <c r="B496" s="62"/>
      <c r="C496" s="62"/>
      <c r="D496" s="62"/>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c r="AE496" s="58"/>
      <c r="AF496" s="58"/>
      <c r="AG496" s="58"/>
      <c r="AH496" s="58"/>
      <c r="AI496" s="58"/>
      <c r="AJ496" s="58"/>
      <c r="AK496" s="58"/>
      <c r="AL496" s="58"/>
      <c r="AM496" s="58"/>
      <c r="AN496" s="58"/>
      <c r="AO496" s="58"/>
      <c r="AP496" s="58"/>
      <c r="AQ496" s="58"/>
      <c r="AR496" s="58"/>
    </row>
    <row r="497" spans="1:44" ht="15.75" customHeight="1" x14ac:dyDescent="0.25">
      <c r="A497" s="64"/>
      <c r="B497" s="62"/>
      <c r="C497" s="62"/>
      <c r="D497" s="62"/>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8"/>
      <c r="AI497" s="58"/>
      <c r="AJ497" s="58"/>
      <c r="AK497" s="58"/>
      <c r="AL497" s="58"/>
      <c r="AM497" s="58"/>
      <c r="AN497" s="58"/>
      <c r="AO497" s="58"/>
      <c r="AP497" s="58"/>
      <c r="AQ497" s="58"/>
      <c r="AR497" s="58"/>
    </row>
    <row r="498" spans="1:44" ht="15.75" customHeight="1" x14ac:dyDescent="0.25">
      <c r="A498" s="64"/>
      <c r="B498" s="62"/>
      <c r="C498" s="62"/>
      <c r="D498" s="62"/>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c r="AG498" s="58"/>
      <c r="AH498" s="58"/>
      <c r="AI498" s="58"/>
      <c r="AJ498" s="58"/>
      <c r="AK498" s="58"/>
      <c r="AL498" s="58"/>
      <c r="AM498" s="58"/>
      <c r="AN498" s="58"/>
      <c r="AO498" s="58"/>
      <c r="AP498" s="58"/>
      <c r="AQ498" s="58"/>
      <c r="AR498" s="58"/>
    </row>
    <row r="499" spans="1:44" ht="15.75" customHeight="1" x14ac:dyDescent="0.25">
      <c r="A499" s="64"/>
      <c r="B499" s="62"/>
      <c r="C499" s="62"/>
      <c r="D499" s="62"/>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c r="AG499" s="58"/>
      <c r="AH499" s="58"/>
      <c r="AI499" s="58"/>
      <c r="AJ499" s="58"/>
      <c r="AK499" s="58"/>
      <c r="AL499" s="58"/>
      <c r="AM499" s="58"/>
      <c r="AN499" s="58"/>
      <c r="AO499" s="58"/>
      <c r="AP499" s="58"/>
      <c r="AQ499" s="58"/>
      <c r="AR499" s="58"/>
    </row>
    <row r="500" spans="1:44" ht="15.75" customHeight="1" x14ac:dyDescent="0.25">
      <c r="A500" s="64"/>
      <c r="B500" s="62"/>
      <c r="C500" s="62"/>
      <c r="D500" s="62"/>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c r="AI500" s="58"/>
      <c r="AJ500" s="58"/>
      <c r="AK500" s="58"/>
      <c r="AL500" s="58"/>
      <c r="AM500" s="58"/>
      <c r="AN500" s="58"/>
      <c r="AO500" s="58"/>
      <c r="AP500" s="58"/>
      <c r="AQ500" s="58"/>
      <c r="AR500" s="58"/>
    </row>
    <row r="501" spans="1:44" ht="15.75" customHeight="1" x14ac:dyDescent="0.25">
      <c r="A501" s="64"/>
      <c r="B501" s="62"/>
      <c r="C501" s="62"/>
      <c r="D501" s="62"/>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c r="AE501" s="58"/>
      <c r="AF501" s="58"/>
      <c r="AG501" s="58"/>
      <c r="AH501" s="58"/>
      <c r="AI501" s="58"/>
      <c r="AJ501" s="58"/>
      <c r="AK501" s="58"/>
      <c r="AL501" s="58"/>
      <c r="AM501" s="58"/>
      <c r="AN501" s="58"/>
      <c r="AO501" s="58"/>
      <c r="AP501" s="58"/>
      <c r="AQ501" s="58"/>
      <c r="AR501" s="58"/>
    </row>
    <row r="502" spans="1:44" ht="15.75" customHeight="1" x14ac:dyDescent="0.25">
      <c r="A502" s="64"/>
      <c r="B502" s="62"/>
      <c r="C502" s="62"/>
      <c r="D502" s="62"/>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c r="AE502" s="58"/>
      <c r="AF502" s="58"/>
      <c r="AG502" s="58"/>
      <c r="AH502" s="58"/>
      <c r="AI502" s="58"/>
      <c r="AJ502" s="58"/>
      <c r="AK502" s="58"/>
      <c r="AL502" s="58"/>
      <c r="AM502" s="58"/>
      <c r="AN502" s="58"/>
      <c r="AO502" s="58"/>
      <c r="AP502" s="58"/>
      <c r="AQ502" s="58"/>
      <c r="AR502" s="58"/>
    </row>
    <row r="503" spans="1:44" ht="15.75" customHeight="1" x14ac:dyDescent="0.25">
      <c r="A503" s="64"/>
      <c r="B503" s="62"/>
      <c r="C503" s="62"/>
      <c r="D503" s="62"/>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c r="AE503" s="58"/>
      <c r="AF503" s="58"/>
      <c r="AG503" s="58"/>
      <c r="AH503" s="58"/>
      <c r="AI503" s="58"/>
      <c r="AJ503" s="58"/>
      <c r="AK503" s="58"/>
      <c r="AL503" s="58"/>
      <c r="AM503" s="58"/>
      <c r="AN503" s="58"/>
      <c r="AO503" s="58"/>
      <c r="AP503" s="58"/>
      <c r="AQ503" s="58"/>
      <c r="AR503" s="58"/>
    </row>
    <row r="504" spans="1:44" ht="15.75" customHeight="1" x14ac:dyDescent="0.25">
      <c r="A504" s="64"/>
      <c r="B504" s="62"/>
      <c r="C504" s="62"/>
      <c r="D504" s="62"/>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c r="AG504" s="58"/>
      <c r="AH504" s="58"/>
      <c r="AI504" s="58"/>
      <c r="AJ504" s="58"/>
      <c r="AK504" s="58"/>
      <c r="AL504" s="58"/>
      <c r="AM504" s="58"/>
      <c r="AN504" s="58"/>
      <c r="AO504" s="58"/>
      <c r="AP504" s="58"/>
      <c r="AQ504" s="58"/>
      <c r="AR504" s="58"/>
    </row>
    <row r="505" spans="1:44" ht="15.75" customHeight="1" x14ac:dyDescent="0.25">
      <c r="A505" s="64"/>
      <c r="B505" s="62"/>
      <c r="C505" s="62"/>
      <c r="D505" s="62"/>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c r="AG505" s="58"/>
      <c r="AH505" s="58"/>
      <c r="AI505" s="58"/>
      <c r="AJ505" s="58"/>
      <c r="AK505" s="58"/>
      <c r="AL505" s="58"/>
      <c r="AM505" s="58"/>
      <c r="AN505" s="58"/>
      <c r="AO505" s="58"/>
      <c r="AP505" s="58"/>
      <c r="AQ505" s="58"/>
      <c r="AR505" s="58"/>
    </row>
    <row r="506" spans="1:44" ht="15.75" customHeight="1" x14ac:dyDescent="0.25">
      <c r="A506" s="64"/>
      <c r="B506" s="62"/>
      <c r="C506" s="62"/>
      <c r="D506" s="62"/>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c r="AI506" s="58"/>
      <c r="AJ506" s="58"/>
      <c r="AK506" s="58"/>
      <c r="AL506" s="58"/>
      <c r="AM506" s="58"/>
      <c r="AN506" s="58"/>
      <c r="AO506" s="58"/>
      <c r="AP506" s="58"/>
      <c r="AQ506" s="58"/>
      <c r="AR506" s="58"/>
    </row>
    <row r="507" spans="1:44" ht="15.75" customHeight="1" x14ac:dyDescent="0.25">
      <c r="A507" s="64"/>
      <c r="B507" s="62"/>
      <c r="C507" s="62"/>
      <c r="D507" s="62"/>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c r="AG507" s="58"/>
      <c r="AH507" s="58"/>
      <c r="AI507" s="58"/>
      <c r="AJ507" s="58"/>
      <c r="AK507" s="58"/>
      <c r="AL507" s="58"/>
      <c r="AM507" s="58"/>
      <c r="AN507" s="58"/>
      <c r="AO507" s="58"/>
      <c r="AP507" s="58"/>
      <c r="AQ507" s="58"/>
      <c r="AR507" s="58"/>
    </row>
    <row r="508" spans="1:44" ht="15.75" customHeight="1" x14ac:dyDescent="0.25">
      <c r="A508" s="64"/>
      <c r="B508" s="62"/>
      <c r="C508" s="62"/>
      <c r="D508" s="62"/>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c r="AG508" s="58"/>
      <c r="AH508" s="58"/>
      <c r="AI508" s="58"/>
      <c r="AJ508" s="58"/>
      <c r="AK508" s="58"/>
      <c r="AL508" s="58"/>
      <c r="AM508" s="58"/>
      <c r="AN508" s="58"/>
      <c r="AO508" s="58"/>
      <c r="AP508" s="58"/>
      <c r="AQ508" s="58"/>
      <c r="AR508" s="58"/>
    </row>
    <row r="509" spans="1:44" ht="15.75" customHeight="1" x14ac:dyDescent="0.25">
      <c r="A509" s="64"/>
      <c r="B509" s="62"/>
      <c r="C509" s="62"/>
      <c r="D509" s="62"/>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c r="AI509" s="58"/>
      <c r="AJ509" s="58"/>
      <c r="AK509" s="58"/>
      <c r="AL509" s="58"/>
      <c r="AM509" s="58"/>
      <c r="AN509" s="58"/>
      <c r="AO509" s="58"/>
      <c r="AP509" s="58"/>
      <c r="AQ509" s="58"/>
      <c r="AR509" s="58"/>
    </row>
    <row r="510" spans="1:44" ht="15.75" customHeight="1" x14ac:dyDescent="0.25">
      <c r="A510" s="64"/>
      <c r="B510" s="62"/>
      <c r="C510" s="62"/>
      <c r="D510" s="62"/>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c r="AG510" s="58"/>
      <c r="AH510" s="58"/>
      <c r="AI510" s="58"/>
      <c r="AJ510" s="58"/>
      <c r="AK510" s="58"/>
      <c r="AL510" s="58"/>
      <c r="AM510" s="58"/>
      <c r="AN510" s="58"/>
      <c r="AO510" s="58"/>
      <c r="AP510" s="58"/>
      <c r="AQ510" s="58"/>
      <c r="AR510" s="58"/>
    </row>
    <row r="511" spans="1:44" ht="15.75" customHeight="1" x14ac:dyDescent="0.25">
      <c r="A511" s="64"/>
      <c r="B511" s="62"/>
      <c r="C511" s="62"/>
      <c r="D511" s="62"/>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c r="AG511" s="58"/>
      <c r="AH511" s="58"/>
      <c r="AI511" s="58"/>
      <c r="AJ511" s="58"/>
      <c r="AK511" s="58"/>
      <c r="AL511" s="58"/>
      <c r="AM511" s="58"/>
      <c r="AN511" s="58"/>
      <c r="AO511" s="58"/>
      <c r="AP511" s="58"/>
      <c r="AQ511" s="58"/>
      <c r="AR511" s="58"/>
    </row>
    <row r="512" spans="1:44" ht="15.75" customHeight="1" x14ac:dyDescent="0.25">
      <c r="A512" s="64"/>
      <c r="B512" s="62"/>
      <c r="C512" s="62"/>
      <c r="D512" s="62"/>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c r="AI512" s="58"/>
      <c r="AJ512" s="58"/>
      <c r="AK512" s="58"/>
      <c r="AL512" s="58"/>
      <c r="AM512" s="58"/>
      <c r="AN512" s="58"/>
      <c r="AO512" s="58"/>
      <c r="AP512" s="58"/>
      <c r="AQ512" s="58"/>
      <c r="AR512" s="58"/>
    </row>
    <row r="513" spans="1:44" ht="15.75" customHeight="1" x14ac:dyDescent="0.25">
      <c r="A513" s="64"/>
      <c r="B513" s="62"/>
      <c r="C513" s="62"/>
      <c r="D513" s="62"/>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c r="AG513" s="58"/>
      <c r="AH513" s="58"/>
      <c r="AI513" s="58"/>
      <c r="AJ513" s="58"/>
      <c r="AK513" s="58"/>
      <c r="AL513" s="58"/>
      <c r="AM513" s="58"/>
      <c r="AN513" s="58"/>
      <c r="AO513" s="58"/>
      <c r="AP513" s="58"/>
      <c r="AQ513" s="58"/>
      <c r="AR513" s="58"/>
    </row>
    <row r="514" spans="1:44" ht="15.75" customHeight="1" x14ac:dyDescent="0.25">
      <c r="A514" s="64"/>
      <c r="B514" s="62"/>
      <c r="C514" s="62"/>
      <c r="D514" s="62"/>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c r="AG514" s="58"/>
      <c r="AH514" s="58"/>
      <c r="AI514" s="58"/>
      <c r="AJ514" s="58"/>
      <c r="AK514" s="58"/>
      <c r="AL514" s="58"/>
      <c r="AM514" s="58"/>
      <c r="AN514" s="58"/>
      <c r="AO514" s="58"/>
      <c r="AP514" s="58"/>
      <c r="AQ514" s="58"/>
      <c r="AR514" s="58"/>
    </row>
    <row r="515" spans="1:44" ht="15.75" customHeight="1" x14ac:dyDescent="0.25">
      <c r="A515" s="64"/>
      <c r="B515" s="62"/>
      <c r="C515" s="62"/>
      <c r="D515" s="62"/>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c r="AI515" s="58"/>
      <c r="AJ515" s="58"/>
      <c r="AK515" s="58"/>
      <c r="AL515" s="58"/>
      <c r="AM515" s="58"/>
      <c r="AN515" s="58"/>
      <c r="AO515" s="58"/>
      <c r="AP515" s="58"/>
      <c r="AQ515" s="58"/>
      <c r="AR515" s="58"/>
    </row>
    <row r="516" spans="1:44" ht="15.75" customHeight="1" x14ac:dyDescent="0.25">
      <c r="A516" s="64"/>
      <c r="B516" s="62"/>
      <c r="C516" s="62"/>
      <c r="D516" s="62"/>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c r="AG516" s="58"/>
      <c r="AH516" s="58"/>
      <c r="AI516" s="58"/>
      <c r="AJ516" s="58"/>
      <c r="AK516" s="58"/>
      <c r="AL516" s="58"/>
      <c r="AM516" s="58"/>
      <c r="AN516" s="58"/>
      <c r="AO516" s="58"/>
      <c r="AP516" s="58"/>
      <c r="AQ516" s="58"/>
      <c r="AR516" s="58"/>
    </row>
    <row r="517" spans="1:44" ht="15.75" customHeight="1" x14ac:dyDescent="0.25">
      <c r="A517" s="64"/>
      <c r="B517" s="62"/>
      <c r="C517" s="62"/>
      <c r="D517" s="62"/>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c r="AG517" s="58"/>
      <c r="AH517" s="58"/>
      <c r="AI517" s="58"/>
      <c r="AJ517" s="58"/>
      <c r="AK517" s="58"/>
      <c r="AL517" s="58"/>
      <c r="AM517" s="58"/>
      <c r="AN517" s="58"/>
      <c r="AO517" s="58"/>
      <c r="AP517" s="58"/>
      <c r="AQ517" s="58"/>
      <c r="AR517" s="58"/>
    </row>
    <row r="518" spans="1:44" ht="15.75" customHeight="1" x14ac:dyDescent="0.25">
      <c r="A518" s="64"/>
      <c r="B518" s="62"/>
      <c r="C518" s="62"/>
      <c r="D518" s="62"/>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c r="AI518" s="58"/>
      <c r="AJ518" s="58"/>
      <c r="AK518" s="58"/>
      <c r="AL518" s="58"/>
      <c r="AM518" s="58"/>
      <c r="AN518" s="58"/>
      <c r="AO518" s="58"/>
      <c r="AP518" s="58"/>
      <c r="AQ518" s="58"/>
      <c r="AR518" s="58"/>
    </row>
    <row r="519" spans="1:44" ht="15.75" customHeight="1" x14ac:dyDescent="0.25">
      <c r="A519" s="64"/>
      <c r="B519" s="62"/>
      <c r="C519" s="62"/>
      <c r="D519" s="62"/>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c r="AG519" s="58"/>
      <c r="AH519" s="58"/>
      <c r="AI519" s="58"/>
      <c r="AJ519" s="58"/>
      <c r="AK519" s="58"/>
      <c r="AL519" s="58"/>
      <c r="AM519" s="58"/>
      <c r="AN519" s="58"/>
      <c r="AO519" s="58"/>
      <c r="AP519" s="58"/>
      <c r="AQ519" s="58"/>
      <c r="AR519" s="58"/>
    </row>
    <row r="520" spans="1:44" ht="15.75" customHeight="1" x14ac:dyDescent="0.25">
      <c r="A520" s="64"/>
      <c r="B520" s="62"/>
      <c r="C520" s="62"/>
      <c r="D520" s="62"/>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c r="AG520" s="58"/>
      <c r="AH520" s="58"/>
      <c r="AI520" s="58"/>
      <c r="AJ520" s="58"/>
      <c r="AK520" s="58"/>
      <c r="AL520" s="58"/>
      <c r="AM520" s="58"/>
      <c r="AN520" s="58"/>
      <c r="AO520" s="58"/>
      <c r="AP520" s="58"/>
      <c r="AQ520" s="58"/>
      <c r="AR520" s="58"/>
    </row>
    <row r="521" spans="1:44" ht="15.75" customHeight="1" x14ac:dyDescent="0.25">
      <c r="A521" s="64"/>
      <c r="B521" s="62"/>
      <c r="C521" s="62"/>
      <c r="D521" s="62"/>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c r="AI521" s="58"/>
      <c r="AJ521" s="58"/>
      <c r="AK521" s="58"/>
      <c r="AL521" s="58"/>
      <c r="AM521" s="58"/>
      <c r="AN521" s="58"/>
      <c r="AO521" s="58"/>
      <c r="AP521" s="58"/>
      <c r="AQ521" s="58"/>
      <c r="AR521" s="58"/>
    </row>
    <row r="522" spans="1:44" ht="15.75" customHeight="1" x14ac:dyDescent="0.25">
      <c r="A522" s="64"/>
      <c r="B522" s="62"/>
      <c r="C522" s="62"/>
      <c r="D522" s="62"/>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c r="AG522" s="58"/>
      <c r="AH522" s="58"/>
      <c r="AI522" s="58"/>
      <c r="AJ522" s="58"/>
      <c r="AK522" s="58"/>
      <c r="AL522" s="58"/>
      <c r="AM522" s="58"/>
      <c r="AN522" s="58"/>
      <c r="AO522" s="58"/>
      <c r="AP522" s="58"/>
      <c r="AQ522" s="58"/>
      <c r="AR522" s="58"/>
    </row>
    <row r="523" spans="1:44" ht="15.75" customHeight="1" x14ac:dyDescent="0.25">
      <c r="A523" s="64"/>
      <c r="B523" s="62"/>
      <c r="C523" s="62"/>
      <c r="D523" s="62"/>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c r="AG523" s="58"/>
      <c r="AH523" s="58"/>
      <c r="AI523" s="58"/>
      <c r="AJ523" s="58"/>
      <c r="AK523" s="58"/>
      <c r="AL523" s="58"/>
      <c r="AM523" s="58"/>
      <c r="AN523" s="58"/>
      <c r="AO523" s="58"/>
      <c r="AP523" s="58"/>
      <c r="AQ523" s="58"/>
      <c r="AR523" s="58"/>
    </row>
    <row r="524" spans="1:44" ht="15.75" customHeight="1" x14ac:dyDescent="0.25">
      <c r="A524" s="64"/>
      <c r="B524" s="62"/>
      <c r="C524" s="62"/>
      <c r="D524" s="62"/>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58"/>
      <c r="AK524" s="58"/>
      <c r="AL524" s="58"/>
      <c r="AM524" s="58"/>
      <c r="AN524" s="58"/>
      <c r="AO524" s="58"/>
      <c r="AP524" s="58"/>
      <c r="AQ524" s="58"/>
      <c r="AR524" s="58"/>
    </row>
    <row r="525" spans="1:44" ht="15.75" customHeight="1" x14ac:dyDescent="0.25">
      <c r="A525" s="64"/>
      <c r="B525" s="62"/>
      <c r="C525" s="62"/>
      <c r="D525" s="62"/>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c r="AG525" s="58"/>
      <c r="AH525" s="58"/>
      <c r="AI525" s="58"/>
      <c r="AJ525" s="58"/>
      <c r="AK525" s="58"/>
      <c r="AL525" s="58"/>
      <c r="AM525" s="58"/>
      <c r="AN525" s="58"/>
      <c r="AO525" s="58"/>
      <c r="AP525" s="58"/>
      <c r="AQ525" s="58"/>
      <c r="AR525" s="58"/>
    </row>
    <row r="526" spans="1:44" ht="15.75" customHeight="1" x14ac:dyDescent="0.25">
      <c r="A526" s="64"/>
      <c r="B526" s="62"/>
      <c r="C526" s="62"/>
      <c r="D526" s="62"/>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c r="AG526" s="58"/>
      <c r="AH526" s="58"/>
      <c r="AI526" s="58"/>
      <c r="AJ526" s="58"/>
      <c r="AK526" s="58"/>
      <c r="AL526" s="58"/>
      <c r="AM526" s="58"/>
      <c r="AN526" s="58"/>
      <c r="AO526" s="58"/>
      <c r="AP526" s="58"/>
      <c r="AQ526" s="58"/>
      <c r="AR526" s="58"/>
    </row>
    <row r="527" spans="1:44" ht="15.75" customHeight="1" x14ac:dyDescent="0.25">
      <c r="A527" s="64"/>
      <c r="B527" s="62"/>
      <c r="C527" s="62"/>
      <c r="D527" s="62"/>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c r="AI527" s="58"/>
      <c r="AJ527" s="58"/>
      <c r="AK527" s="58"/>
      <c r="AL527" s="58"/>
      <c r="AM527" s="58"/>
      <c r="AN527" s="58"/>
      <c r="AO527" s="58"/>
      <c r="AP527" s="58"/>
      <c r="AQ527" s="58"/>
      <c r="AR527" s="58"/>
    </row>
    <row r="528" spans="1:44" ht="15.75" customHeight="1" x14ac:dyDescent="0.25">
      <c r="A528" s="64"/>
      <c r="B528" s="62"/>
      <c r="C528" s="62"/>
      <c r="D528" s="62"/>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c r="AG528" s="58"/>
      <c r="AH528" s="58"/>
      <c r="AI528" s="58"/>
      <c r="AJ528" s="58"/>
      <c r="AK528" s="58"/>
      <c r="AL528" s="58"/>
      <c r="AM528" s="58"/>
      <c r="AN528" s="58"/>
      <c r="AO528" s="58"/>
      <c r="AP528" s="58"/>
      <c r="AQ528" s="58"/>
      <c r="AR528" s="58"/>
    </row>
    <row r="529" spans="1:44" ht="15.75" customHeight="1" x14ac:dyDescent="0.25">
      <c r="A529" s="64"/>
      <c r="B529" s="62"/>
      <c r="C529" s="62"/>
      <c r="D529" s="62"/>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c r="AG529" s="58"/>
      <c r="AH529" s="58"/>
      <c r="AI529" s="58"/>
      <c r="AJ529" s="58"/>
      <c r="AK529" s="58"/>
      <c r="AL529" s="58"/>
      <c r="AM529" s="58"/>
      <c r="AN529" s="58"/>
      <c r="AO529" s="58"/>
      <c r="AP529" s="58"/>
      <c r="AQ529" s="58"/>
      <c r="AR529" s="58"/>
    </row>
    <row r="530" spans="1:44" ht="15.75" customHeight="1" x14ac:dyDescent="0.25">
      <c r="A530" s="64"/>
      <c r="B530" s="62"/>
      <c r="C530" s="62"/>
      <c r="D530" s="62"/>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c r="AI530" s="58"/>
      <c r="AJ530" s="58"/>
      <c r="AK530" s="58"/>
      <c r="AL530" s="58"/>
      <c r="AM530" s="58"/>
      <c r="AN530" s="58"/>
      <c r="AO530" s="58"/>
      <c r="AP530" s="58"/>
      <c r="AQ530" s="58"/>
      <c r="AR530" s="58"/>
    </row>
    <row r="531" spans="1:44" ht="15.75" customHeight="1" x14ac:dyDescent="0.25">
      <c r="A531" s="64"/>
      <c r="B531" s="62"/>
      <c r="C531" s="62"/>
      <c r="D531" s="62"/>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c r="AG531" s="58"/>
      <c r="AH531" s="58"/>
      <c r="AI531" s="58"/>
      <c r="AJ531" s="58"/>
      <c r="AK531" s="58"/>
      <c r="AL531" s="58"/>
      <c r="AM531" s="58"/>
      <c r="AN531" s="58"/>
      <c r="AO531" s="58"/>
      <c r="AP531" s="58"/>
      <c r="AQ531" s="58"/>
      <c r="AR531" s="58"/>
    </row>
    <row r="532" spans="1:44" ht="15.75" customHeight="1" x14ac:dyDescent="0.25">
      <c r="A532" s="64"/>
      <c r="B532" s="62"/>
      <c r="C532" s="62"/>
      <c r="D532" s="62"/>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c r="AG532" s="58"/>
      <c r="AH532" s="58"/>
      <c r="AI532" s="58"/>
      <c r="AJ532" s="58"/>
      <c r="AK532" s="58"/>
      <c r="AL532" s="58"/>
      <c r="AM532" s="58"/>
      <c r="AN532" s="58"/>
      <c r="AO532" s="58"/>
      <c r="AP532" s="58"/>
      <c r="AQ532" s="58"/>
      <c r="AR532" s="58"/>
    </row>
    <row r="533" spans="1:44" ht="15.75" customHeight="1" x14ac:dyDescent="0.25">
      <c r="A533" s="64"/>
      <c r="B533" s="62"/>
      <c r="C533" s="62"/>
      <c r="D533" s="62"/>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c r="AI533" s="58"/>
      <c r="AJ533" s="58"/>
      <c r="AK533" s="58"/>
      <c r="AL533" s="58"/>
      <c r="AM533" s="58"/>
      <c r="AN533" s="58"/>
      <c r="AO533" s="58"/>
      <c r="AP533" s="58"/>
      <c r="AQ533" s="58"/>
      <c r="AR533" s="58"/>
    </row>
    <row r="534" spans="1:44" ht="15.75" customHeight="1" x14ac:dyDescent="0.25">
      <c r="A534" s="64"/>
      <c r="B534" s="62"/>
      <c r="C534" s="62"/>
      <c r="D534" s="62"/>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c r="AG534" s="58"/>
      <c r="AH534" s="58"/>
      <c r="AI534" s="58"/>
      <c r="AJ534" s="58"/>
      <c r="AK534" s="58"/>
      <c r="AL534" s="58"/>
      <c r="AM534" s="58"/>
      <c r="AN534" s="58"/>
      <c r="AO534" s="58"/>
      <c r="AP534" s="58"/>
      <c r="AQ534" s="58"/>
      <c r="AR534" s="58"/>
    </row>
    <row r="535" spans="1:44" ht="15.75" customHeight="1" x14ac:dyDescent="0.25">
      <c r="A535" s="64"/>
      <c r="B535" s="62"/>
      <c r="C535" s="62"/>
      <c r="D535" s="62"/>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c r="AG535" s="58"/>
      <c r="AH535" s="58"/>
      <c r="AI535" s="58"/>
      <c r="AJ535" s="58"/>
      <c r="AK535" s="58"/>
      <c r="AL535" s="58"/>
      <c r="AM535" s="58"/>
      <c r="AN535" s="58"/>
      <c r="AO535" s="58"/>
      <c r="AP535" s="58"/>
      <c r="AQ535" s="58"/>
      <c r="AR535" s="58"/>
    </row>
    <row r="536" spans="1:44" ht="15.75" customHeight="1" x14ac:dyDescent="0.25">
      <c r="A536" s="64"/>
      <c r="B536" s="62"/>
      <c r="C536" s="62"/>
      <c r="D536" s="62"/>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c r="AI536" s="58"/>
      <c r="AJ536" s="58"/>
      <c r="AK536" s="58"/>
      <c r="AL536" s="58"/>
      <c r="AM536" s="58"/>
      <c r="AN536" s="58"/>
      <c r="AO536" s="58"/>
      <c r="AP536" s="58"/>
      <c r="AQ536" s="58"/>
      <c r="AR536" s="58"/>
    </row>
    <row r="537" spans="1:44" ht="15.75" customHeight="1" x14ac:dyDescent="0.25">
      <c r="A537" s="64"/>
      <c r="B537" s="62"/>
      <c r="C537" s="62"/>
      <c r="D537" s="62"/>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c r="AE537" s="58"/>
      <c r="AF537" s="58"/>
      <c r="AG537" s="58"/>
      <c r="AH537" s="58"/>
      <c r="AI537" s="58"/>
      <c r="AJ537" s="58"/>
      <c r="AK537" s="58"/>
      <c r="AL537" s="58"/>
      <c r="AM537" s="58"/>
      <c r="AN537" s="58"/>
      <c r="AO537" s="58"/>
      <c r="AP537" s="58"/>
      <c r="AQ537" s="58"/>
      <c r="AR537" s="58"/>
    </row>
    <row r="538" spans="1:44" ht="15.75" customHeight="1" x14ac:dyDescent="0.25">
      <c r="A538" s="64"/>
      <c r="B538" s="62"/>
      <c r="C538" s="62"/>
      <c r="D538" s="62"/>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c r="AE538" s="58"/>
      <c r="AF538" s="58"/>
      <c r="AG538" s="58"/>
      <c r="AH538" s="58"/>
      <c r="AI538" s="58"/>
      <c r="AJ538" s="58"/>
      <c r="AK538" s="58"/>
      <c r="AL538" s="58"/>
      <c r="AM538" s="58"/>
      <c r="AN538" s="58"/>
      <c r="AO538" s="58"/>
      <c r="AP538" s="58"/>
      <c r="AQ538" s="58"/>
      <c r="AR538" s="58"/>
    </row>
    <row r="539" spans="1:44" ht="15.75" customHeight="1" x14ac:dyDescent="0.25">
      <c r="A539" s="64"/>
      <c r="B539" s="62"/>
      <c r="C539" s="62"/>
      <c r="D539" s="62"/>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c r="AE539" s="58"/>
      <c r="AF539" s="58"/>
      <c r="AG539" s="58"/>
      <c r="AH539" s="58"/>
      <c r="AI539" s="58"/>
      <c r="AJ539" s="58"/>
      <c r="AK539" s="58"/>
      <c r="AL539" s="58"/>
      <c r="AM539" s="58"/>
      <c r="AN539" s="58"/>
      <c r="AO539" s="58"/>
      <c r="AP539" s="58"/>
      <c r="AQ539" s="58"/>
      <c r="AR539" s="58"/>
    </row>
    <row r="540" spans="1:44" ht="15.75" customHeight="1" x14ac:dyDescent="0.25">
      <c r="A540" s="64"/>
      <c r="B540" s="62"/>
      <c r="C540" s="62"/>
      <c r="D540" s="62"/>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c r="AE540" s="58"/>
      <c r="AF540" s="58"/>
      <c r="AG540" s="58"/>
      <c r="AH540" s="58"/>
      <c r="AI540" s="58"/>
      <c r="AJ540" s="58"/>
      <c r="AK540" s="58"/>
      <c r="AL540" s="58"/>
      <c r="AM540" s="58"/>
      <c r="AN540" s="58"/>
      <c r="AO540" s="58"/>
      <c r="AP540" s="58"/>
      <c r="AQ540" s="58"/>
      <c r="AR540" s="58"/>
    </row>
    <row r="541" spans="1:44" ht="15.75" customHeight="1" x14ac:dyDescent="0.25">
      <c r="A541" s="64"/>
      <c r="B541" s="62"/>
      <c r="C541" s="62"/>
      <c r="D541" s="62"/>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c r="AE541" s="58"/>
      <c r="AF541" s="58"/>
      <c r="AG541" s="58"/>
      <c r="AH541" s="58"/>
      <c r="AI541" s="58"/>
      <c r="AJ541" s="58"/>
      <c r="AK541" s="58"/>
      <c r="AL541" s="58"/>
      <c r="AM541" s="58"/>
      <c r="AN541" s="58"/>
      <c r="AO541" s="58"/>
      <c r="AP541" s="58"/>
      <c r="AQ541" s="58"/>
      <c r="AR541" s="58"/>
    </row>
    <row r="542" spans="1:44" ht="15.75" customHeight="1" x14ac:dyDescent="0.25">
      <c r="A542" s="64"/>
      <c r="B542" s="62"/>
      <c r="C542" s="62"/>
      <c r="D542" s="62"/>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c r="AE542" s="58"/>
      <c r="AF542" s="58"/>
      <c r="AG542" s="58"/>
      <c r="AH542" s="58"/>
      <c r="AI542" s="58"/>
      <c r="AJ542" s="58"/>
      <c r="AK542" s="58"/>
      <c r="AL542" s="58"/>
      <c r="AM542" s="58"/>
      <c r="AN542" s="58"/>
      <c r="AO542" s="58"/>
      <c r="AP542" s="58"/>
      <c r="AQ542" s="58"/>
      <c r="AR542" s="58"/>
    </row>
    <row r="543" spans="1:44" ht="15.75" customHeight="1" x14ac:dyDescent="0.25">
      <c r="A543" s="64"/>
      <c r="B543" s="62"/>
      <c r="C543" s="62"/>
      <c r="D543" s="62"/>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c r="AE543" s="58"/>
      <c r="AF543" s="58"/>
      <c r="AG543" s="58"/>
      <c r="AH543" s="58"/>
      <c r="AI543" s="58"/>
      <c r="AJ543" s="58"/>
      <c r="AK543" s="58"/>
      <c r="AL543" s="58"/>
      <c r="AM543" s="58"/>
      <c r="AN543" s="58"/>
      <c r="AO543" s="58"/>
      <c r="AP543" s="58"/>
      <c r="AQ543" s="58"/>
      <c r="AR543" s="58"/>
    </row>
    <row r="544" spans="1:44" ht="15.75" customHeight="1" x14ac:dyDescent="0.25">
      <c r="A544" s="64"/>
      <c r="B544" s="62"/>
      <c r="C544" s="62"/>
      <c r="D544" s="62"/>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c r="AE544" s="58"/>
      <c r="AF544" s="58"/>
      <c r="AG544" s="58"/>
      <c r="AH544" s="58"/>
      <c r="AI544" s="58"/>
      <c r="AJ544" s="58"/>
      <c r="AK544" s="58"/>
      <c r="AL544" s="58"/>
      <c r="AM544" s="58"/>
      <c r="AN544" s="58"/>
      <c r="AO544" s="58"/>
      <c r="AP544" s="58"/>
      <c r="AQ544" s="58"/>
      <c r="AR544" s="58"/>
    </row>
    <row r="545" spans="1:44" ht="15.75" customHeight="1" x14ac:dyDescent="0.25">
      <c r="A545" s="64"/>
      <c r="B545" s="62"/>
      <c r="C545" s="62"/>
      <c r="D545" s="62"/>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c r="AE545" s="58"/>
      <c r="AF545" s="58"/>
      <c r="AG545" s="58"/>
      <c r="AH545" s="58"/>
      <c r="AI545" s="58"/>
      <c r="AJ545" s="58"/>
      <c r="AK545" s="58"/>
      <c r="AL545" s="58"/>
      <c r="AM545" s="58"/>
      <c r="AN545" s="58"/>
      <c r="AO545" s="58"/>
      <c r="AP545" s="58"/>
      <c r="AQ545" s="58"/>
      <c r="AR545" s="58"/>
    </row>
    <row r="546" spans="1:44" ht="15.75" customHeight="1" x14ac:dyDescent="0.25">
      <c r="A546" s="64"/>
      <c r="B546" s="62"/>
      <c r="C546" s="62"/>
      <c r="D546" s="62"/>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c r="AE546" s="58"/>
      <c r="AF546" s="58"/>
      <c r="AG546" s="58"/>
      <c r="AH546" s="58"/>
      <c r="AI546" s="58"/>
      <c r="AJ546" s="58"/>
      <c r="AK546" s="58"/>
      <c r="AL546" s="58"/>
      <c r="AM546" s="58"/>
      <c r="AN546" s="58"/>
      <c r="AO546" s="58"/>
      <c r="AP546" s="58"/>
      <c r="AQ546" s="58"/>
      <c r="AR546" s="58"/>
    </row>
    <row r="547" spans="1:44" ht="15.75" customHeight="1" x14ac:dyDescent="0.25">
      <c r="A547" s="64"/>
      <c r="B547" s="62"/>
      <c r="C547" s="62"/>
      <c r="D547" s="62"/>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c r="AE547" s="58"/>
      <c r="AF547" s="58"/>
      <c r="AG547" s="58"/>
      <c r="AH547" s="58"/>
      <c r="AI547" s="58"/>
      <c r="AJ547" s="58"/>
      <c r="AK547" s="58"/>
      <c r="AL547" s="58"/>
      <c r="AM547" s="58"/>
      <c r="AN547" s="58"/>
      <c r="AO547" s="58"/>
      <c r="AP547" s="58"/>
      <c r="AQ547" s="58"/>
      <c r="AR547" s="58"/>
    </row>
    <row r="548" spans="1:44" ht="15.75" customHeight="1" x14ac:dyDescent="0.25">
      <c r="A548" s="64"/>
      <c r="B548" s="62"/>
      <c r="C548" s="62"/>
      <c r="D548" s="62"/>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c r="AE548" s="58"/>
      <c r="AF548" s="58"/>
      <c r="AG548" s="58"/>
      <c r="AH548" s="58"/>
      <c r="AI548" s="58"/>
      <c r="AJ548" s="58"/>
      <c r="AK548" s="58"/>
      <c r="AL548" s="58"/>
      <c r="AM548" s="58"/>
      <c r="AN548" s="58"/>
      <c r="AO548" s="58"/>
      <c r="AP548" s="58"/>
      <c r="AQ548" s="58"/>
      <c r="AR548" s="58"/>
    </row>
    <row r="549" spans="1:44" ht="15.75" customHeight="1" x14ac:dyDescent="0.25">
      <c r="A549" s="64"/>
      <c r="B549" s="62"/>
      <c r="C549" s="62"/>
      <c r="D549" s="62"/>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c r="AE549" s="58"/>
      <c r="AF549" s="58"/>
      <c r="AG549" s="58"/>
      <c r="AH549" s="58"/>
      <c r="AI549" s="58"/>
      <c r="AJ549" s="58"/>
      <c r="AK549" s="58"/>
      <c r="AL549" s="58"/>
      <c r="AM549" s="58"/>
      <c r="AN549" s="58"/>
      <c r="AO549" s="58"/>
      <c r="AP549" s="58"/>
      <c r="AQ549" s="58"/>
      <c r="AR549" s="58"/>
    </row>
    <row r="550" spans="1:44" ht="15.75" customHeight="1" x14ac:dyDescent="0.25">
      <c r="A550" s="64"/>
      <c r="B550" s="62"/>
      <c r="C550" s="62"/>
      <c r="D550" s="62"/>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c r="AE550" s="58"/>
      <c r="AF550" s="58"/>
      <c r="AG550" s="58"/>
      <c r="AH550" s="58"/>
      <c r="AI550" s="58"/>
      <c r="AJ550" s="58"/>
      <c r="AK550" s="58"/>
      <c r="AL550" s="58"/>
      <c r="AM550" s="58"/>
      <c r="AN550" s="58"/>
      <c r="AO550" s="58"/>
      <c r="AP550" s="58"/>
      <c r="AQ550" s="58"/>
      <c r="AR550" s="58"/>
    </row>
    <row r="551" spans="1:44" ht="15.75" customHeight="1" x14ac:dyDescent="0.25">
      <c r="A551" s="64"/>
      <c r="B551" s="62"/>
      <c r="C551" s="62"/>
      <c r="D551" s="62"/>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c r="AE551" s="58"/>
      <c r="AF551" s="58"/>
      <c r="AG551" s="58"/>
      <c r="AH551" s="58"/>
      <c r="AI551" s="58"/>
      <c r="AJ551" s="58"/>
      <c r="AK551" s="58"/>
      <c r="AL551" s="58"/>
      <c r="AM551" s="58"/>
      <c r="AN551" s="58"/>
      <c r="AO551" s="58"/>
      <c r="AP551" s="58"/>
      <c r="AQ551" s="58"/>
      <c r="AR551" s="58"/>
    </row>
    <row r="552" spans="1:44" ht="15.75" customHeight="1" x14ac:dyDescent="0.25">
      <c r="A552" s="64"/>
      <c r="B552" s="62"/>
      <c r="C552" s="62"/>
      <c r="D552" s="62"/>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c r="AE552" s="58"/>
      <c r="AF552" s="58"/>
      <c r="AG552" s="58"/>
      <c r="AH552" s="58"/>
      <c r="AI552" s="58"/>
      <c r="AJ552" s="58"/>
      <c r="AK552" s="58"/>
      <c r="AL552" s="58"/>
      <c r="AM552" s="58"/>
      <c r="AN552" s="58"/>
      <c r="AO552" s="58"/>
      <c r="AP552" s="58"/>
      <c r="AQ552" s="58"/>
      <c r="AR552" s="58"/>
    </row>
    <row r="553" spans="1:44" ht="15.75" customHeight="1" x14ac:dyDescent="0.25">
      <c r="A553" s="64"/>
      <c r="B553" s="62"/>
      <c r="C553" s="62"/>
      <c r="D553" s="62"/>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c r="AE553" s="58"/>
      <c r="AF553" s="58"/>
      <c r="AG553" s="58"/>
      <c r="AH553" s="58"/>
      <c r="AI553" s="58"/>
      <c r="AJ553" s="58"/>
      <c r="AK553" s="58"/>
      <c r="AL553" s="58"/>
      <c r="AM553" s="58"/>
      <c r="AN553" s="58"/>
      <c r="AO553" s="58"/>
      <c r="AP553" s="58"/>
      <c r="AQ553" s="58"/>
      <c r="AR553" s="58"/>
    </row>
    <row r="554" spans="1:44" ht="15.75" customHeight="1" x14ac:dyDescent="0.25">
      <c r="A554" s="64"/>
      <c r="B554" s="62"/>
      <c r="C554" s="62"/>
      <c r="D554" s="62"/>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c r="AE554" s="58"/>
      <c r="AF554" s="58"/>
      <c r="AG554" s="58"/>
      <c r="AH554" s="58"/>
      <c r="AI554" s="58"/>
      <c r="AJ554" s="58"/>
      <c r="AK554" s="58"/>
      <c r="AL554" s="58"/>
      <c r="AM554" s="58"/>
      <c r="AN554" s="58"/>
      <c r="AO554" s="58"/>
      <c r="AP554" s="58"/>
      <c r="AQ554" s="58"/>
      <c r="AR554" s="58"/>
    </row>
    <row r="555" spans="1:44" ht="15.75" customHeight="1" x14ac:dyDescent="0.25">
      <c r="A555" s="64"/>
      <c r="B555" s="62"/>
      <c r="C555" s="62"/>
      <c r="D555" s="62"/>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c r="AE555" s="58"/>
      <c r="AF555" s="58"/>
      <c r="AG555" s="58"/>
      <c r="AH555" s="58"/>
      <c r="AI555" s="58"/>
      <c r="AJ555" s="58"/>
      <c r="AK555" s="58"/>
      <c r="AL555" s="58"/>
      <c r="AM555" s="58"/>
      <c r="AN555" s="58"/>
      <c r="AO555" s="58"/>
      <c r="AP555" s="58"/>
      <c r="AQ555" s="58"/>
      <c r="AR555" s="58"/>
    </row>
    <row r="556" spans="1:44" ht="15.75" customHeight="1" x14ac:dyDescent="0.25">
      <c r="A556" s="64"/>
      <c r="B556" s="62"/>
      <c r="C556" s="62"/>
      <c r="D556" s="62"/>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c r="AG556" s="58"/>
      <c r="AH556" s="58"/>
      <c r="AI556" s="58"/>
      <c r="AJ556" s="58"/>
      <c r="AK556" s="58"/>
      <c r="AL556" s="58"/>
      <c r="AM556" s="58"/>
      <c r="AN556" s="58"/>
      <c r="AO556" s="58"/>
      <c r="AP556" s="58"/>
      <c r="AQ556" s="58"/>
      <c r="AR556" s="58"/>
    </row>
    <row r="557" spans="1:44" ht="15.75" customHeight="1" x14ac:dyDescent="0.25">
      <c r="A557" s="64"/>
      <c r="B557" s="62"/>
      <c r="C557" s="62"/>
      <c r="D557" s="62"/>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c r="AE557" s="58"/>
      <c r="AF557" s="58"/>
      <c r="AG557" s="58"/>
      <c r="AH557" s="58"/>
      <c r="AI557" s="58"/>
      <c r="AJ557" s="58"/>
      <c r="AK557" s="58"/>
      <c r="AL557" s="58"/>
      <c r="AM557" s="58"/>
      <c r="AN557" s="58"/>
      <c r="AO557" s="58"/>
      <c r="AP557" s="58"/>
      <c r="AQ557" s="58"/>
      <c r="AR557" s="58"/>
    </row>
    <row r="558" spans="1:44" ht="15.75" customHeight="1" x14ac:dyDescent="0.25">
      <c r="A558" s="64"/>
      <c r="B558" s="62"/>
      <c r="C558" s="62"/>
      <c r="D558" s="62"/>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c r="AE558" s="58"/>
      <c r="AF558" s="58"/>
      <c r="AG558" s="58"/>
      <c r="AH558" s="58"/>
      <c r="AI558" s="58"/>
      <c r="AJ558" s="58"/>
      <c r="AK558" s="58"/>
      <c r="AL558" s="58"/>
      <c r="AM558" s="58"/>
      <c r="AN558" s="58"/>
      <c r="AO558" s="58"/>
      <c r="AP558" s="58"/>
      <c r="AQ558" s="58"/>
      <c r="AR558" s="58"/>
    </row>
    <row r="559" spans="1:44" ht="15.75" customHeight="1" x14ac:dyDescent="0.25">
      <c r="A559" s="64"/>
      <c r="B559" s="62"/>
      <c r="C559" s="62"/>
      <c r="D559" s="62"/>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c r="AE559" s="58"/>
      <c r="AF559" s="58"/>
      <c r="AG559" s="58"/>
      <c r="AH559" s="58"/>
      <c r="AI559" s="58"/>
      <c r="AJ559" s="58"/>
      <c r="AK559" s="58"/>
      <c r="AL559" s="58"/>
      <c r="AM559" s="58"/>
      <c r="AN559" s="58"/>
      <c r="AO559" s="58"/>
      <c r="AP559" s="58"/>
      <c r="AQ559" s="58"/>
      <c r="AR559" s="58"/>
    </row>
    <row r="560" spans="1:44" ht="15.75" customHeight="1" x14ac:dyDescent="0.25">
      <c r="A560" s="64"/>
      <c r="B560" s="62"/>
      <c r="C560" s="62"/>
      <c r="D560" s="62"/>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c r="AE560" s="58"/>
      <c r="AF560" s="58"/>
      <c r="AG560" s="58"/>
      <c r="AH560" s="58"/>
      <c r="AI560" s="58"/>
      <c r="AJ560" s="58"/>
      <c r="AK560" s="58"/>
      <c r="AL560" s="58"/>
      <c r="AM560" s="58"/>
      <c r="AN560" s="58"/>
      <c r="AO560" s="58"/>
      <c r="AP560" s="58"/>
      <c r="AQ560" s="58"/>
      <c r="AR560" s="58"/>
    </row>
    <row r="561" spans="1:44" ht="15.75" customHeight="1" x14ac:dyDescent="0.25">
      <c r="A561" s="64"/>
      <c r="B561" s="62"/>
      <c r="C561" s="62"/>
      <c r="D561" s="62"/>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c r="AE561" s="58"/>
      <c r="AF561" s="58"/>
      <c r="AG561" s="58"/>
      <c r="AH561" s="58"/>
      <c r="AI561" s="58"/>
      <c r="AJ561" s="58"/>
      <c r="AK561" s="58"/>
      <c r="AL561" s="58"/>
      <c r="AM561" s="58"/>
      <c r="AN561" s="58"/>
      <c r="AO561" s="58"/>
      <c r="AP561" s="58"/>
      <c r="AQ561" s="58"/>
      <c r="AR561" s="58"/>
    </row>
    <row r="562" spans="1:44" ht="15.75" customHeight="1" x14ac:dyDescent="0.25">
      <c r="A562" s="64"/>
      <c r="B562" s="62"/>
      <c r="C562" s="62"/>
      <c r="D562" s="62"/>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c r="AE562" s="58"/>
      <c r="AF562" s="58"/>
      <c r="AG562" s="58"/>
      <c r="AH562" s="58"/>
      <c r="AI562" s="58"/>
      <c r="AJ562" s="58"/>
      <c r="AK562" s="58"/>
      <c r="AL562" s="58"/>
      <c r="AM562" s="58"/>
      <c r="AN562" s="58"/>
      <c r="AO562" s="58"/>
      <c r="AP562" s="58"/>
      <c r="AQ562" s="58"/>
      <c r="AR562" s="58"/>
    </row>
    <row r="563" spans="1:44" ht="15.75" customHeight="1" x14ac:dyDescent="0.25">
      <c r="A563" s="64"/>
      <c r="B563" s="62"/>
      <c r="C563" s="62"/>
      <c r="D563" s="62"/>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c r="AE563" s="58"/>
      <c r="AF563" s="58"/>
      <c r="AG563" s="58"/>
      <c r="AH563" s="58"/>
      <c r="AI563" s="58"/>
      <c r="AJ563" s="58"/>
      <c r="AK563" s="58"/>
      <c r="AL563" s="58"/>
      <c r="AM563" s="58"/>
      <c r="AN563" s="58"/>
      <c r="AO563" s="58"/>
      <c r="AP563" s="58"/>
      <c r="AQ563" s="58"/>
      <c r="AR563" s="58"/>
    </row>
    <row r="564" spans="1:44" ht="15.75" customHeight="1" x14ac:dyDescent="0.25">
      <c r="A564" s="64"/>
      <c r="B564" s="62"/>
      <c r="C564" s="62"/>
      <c r="D564" s="62"/>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c r="AE564" s="58"/>
      <c r="AF564" s="58"/>
      <c r="AG564" s="58"/>
      <c r="AH564" s="58"/>
      <c r="AI564" s="58"/>
      <c r="AJ564" s="58"/>
      <c r="AK564" s="58"/>
      <c r="AL564" s="58"/>
      <c r="AM564" s="58"/>
      <c r="AN564" s="58"/>
      <c r="AO564" s="58"/>
      <c r="AP564" s="58"/>
      <c r="AQ564" s="58"/>
      <c r="AR564" s="58"/>
    </row>
    <row r="565" spans="1:44" ht="15.75" customHeight="1" x14ac:dyDescent="0.25">
      <c r="A565" s="64"/>
      <c r="B565" s="62"/>
      <c r="C565" s="62"/>
      <c r="D565" s="62"/>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c r="AE565" s="58"/>
      <c r="AF565" s="58"/>
      <c r="AG565" s="58"/>
      <c r="AH565" s="58"/>
      <c r="AI565" s="58"/>
      <c r="AJ565" s="58"/>
      <c r="AK565" s="58"/>
      <c r="AL565" s="58"/>
      <c r="AM565" s="58"/>
      <c r="AN565" s="58"/>
      <c r="AO565" s="58"/>
      <c r="AP565" s="58"/>
      <c r="AQ565" s="58"/>
      <c r="AR565" s="58"/>
    </row>
    <row r="566" spans="1:44" ht="15.75" customHeight="1" x14ac:dyDescent="0.25">
      <c r="A566" s="64"/>
      <c r="B566" s="62"/>
      <c r="C566" s="62"/>
      <c r="D566" s="62"/>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c r="AE566" s="58"/>
      <c r="AF566" s="58"/>
      <c r="AG566" s="58"/>
      <c r="AH566" s="58"/>
      <c r="AI566" s="58"/>
      <c r="AJ566" s="58"/>
      <c r="AK566" s="58"/>
      <c r="AL566" s="58"/>
      <c r="AM566" s="58"/>
      <c r="AN566" s="58"/>
      <c r="AO566" s="58"/>
      <c r="AP566" s="58"/>
      <c r="AQ566" s="58"/>
      <c r="AR566" s="58"/>
    </row>
    <row r="567" spans="1:44" ht="15.75" customHeight="1" x14ac:dyDescent="0.25">
      <c r="A567" s="64"/>
      <c r="B567" s="62"/>
      <c r="C567" s="62"/>
      <c r="D567" s="62"/>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c r="AE567" s="58"/>
      <c r="AF567" s="58"/>
      <c r="AG567" s="58"/>
      <c r="AH567" s="58"/>
      <c r="AI567" s="58"/>
      <c r="AJ567" s="58"/>
      <c r="AK567" s="58"/>
      <c r="AL567" s="58"/>
      <c r="AM567" s="58"/>
      <c r="AN567" s="58"/>
      <c r="AO567" s="58"/>
      <c r="AP567" s="58"/>
      <c r="AQ567" s="58"/>
      <c r="AR567" s="58"/>
    </row>
    <row r="568" spans="1:44" ht="15.75" customHeight="1" x14ac:dyDescent="0.25">
      <c r="A568" s="64"/>
      <c r="B568" s="62"/>
      <c r="C568" s="62"/>
      <c r="D568" s="62"/>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c r="AE568" s="58"/>
      <c r="AF568" s="58"/>
      <c r="AG568" s="58"/>
      <c r="AH568" s="58"/>
      <c r="AI568" s="58"/>
      <c r="AJ568" s="58"/>
      <c r="AK568" s="58"/>
      <c r="AL568" s="58"/>
      <c r="AM568" s="58"/>
      <c r="AN568" s="58"/>
      <c r="AO568" s="58"/>
      <c r="AP568" s="58"/>
      <c r="AQ568" s="58"/>
      <c r="AR568" s="58"/>
    </row>
    <row r="569" spans="1:44" ht="15.75" customHeight="1" x14ac:dyDescent="0.25">
      <c r="A569" s="64"/>
      <c r="B569" s="62"/>
      <c r="C569" s="62"/>
      <c r="D569" s="62"/>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c r="AE569" s="58"/>
      <c r="AF569" s="58"/>
      <c r="AG569" s="58"/>
      <c r="AH569" s="58"/>
      <c r="AI569" s="58"/>
      <c r="AJ569" s="58"/>
      <c r="AK569" s="58"/>
      <c r="AL569" s="58"/>
      <c r="AM569" s="58"/>
      <c r="AN569" s="58"/>
      <c r="AO569" s="58"/>
      <c r="AP569" s="58"/>
      <c r="AQ569" s="58"/>
      <c r="AR569" s="58"/>
    </row>
    <row r="570" spans="1:44" ht="15.75" customHeight="1" x14ac:dyDescent="0.25">
      <c r="A570" s="64"/>
      <c r="B570" s="62"/>
      <c r="C570" s="62"/>
      <c r="D570" s="62"/>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c r="AE570" s="58"/>
      <c r="AF570" s="58"/>
      <c r="AG570" s="58"/>
      <c r="AH570" s="58"/>
      <c r="AI570" s="58"/>
      <c r="AJ570" s="58"/>
      <c r="AK570" s="58"/>
      <c r="AL570" s="58"/>
      <c r="AM570" s="58"/>
      <c r="AN570" s="58"/>
      <c r="AO570" s="58"/>
      <c r="AP570" s="58"/>
      <c r="AQ570" s="58"/>
      <c r="AR570" s="58"/>
    </row>
    <row r="571" spans="1:44" ht="15.75" customHeight="1" x14ac:dyDescent="0.25">
      <c r="A571" s="64"/>
      <c r="B571" s="62"/>
      <c r="C571" s="62"/>
      <c r="D571" s="62"/>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c r="AE571" s="58"/>
      <c r="AF571" s="58"/>
      <c r="AG571" s="58"/>
      <c r="AH571" s="58"/>
      <c r="AI571" s="58"/>
      <c r="AJ571" s="58"/>
      <c r="AK571" s="58"/>
      <c r="AL571" s="58"/>
      <c r="AM571" s="58"/>
      <c r="AN571" s="58"/>
      <c r="AO571" s="58"/>
      <c r="AP571" s="58"/>
      <c r="AQ571" s="58"/>
      <c r="AR571" s="58"/>
    </row>
    <row r="572" spans="1:44" ht="15.75" customHeight="1" x14ac:dyDescent="0.25">
      <c r="A572" s="64"/>
      <c r="B572" s="62"/>
      <c r="C572" s="62"/>
      <c r="D572" s="62"/>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c r="AE572" s="58"/>
      <c r="AF572" s="58"/>
      <c r="AG572" s="58"/>
      <c r="AH572" s="58"/>
      <c r="AI572" s="58"/>
      <c r="AJ572" s="58"/>
      <c r="AK572" s="58"/>
      <c r="AL572" s="58"/>
      <c r="AM572" s="58"/>
      <c r="AN572" s="58"/>
      <c r="AO572" s="58"/>
      <c r="AP572" s="58"/>
      <c r="AQ572" s="58"/>
      <c r="AR572" s="58"/>
    </row>
    <row r="573" spans="1:44" ht="15.75" customHeight="1" x14ac:dyDescent="0.25">
      <c r="A573" s="64"/>
      <c r="B573" s="62"/>
      <c r="C573" s="62"/>
      <c r="D573" s="62"/>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c r="AE573" s="58"/>
      <c r="AF573" s="58"/>
      <c r="AG573" s="58"/>
      <c r="AH573" s="58"/>
      <c r="AI573" s="58"/>
      <c r="AJ573" s="58"/>
      <c r="AK573" s="58"/>
      <c r="AL573" s="58"/>
      <c r="AM573" s="58"/>
      <c r="AN573" s="58"/>
      <c r="AO573" s="58"/>
      <c r="AP573" s="58"/>
      <c r="AQ573" s="58"/>
      <c r="AR573" s="58"/>
    </row>
    <row r="574" spans="1:44" ht="15.75" customHeight="1" x14ac:dyDescent="0.25">
      <c r="A574" s="64"/>
      <c r="B574" s="62"/>
      <c r="C574" s="62"/>
      <c r="D574" s="62"/>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c r="AE574" s="58"/>
      <c r="AF574" s="58"/>
      <c r="AG574" s="58"/>
      <c r="AH574" s="58"/>
      <c r="AI574" s="58"/>
      <c r="AJ574" s="58"/>
      <c r="AK574" s="58"/>
      <c r="AL574" s="58"/>
      <c r="AM574" s="58"/>
      <c r="AN574" s="58"/>
      <c r="AO574" s="58"/>
      <c r="AP574" s="58"/>
      <c r="AQ574" s="58"/>
      <c r="AR574" s="58"/>
    </row>
    <row r="575" spans="1:44" ht="15.75" customHeight="1" x14ac:dyDescent="0.25">
      <c r="A575" s="64"/>
      <c r="B575" s="62"/>
      <c r="C575" s="62"/>
      <c r="D575" s="62"/>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c r="AE575" s="58"/>
      <c r="AF575" s="58"/>
      <c r="AG575" s="58"/>
      <c r="AH575" s="58"/>
      <c r="AI575" s="58"/>
      <c r="AJ575" s="58"/>
      <c r="AK575" s="58"/>
      <c r="AL575" s="58"/>
      <c r="AM575" s="58"/>
      <c r="AN575" s="58"/>
      <c r="AO575" s="58"/>
      <c r="AP575" s="58"/>
      <c r="AQ575" s="58"/>
      <c r="AR575" s="58"/>
    </row>
    <row r="576" spans="1:44" ht="15.75" customHeight="1" x14ac:dyDescent="0.25">
      <c r="A576" s="64"/>
      <c r="B576" s="62"/>
      <c r="C576" s="62"/>
      <c r="D576" s="62"/>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c r="AE576" s="58"/>
      <c r="AF576" s="58"/>
      <c r="AG576" s="58"/>
      <c r="AH576" s="58"/>
      <c r="AI576" s="58"/>
      <c r="AJ576" s="58"/>
      <c r="AK576" s="58"/>
      <c r="AL576" s="58"/>
      <c r="AM576" s="58"/>
      <c r="AN576" s="58"/>
      <c r="AO576" s="58"/>
      <c r="AP576" s="58"/>
      <c r="AQ576" s="58"/>
      <c r="AR576" s="58"/>
    </row>
    <row r="577" spans="1:44" ht="15.75" customHeight="1" x14ac:dyDescent="0.25">
      <c r="A577" s="64"/>
      <c r="B577" s="62"/>
      <c r="C577" s="62"/>
      <c r="D577" s="62"/>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c r="AE577" s="58"/>
      <c r="AF577" s="58"/>
      <c r="AG577" s="58"/>
      <c r="AH577" s="58"/>
      <c r="AI577" s="58"/>
      <c r="AJ577" s="58"/>
      <c r="AK577" s="58"/>
      <c r="AL577" s="58"/>
      <c r="AM577" s="58"/>
      <c r="AN577" s="58"/>
      <c r="AO577" s="58"/>
      <c r="AP577" s="58"/>
      <c r="AQ577" s="58"/>
      <c r="AR577" s="58"/>
    </row>
    <row r="578" spans="1:44" ht="15.75" customHeight="1" x14ac:dyDescent="0.25">
      <c r="A578" s="64"/>
      <c r="B578" s="62"/>
      <c r="C578" s="62"/>
      <c r="D578" s="62"/>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c r="AE578" s="58"/>
      <c r="AF578" s="58"/>
      <c r="AG578" s="58"/>
      <c r="AH578" s="58"/>
      <c r="AI578" s="58"/>
      <c r="AJ578" s="58"/>
      <c r="AK578" s="58"/>
      <c r="AL578" s="58"/>
      <c r="AM578" s="58"/>
      <c r="AN578" s="58"/>
      <c r="AO578" s="58"/>
      <c r="AP578" s="58"/>
      <c r="AQ578" s="58"/>
      <c r="AR578" s="58"/>
    </row>
    <row r="579" spans="1:44" ht="15.75" customHeight="1" x14ac:dyDescent="0.25">
      <c r="A579" s="64"/>
      <c r="B579" s="62"/>
      <c r="C579" s="62"/>
      <c r="D579" s="62"/>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c r="AE579" s="58"/>
      <c r="AF579" s="58"/>
      <c r="AG579" s="58"/>
      <c r="AH579" s="58"/>
      <c r="AI579" s="58"/>
      <c r="AJ579" s="58"/>
      <c r="AK579" s="58"/>
      <c r="AL579" s="58"/>
      <c r="AM579" s="58"/>
      <c r="AN579" s="58"/>
      <c r="AO579" s="58"/>
      <c r="AP579" s="58"/>
      <c r="AQ579" s="58"/>
      <c r="AR579" s="58"/>
    </row>
    <row r="580" spans="1:44" ht="15.75" customHeight="1" x14ac:dyDescent="0.25">
      <c r="A580" s="64"/>
      <c r="B580" s="62"/>
      <c r="C580" s="62"/>
      <c r="D580" s="62"/>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c r="AE580" s="58"/>
      <c r="AF580" s="58"/>
      <c r="AG580" s="58"/>
      <c r="AH580" s="58"/>
      <c r="AI580" s="58"/>
      <c r="AJ580" s="58"/>
      <c r="AK580" s="58"/>
      <c r="AL580" s="58"/>
      <c r="AM580" s="58"/>
      <c r="AN580" s="58"/>
      <c r="AO580" s="58"/>
      <c r="AP580" s="58"/>
      <c r="AQ580" s="58"/>
      <c r="AR580" s="58"/>
    </row>
    <row r="581" spans="1:44" ht="15.75" customHeight="1" x14ac:dyDescent="0.25">
      <c r="A581" s="64"/>
      <c r="B581" s="62"/>
      <c r="C581" s="62"/>
      <c r="D581" s="62"/>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c r="AE581" s="58"/>
      <c r="AF581" s="58"/>
      <c r="AG581" s="58"/>
      <c r="AH581" s="58"/>
      <c r="AI581" s="58"/>
      <c r="AJ581" s="58"/>
      <c r="AK581" s="58"/>
      <c r="AL581" s="58"/>
      <c r="AM581" s="58"/>
      <c r="AN581" s="58"/>
      <c r="AO581" s="58"/>
      <c r="AP581" s="58"/>
      <c r="AQ581" s="58"/>
      <c r="AR581" s="58"/>
    </row>
    <row r="582" spans="1:44" ht="15.75" customHeight="1" x14ac:dyDescent="0.25">
      <c r="A582" s="64"/>
      <c r="B582" s="62"/>
      <c r="C582" s="62"/>
      <c r="D582" s="62"/>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c r="AE582" s="58"/>
      <c r="AF582" s="58"/>
      <c r="AG582" s="58"/>
      <c r="AH582" s="58"/>
      <c r="AI582" s="58"/>
      <c r="AJ582" s="58"/>
      <c r="AK582" s="58"/>
      <c r="AL582" s="58"/>
      <c r="AM582" s="58"/>
      <c r="AN582" s="58"/>
      <c r="AO582" s="58"/>
      <c r="AP582" s="58"/>
      <c r="AQ582" s="58"/>
      <c r="AR582" s="58"/>
    </row>
    <row r="583" spans="1:44" ht="15.75" customHeight="1" x14ac:dyDescent="0.25">
      <c r="A583" s="64"/>
      <c r="B583" s="62"/>
      <c r="C583" s="62"/>
      <c r="D583" s="62"/>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c r="AE583" s="58"/>
      <c r="AF583" s="58"/>
      <c r="AG583" s="58"/>
      <c r="AH583" s="58"/>
      <c r="AI583" s="58"/>
      <c r="AJ583" s="58"/>
      <c r="AK583" s="58"/>
      <c r="AL583" s="58"/>
      <c r="AM583" s="58"/>
      <c r="AN583" s="58"/>
      <c r="AO583" s="58"/>
      <c r="AP583" s="58"/>
      <c r="AQ583" s="58"/>
      <c r="AR583" s="58"/>
    </row>
    <row r="584" spans="1:44" ht="15.75" customHeight="1" x14ac:dyDescent="0.25">
      <c r="A584" s="64"/>
      <c r="B584" s="62"/>
      <c r="C584" s="62"/>
      <c r="D584" s="62"/>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c r="AE584" s="58"/>
      <c r="AF584" s="58"/>
      <c r="AG584" s="58"/>
      <c r="AH584" s="58"/>
      <c r="AI584" s="58"/>
      <c r="AJ584" s="58"/>
      <c r="AK584" s="58"/>
      <c r="AL584" s="58"/>
      <c r="AM584" s="58"/>
      <c r="AN584" s="58"/>
      <c r="AO584" s="58"/>
      <c r="AP584" s="58"/>
      <c r="AQ584" s="58"/>
      <c r="AR584" s="58"/>
    </row>
    <row r="585" spans="1:44" ht="15.75" customHeight="1" x14ac:dyDescent="0.25">
      <c r="A585" s="64"/>
      <c r="B585" s="62"/>
      <c r="C585" s="62"/>
      <c r="D585" s="62"/>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c r="AE585" s="58"/>
      <c r="AF585" s="58"/>
      <c r="AG585" s="58"/>
      <c r="AH585" s="58"/>
      <c r="AI585" s="58"/>
      <c r="AJ585" s="58"/>
      <c r="AK585" s="58"/>
      <c r="AL585" s="58"/>
      <c r="AM585" s="58"/>
      <c r="AN585" s="58"/>
      <c r="AO585" s="58"/>
      <c r="AP585" s="58"/>
      <c r="AQ585" s="58"/>
      <c r="AR585" s="58"/>
    </row>
    <row r="586" spans="1:44" ht="15.75" customHeight="1" x14ac:dyDescent="0.25">
      <c r="A586" s="64"/>
      <c r="B586" s="62"/>
      <c r="C586" s="62"/>
      <c r="D586" s="62"/>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c r="AE586" s="58"/>
      <c r="AF586" s="58"/>
      <c r="AG586" s="58"/>
      <c r="AH586" s="58"/>
      <c r="AI586" s="58"/>
      <c r="AJ586" s="58"/>
      <c r="AK586" s="58"/>
      <c r="AL586" s="58"/>
      <c r="AM586" s="58"/>
      <c r="AN586" s="58"/>
      <c r="AO586" s="58"/>
      <c r="AP586" s="58"/>
      <c r="AQ586" s="58"/>
      <c r="AR586" s="58"/>
    </row>
    <row r="587" spans="1:44" ht="15.75" customHeight="1" x14ac:dyDescent="0.25">
      <c r="A587" s="64"/>
      <c r="B587" s="62"/>
      <c r="C587" s="62"/>
      <c r="D587" s="62"/>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c r="AE587" s="58"/>
      <c r="AF587" s="58"/>
      <c r="AG587" s="58"/>
      <c r="AH587" s="58"/>
      <c r="AI587" s="58"/>
      <c r="AJ587" s="58"/>
      <c r="AK587" s="58"/>
      <c r="AL587" s="58"/>
      <c r="AM587" s="58"/>
      <c r="AN587" s="58"/>
      <c r="AO587" s="58"/>
      <c r="AP587" s="58"/>
      <c r="AQ587" s="58"/>
      <c r="AR587" s="58"/>
    </row>
    <row r="588" spans="1:44" ht="15.75" customHeight="1" x14ac:dyDescent="0.25">
      <c r="A588" s="64"/>
      <c r="B588" s="62"/>
      <c r="C588" s="62"/>
      <c r="D588" s="62"/>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c r="AE588" s="58"/>
      <c r="AF588" s="58"/>
      <c r="AG588" s="58"/>
      <c r="AH588" s="58"/>
      <c r="AI588" s="58"/>
      <c r="AJ588" s="58"/>
      <c r="AK588" s="58"/>
      <c r="AL588" s="58"/>
      <c r="AM588" s="58"/>
      <c r="AN588" s="58"/>
      <c r="AO588" s="58"/>
      <c r="AP588" s="58"/>
      <c r="AQ588" s="58"/>
      <c r="AR588" s="58"/>
    </row>
    <row r="589" spans="1:44" ht="15.75" customHeight="1" x14ac:dyDescent="0.25">
      <c r="A589" s="64"/>
      <c r="B589" s="62"/>
      <c r="C589" s="62"/>
      <c r="D589" s="62"/>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c r="AE589" s="58"/>
      <c r="AF589" s="58"/>
      <c r="AG589" s="58"/>
      <c r="AH589" s="58"/>
      <c r="AI589" s="58"/>
      <c r="AJ589" s="58"/>
      <c r="AK589" s="58"/>
      <c r="AL589" s="58"/>
      <c r="AM589" s="58"/>
      <c r="AN589" s="58"/>
      <c r="AO589" s="58"/>
      <c r="AP589" s="58"/>
      <c r="AQ589" s="58"/>
      <c r="AR589" s="58"/>
    </row>
    <row r="590" spans="1:44" ht="15.75" customHeight="1" x14ac:dyDescent="0.25">
      <c r="A590" s="64"/>
      <c r="B590" s="62"/>
      <c r="C590" s="62"/>
      <c r="D590" s="62"/>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c r="AE590" s="58"/>
      <c r="AF590" s="58"/>
      <c r="AG590" s="58"/>
      <c r="AH590" s="58"/>
      <c r="AI590" s="58"/>
      <c r="AJ590" s="58"/>
      <c r="AK590" s="58"/>
      <c r="AL590" s="58"/>
      <c r="AM590" s="58"/>
      <c r="AN590" s="58"/>
      <c r="AO590" s="58"/>
      <c r="AP590" s="58"/>
      <c r="AQ590" s="58"/>
      <c r="AR590" s="58"/>
    </row>
    <row r="591" spans="1:44" ht="15.75" customHeight="1" x14ac:dyDescent="0.25">
      <c r="A591" s="64"/>
      <c r="B591" s="62"/>
      <c r="C591" s="62"/>
      <c r="D591" s="62"/>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c r="AE591" s="58"/>
      <c r="AF591" s="58"/>
      <c r="AG591" s="58"/>
      <c r="AH591" s="58"/>
      <c r="AI591" s="58"/>
      <c r="AJ591" s="58"/>
      <c r="AK591" s="58"/>
      <c r="AL591" s="58"/>
      <c r="AM591" s="58"/>
      <c r="AN591" s="58"/>
      <c r="AO591" s="58"/>
      <c r="AP591" s="58"/>
      <c r="AQ591" s="58"/>
      <c r="AR591" s="58"/>
    </row>
    <row r="592" spans="1:44" ht="15.75" customHeight="1" x14ac:dyDescent="0.25">
      <c r="A592" s="64"/>
      <c r="B592" s="62"/>
      <c r="C592" s="62"/>
      <c r="D592" s="62"/>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c r="AE592" s="58"/>
      <c r="AF592" s="58"/>
      <c r="AG592" s="58"/>
      <c r="AH592" s="58"/>
      <c r="AI592" s="58"/>
      <c r="AJ592" s="58"/>
      <c r="AK592" s="58"/>
      <c r="AL592" s="58"/>
      <c r="AM592" s="58"/>
      <c r="AN592" s="58"/>
      <c r="AO592" s="58"/>
      <c r="AP592" s="58"/>
      <c r="AQ592" s="58"/>
      <c r="AR592" s="58"/>
    </row>
    <row r="593" spans="1:44" ht="15.75" customHeight="1" x14ac:dyDescent="0.25">
      <c r="A593" s="64"/>
      <c r="B593" s="62"/>
      <c r="C593" s="62"/>
      <c r="D593" s="62"/>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c r="AE593" s="58"/>
      <c r="AF593" s="58"/>
      <c r="AG593" s="58"/>
      <c r="AH593" s="58"/>
      <c r="AI593" s="58"/>
      <c r="AJ593" s="58"/>
      <c r="AK593" s="58"/>
      <c r="AL593" s="58"/>
      <c r="AM593" s="58"/>
      <c r="AN593" s="58"/>
      <c r="AO593" s="58"/>
      <c r="AP593" s="58"/>
      <c r="AQ593" s="58"/>
      <c r="AR593" s="58"/>
    </row>
    <row r="594" spans="1:44" ht="15.75" customHeight="1" x14ac:dyDescent="0.25">
      <c r="A594" s="64"/>
      <c r="B594" s="62"/>
      <c r="C594" s="62"/>
      <c r="D594" s="62"/>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c r="AE594" s="58"/>
      <c r="AF594" s="58"/>
      <c r="AG594" s="58"/>
      <c r="AH594" s="58"/>
      <c r="AI594" s="58"/>
      <c r="AJ594" s="58"/>
      <c r="AK594" s="58"/>
      <c r="AL594" s="58"/>
      <c r="AM594" s="58"/>
      <c r="AN594" s="58"/>
      <c r="AO594" s="58"/>
      <c r="AP594" s="58"/>
      <c r="AQ594" s="58"/>
      <c r="AR594" s="58"/>
    </row>
    <row r="595" spans="1:44" ht="15.75" customHeight="1" x14ac:dyDescent="0.25">
      <c r="A595" s="64"/>
      <c r="B595" s="62"/>
      <c r="C595" s="62"/>
      <c r="D595" s="62"/>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c r="AE595" s="58"/>
      <c r="AF595" s="58"/>
      <c r="AG595" s="58"/>
      <c r="AH595" s="58"/>
      <c r="AI595" s="58"/>
      <c r="AJ595" s="58"/>
      <c r="AK595" s="58"/>
      <c r="AL595" s="58"/>
      <c r="AM595" s="58"/>
      <c r="AN595" s="58"/>
      <c r="AO595" s="58"/>
      <c r="AP595" s="58"/>
      <c r="AQ595" s="58"/>
      <c r="AR595" s="58"/>
    </row>
    <row r="596" spans="1:44" ht="15.75" customHeight="1" x14ac:dyDescent="0.25">
      <c r="A596" s="64"/>
      <c r="B596" s="62"/>
      <c r="C596" s="62"/>
      <c r="D596" s="62"/>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c r="AE596" s="58"/>
      <c r="AF596" s="58"/>
      <c r="AG596" s="58"/>
      <c r="AH596" s="58"/>
      <c r="AI596" s="58"/>
      <c r="AJ596" s="58"/>
      <c r="AK596" s="58"/>
      <c r="AL596" s="58"/>
      <c r="AM596" s="58"/>
      <c r="AN596" s="58"/>
      <c r="AO596" s="58"/>
      <c r="AP596" s="58"/>
      <c r="AQ596" s="58"/>
      <c r="AR596" s="58"/>
    </row>
    <row r="597" spans="1:44" ht="15.75" customHeight="1" x14ac:dyDescent="0.25">
      <c r="A597" s="64"/>
      <c r="B597" s="62"/>
      <c r="C597" s="62"/>
      <c r="D597" s="62"/>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c r="AE597" s="58"/>
      <c r="AF597" s="58"/>
      <c r="AG597" s="58"/>
      <c r="AH597" s="58"/>
      <c r="AI597" s="58"/>
      <c r="AJ597" s="58"/>
      <c r="AK597" s="58"/>
      <c r="AL597" s="58"/>
      <c r="AM597" s="58"/>
      <c r="AN597" s="58"/>
      <c r="AO597" s="58"/>
      <c r="AP597" s="58"/>
      <c r="AQ597" s="58"/>
      <c r="AR597" s="58"/>
    </row>
    <row r="598" spans="1:44" ht="15.75" customHeight="1" x14ac:dyDescent="0.25">
      <c r="A598" s="64"/>
      <c r="B598" s="62"/>
      <c r="C598" s="62"/>
      <c r="D598" s="62"/>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c r="AE598" s="58"/>
      <c r="AF598" s="58"/>
      <c r="AG598" s="58"/>
      <c r="AH598" s="58"/>
      <c r="AI598" s="58"/>
      <c r="AJ598" s="58"/>
      <c r="AK598" s="58"/>
      <c r="AL598" s="58"/>
      <c r="AM598" s="58"/>
      <c r="AN598" s="58"/>
      <c r="AO598" s="58"/>
      <c r="AP598" s="58"/>
      <c r="AQ598" s="58"/>
      <c r="AR598" s="58"/>
    </row>
    <row r="599" spans="1:44" ht="15.75" customHeight="1" x14ac:dyDescent="0.25">
      <c r="A599" s="64"/>
      <c r="B599" s="62"/>
      <c r="C599" s="62"/>
      <c r="D599" s="62"/>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c r="AE599" s="58"/>
      <c r="AF599" s="58"/>
      <c r="AG599" s="58"/>
      <c r="AH599" s="58"/>
      <c r="AI599" s="58"/>
      <c r="AJ599" s="58"/>
      <c r="AK599" s="58"/>
      <c r="AL599" s="58"/>
      <c r="AM599" s="58"/>
      <c r="AN599" s="58"/>
      <c r="AO599" s="58"/>
      <c r="AP599" s="58"/>
      <c r="AQ599" s="58"/>
      <c r="AR599" s="58"/>
    </row>
    <row r="600" spans="1:44" ht="15.75" customHeight="1" x14ac:dyDescent="0.25">
      <c r="A600" s="64"/>
      <c r="B600" s="62"/>
      <c r="C600" s="62"/>
      <c r="D600" s="62"/>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c r="AE600" s="58"/>
      <c r="AF600" s="58"/>
      <c r="AG600" s="58"/>
      <c r="AH600" s="58"/>
      <c r="AI600" s="58"/>
      <c r="AJ600" s="58"/>
      <c r="AK600" s="58"/>
      <c r="AL600" s="58"/>
      <c r="AM600" s="58"/>
      <c r="AN600" s="58"/>
      <c r="AO600" s="58"/>
      <c r="AP600" s="58"/>
      <c r="AQ600" s="58"/>
      <c r="AR600" s="58"/>
    </row>
    <row r="601" spans="1:44" ht="15.75" customHeight="1" x14ac:dyDescent="0.25">
      <c r="A601" s="64"/>
      <c r="B601" s="62"/>
      <c r="C601" s="62"/>
      <c r="D601" s="62"/>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c r="AE601" s="58"/>
      <c r="AF601" s="58"/>
      <c r="AG601" s="58"/>
      <c r="AH601" s="58"/>
      <c r="AI601" s="58"/>
      <c r="AJ601" s="58"/>
      <c r="AK601" s="58"/>
      <c r="AL601" s="58"/>
      <c r="AM601" s="58"/>
      <c r="AN601" s="58"/>
      <c r="AO601" s="58"/>
      <c r="AP601" s="58"/>
      <c r="AQ601" s="58"/>
      <c r="AR601" s="58"/>
    </row>
    <row r="602" spans="1:44" ht="15.75" customHeight="1" x14ac:dyDescent="0.25">
      <c r="A602" s="64"/>
      <c r="B602" s="62"/>
      <c r="C602" s="62"/>
      <c r="D602" s="62"/>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c r="AE602" s="58"/>
      <c r="AF602" s="58"/>
      <c r="AG602" s="58"/>
      <c r="AH602" s="58"/>
      <c r="AI602" s="58"/>
      <c r="AJ602" s="58"/>
      <c r="AK602" s="58"/>
      <c r="AL602" s="58"/>
      <c r="AM602" s="58"/>
      <c r="AN602" s="58"/>
      <c r="AO602" s="58"/>
      <c r="AP602" s="58"/>
      <c r="AQ602" s="58"/>
      <c r="AR602" s="58"/>
    </row>
    <row r="603" spans="1:44" ht="15.75" customHeight="1" x14ac:dyDescent="0.25">
      <c r="A603" s="64"/>
      <c r="B603" s="62"/>
      <c r="C603" s="62"/>
      <c r="D603" s="62"/>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c r="AE603" s="58"/>
      <c r="AF603" s="58"/>
      <c r="AG603" s="58"/>
      <c r="AH603" s="58"/>
      <c r="AI603" s="58"/>
      <c r="AJ603" s="58"/>
      <c r="AK603" s="58"/>
      <c r="AL603" s="58"/>
      <c r="AM603" s="58"/>
      <c r="AN603" s="58"/>
      <c r="AO603" s="58"/>
      <c r="AP603" s="58"/>
      <c r="AQ603" s="58"/>
      <c r="AR603" s="58"/>
    </row>
    <row r="604" spans="1:44" ht="15.75" customHeight="1" x14ac:dyDescent="0.25">
      <c r="A604" s="64"/>
      <c r="B604" s="62"/>
      <c r="C604" s="62"/>
      <c r="D604" s="62"/>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c r="AE604" s="58"/>
      <c r="AF604" s="58"/>
      <c r="AG604" s="58"/>
      <c r="AH604" s="58"/>
      <c r="AI604" s="58"/>
      <c r="AJ604" s="58"/>
      <c r="AK604" s="58"/>
      <c r="AL604" s="58"/>
      <c r="AM604" s="58"/>
      <c r="AN604" s="58"/>
      <c r="AO604" s="58"/>
      <c r="AP604" s="58"/>
      <c r="AQ604" s="58"/>
      <c r="AR604" s="58"/>
    </row>
    <row r="605" spans="1:44" ht="15.75" customHeight="1" x14ac:dyDescent="0.25">
      <c r="A605" s="64"/>
      <c r="B605" s="62"/>
      <c r="C605" s="62"/>
      <c r="D605" s="62"/>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c r="AE605" s="58"/>
      <c r="AF605" s="58"/>
      <c r="AG605" s="58"/>
      <c r="AH605" s="58"/>
      <c r="AI605" s="58"/>
      <c r="AJ605" s="58"/>
      <c r="AK605" s="58"/>
      <c r="AL605" s="58"/>
      <c r="AM605" s="58"/>
      <c r="AN605" s="58"/>
      <c r="AO605" s="58"/>
      <c r="AP605" s="58"/>
      <c r="AQ605" s="58"/>
      <c r="AR605" s="58"/>
    </row>
    <row r="606" spans="1:44" ht="15.75" customHeight="1" x14ac:dyDescent="0.25">
      <c r="A606" s="64"/>
      <c r="B606" s="62"/>
      <c r="C606" s="62"/>
      <c r="D606" s="62"/>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c r="AE606" s="58"/>
      <c r="AF606" s="58"/>
      <c r="AG606" s="58"/>
      <c r="AH606" s="58"/>
      <c r="AI606" s="58"/>
      <c r="AJ606" s="58"/>
      <c r="AK606" s="58"/>
      <c r="AL606" s="58"/>
      <c r="AM606" s="58"/>
      <c r="AN606" s="58"/>
      <c r="AO606" s="58"/>
      <c r="AP606" s="58"/>
      <c r="AQ606" s="58"/>
      <c r="AR606" s="58"/>
    </row>
    <row r="607" spans="1:44" ht="15.75" customHeight="1" x14ac:dyDescent="0.25">
      <c r="A607" s="64"/>
      <c r="B607" s="62"/>
      <c r="C607" s="62"/>
      <c r="D607" s="62"/>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c r="AE607" s="58"/>
      <c r="AF607" s="58"/>
      <c r="AG607" s="58"/>
      <c r="AH607" s="58"/>
      <c r="AI607" s="58"/>
      <c r="AJ607" s="58"/>
      <c r="AK607" s="58"/>
      <c r="AL607" s="58"/>
      <c r="AM607" s="58"/>
      <c r="AN607" s="58"/>
      <c r="AO607" s="58"/>
      <c r="AP607" s="58"/>
      <c r="AQ607" s="58"/>
      <c r="AR607" s="58"/>
    </row>
    <row r="608" spans="1:44" ht="15.75" customHeight="1" x14ac:dyDescent="0.25">
      <c r="A608" s="64"/>
      <c r="B608" s="62"/>
      <c r="C608" s="62"/>
      <c r="D608" s="62"/>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c r="AE608" s="58"/>
      <c r="AF608" s="58"/>
      <c r="AG608" s="58"/>
      <c r="AH608" s="58"/>
      <c r="AI608" s="58"/>
      <c r="AJ608" s="58"/>
      <c r="AK608" s="58"/>
      <c r="AL608" s="58"/>
      <c r="AM608" s="58"/>
      <c r="AN608" s="58"/>
      <c r="AO608" s="58"/>
      <c r="AP608" s="58"/>
      <c r="AQ608" s="58"/>
      <c r="AR608" s="58"/>
    </row>
    <row r="609" spans="1:44" ht="15.75" customHeight="1" x14ac:dyDescent="0.25">
      <c r="A609" s="64"/>
      <c r="B609" s="62"/>
      <c r="C609" s="62"/>
      <c r="D609" s="62"/>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c r="AE609" s="58"/>
      <c r="AF609" s="58"/>
      <c r="AG609" s="58"/>
      <c r="AH609" s="58"/>
      <c r="AI609" s="58"/>
      <c r="AJ609" s="58"/>
      <c r="AK609" s="58"/>
      <c r="AL609" s="58"/>
      <c r="AM609" s="58"/>
      <c r="AN609" s="58"/>
      <c r="AO609" s="58"/>
      <c r="AP609" s="58"/>
      <c r="AQ609" s="58"/>
      <c r="AR609" s="58"/>
    </row>
    <row r="610" spans="1:44" ht="15.75" customHeight="1" x14ac:dyDescent="0.25">
      <c r="A610" s="64"/>
      <c r="B610" s="62"/>
      <c r="C610" s="62"/>
      <c r="D610" s="62"/>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c r="AE610" s="58"/>
      <c r="AF610" s="58"/>
      <c r="AG610" s="58"/>
      <c r="AH610" s="58"/>
      <c r="AI610" s="58"/>
      <c r="AJ610" s="58"/>
      <c r="AK610" s="58"/>
      <c r="AL610" s="58"/>
      <c r="AM610" s="58"/>
      <c r="AN610" s="58"/>
      <c r="AO610" s="58"/>
      <c r="AP610" s="58"/>
      <c r="AQ610" s="58"/>
      <c r="AR610" s="58"/>
    </row>
    <row r="611" spans="1:44" ht="15.75" customHeight="1" x14ac:dyDescent="0.25">
      <c r="A611" s="64"/>
      <c r="B611" s="62"/>
      <c r="C611" s="62"/>
      <c r="D611" s="62"/>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c r="AE611" s="58"/>
      <c r="AF611" s="58"/>
      <c r="AG611" s="58"/>
      <c r="AH611" s="58"/>
      <c r="AI611" s="58"/>
      <c r="AJ611" s="58"/>
      <c r="AK611" s="58"/>
      <c r="AL611" s="58"/>
      <c r="AM611" s="58"/>
      <c r="AN611" s="58"/>
      <c r="AO611" s="58"/>
      <c r="AP611" s="58"/>
      <c r="AQ611" s="58"/>
      <c r="AR611" s="58"/>
    </row>
    <row r="612" spans="1:44" ht="15.75" customHeight="1" x14ac:dyDescent="0.25">
      <c r="A612" s="64"/>
      <c r="B612" s="62"/>
      <c r="C612" s="62"/>
      <c r="D612" s="62"/>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c r="AE612" s="58"/>
      <c r="AF612" s="58"/>
      <c r="AG612" s="58"/>
      <c r="AH612" s="58"/>
      <c r="AI612" s="58"/>
      <c r="AJ612" s="58"/>
      <c r="AK612" s="58"/>
      <c r="AL612" s="58"/>
      <c r="AM612" s="58"/>
      <c r="AN612" s="58"/>
      <c r="AO612" s="58"/>
      <c r="AP612" s="58"/>
      <c r="AQ612" s="58"/>
      <c r="AR612" s="58"/>
    </row>
    <row r="613" spans="1:44" ht="15.75" customHeight="1" x14ac:dyDescent="0.25">
      <c r="A613" s="64"/>
      <c r="B613" s="62"/>
      <c r="C613" s="62"/>
      <c r="D613" s="62"/>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c r="AE613" s="58"/>
      <c r="AF613" s="58"/>
      <c r="AG613" s="58"/>
      <c r="AH613" s="58"/>
      <c r="AI613" s="58"/>
      <c r="AJ613" s="58"/>
      <c r="AK613" s="58"/>
      <c r="AL613" s="58"/>
      <c r="AM613" s="58"/>
      <c r="AN613" s="58"/>
      <c r="AO613" s="58"/>
      <c r="AP613" s="58"/>
      <c r="AQ613" s="58"/>
      <c r="AR613" s="58"/>
    </row>
    <row r="614" spans="1:44" ht="15.75" customHeight="1" x14ac:dyDescent="0.25">
      <c r="A614" s="64"/>
      <c r="B614" s="62"/>
      <c r="C614" s="62"/>
      <c r="D614" s="62"/>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c r="AE614" s="58"/>
      <c r="AF614" s="58"/>
      <c r="AG614" s="58"/>
      <c r="AH614" s="58"/>
      <c r="AI614" s="58"/>
      <c r="AJ614" s="58"/>
      <c r="AK614" s="58"/>
      <c r="AL614" s="58"/>
      <c r="AM614" s="58"/>
      <c r="AN614" s="58"/>
      <c r="AO614" s="58"/>
      <c r="AP614" s="58"/>
      <c r="AQ614" s="58"/>
      <c r="AR614" s="58"/>
    </row>
    <row r="615" spans="1:44" ht="15.75" customHeight="1" x14ac:dyDescent="0.25">
      <c r="A615" s="64"/>
      <c r="B615" s="62"/>
      <c r="C615" s="62"/>
      <c r="D615" s="62"/>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c r="AE615" s="58"/>
      <c r="AF615" s="58"/>
      <c r="AG615" s="58"/>
      <c r="AH615" s="58"/>
      <c r="AI615" s="58"/>
      <c r="AJ615" s="58"/>
      <c r="AK615" s="58"/>
      <c r="AL615" s="58"/>
      <c r="AM615" s="58"/>
      <c r="AN615" s="58"/>
      <c r="AO615" s="58"/>
      <c r="AP615" s="58"/>
      <c r="AQ615" s="58"/>
      <c r="AR615" s="58"/>
    </row>
    <row r="616" spans="1:44" ht="15.75" customHeight="1" x14ac:dyDescent="0.25">
      <c r="A616" s="64"/>
      <c r="B616" s="62"/>
      <c r="C616" s="62"/>
      <c r="D616" s="62"/>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c r="AE616" s="58"/>
      <c r="AF616" s="58"/>
      <c r="AG616" s="58"/>
      <c r="AH616" s="58"/>
      <c r="AI616" s="58"/>
      <c r="AJ616" s="58"/>
      <c r="AK616" s="58"/>
      <c r="AL616" s="58"/>
      <c r="AM616" s="58"/>
      <c r="AN616" s="58"/>
      <c r="AO616" s="58"/>
      <c r="AP616" s="58"/>
      <c r="AQ616" s="58"/>
      <c r="AR616" s="58"/>
    </row>
    <row r="617" spans="1:44" ht="15.75" customHeight="1" x14ac:dyDescent="0.25">
      <c r="A617" s="64"/>
      <c r="B617" s="62"/>
      <c r="C617" s="62"/>
      <c r="D617" s="62"/>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c r="AE617" s="58"/>
      <c r="AF617" s="58"/>
      <c r="AG617" s="58"/>
      <c r="AH617" s="58"/>
      <c r="AI617" s="58"/>
      <c r="AJ617" s="58"/>
      <c r="AK617" s="58"/>
      <c r="AL617" s="58"/>
      <c r="AM617" s="58"/>
      <c r="AN617" s="58"/>
      <c r="AO617" s="58"/>
      <c r="AP617" s="58"/>
      <c r="AQ617" s="58"/>
      <c r="AR617" s="58"/>
    </row>
    <row r="618" spans="1:44" ht="15.75" customHeight="1" x14ac:dyDescent="0.25">
      <c r="A618" s="64"/>
      <c r="B618" s="62"/>
      <c r="C618" s="62"/>
      <c r="D618" s="62"/>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c r="AG618" s="58"/>
      <c r="AH618" s="58"/>
      <c r="AI618" s="58"/>
      <c r="AJ618" s="58"/>
      <c r="AK618" s="58"/>
      <c r="AL618" s="58"/>
      <c r="AM618" s="58"/>
      <c r="AN618" s="58"/>
      <c r="AO618" s="58"/>
      <c r="AP618" s="58"/>
      <c r="AQ618" s="58"/>
      <c r="AR618" s="58"/>
    </row>
    <row r="619" spans="1:44" ht="15.75" customHeight="1" x14ac:dyDescent="0.25">
      <c r="A619" s="64"/>
      <c r="B619" s="62"/>
      <c r="C619" s="62"/>
      <c r="D619" s="62"/>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c r="AE619" s="58"/>
      <c r="AF619" s="58"/>
      <c r="AG619" s="58"/>
      <c r="AH619" s="58"/>
      <c r="AI619" s="58"/>
      <c r="AJ619" s="58"/>
      <c r="AK619" s="58"/>
      <c r="AL619" s="58"/>
      <c r="AM619" s="58"/>
      <c r="AN619" s="58"/>
      <c r="AO619" s="58"/>
      <c r="AP619" s="58"/>
      <c r="AQ619" s="58"/>
      <c r="AR619" s="58"/>
    </row>
    <row r="620" spans="1:44" ht="15.75" customHeight="1" x14ac:dyDescent="0.25">
      <c r="A620" s="64"/>
      <c r="B620" s="62"/>
      <c r="C620" s="62"/>
      <c r="D620" s="62"/>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c r="AE620" s="58"/>
      <c r="AF620" s="58"/>
      <c r="AG620" s="58"/>
      <c r="AH620" s="58"/>
      <c r="AI620" s="58"/>
      <c r="AJ620" s="58"/>
      <c r="AK620" s="58"/>
      <c r="AL620" s="58"/>
      <c r="AM620" s="58"/>
      <c r="AN620" s="58"/>
      <c r="AO620" s="58"/>
      <c r="AP620" s="58"/>
      <c r="AQ620" s="58"/>
      <c r="AR620" s="58"/>
    </row>
    <row r="621" spans="1:44" ht="15.75" customHeight="1" x14ac:dyDescent="0.25">
      <c r="A621" s="64"/>
      <c r="B621" s="62"/>
      <c r="C621" s="62"/>
      <c r="D621" s="62"/>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c r="AE621" s="58"/>
      <c r="AF621" s="58"/>
      <c r="AG621" s="58"/>
      <c r="AH621" s="58"/>
      <c r="AI621" s="58"/>
      <c r="AJ621" s="58"/>
      <c r="AK621" s="58"/>
      <c r="AL621" s="58"/>
      <c r="AM621" s="58"/>
      <c r="AN621" s="58"/>
      <c r="AO621" s="58"/>
      <c r="AP621" s="58"/>
      <c r="AQ621" s="58"/>
      <c r="AR621" s="58"/>
    </row>
    <row r="622" spans="1:44" ht="15.75" customHeight="1" x14ac:dyDescent="0.25">
      <c r="A622" s="64"/>
      <c r="B622" s="62"/>
      <c r="C622" s="62"/>
      <c r="D622" s="62"/>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c r="AE622" s="58"/>
      <c r="AF622" s="58"/>
      <c r="AG622" s="58"/>
      <c r="AH622" s="58"/>
      <c r="AI622" s="58"/>
      <c r="AJ622" s="58"/>
      <c r="AK622" s="58"/>
      <c r="AL622" s="58"/>
      <c r="AM622" s="58"/>
      <c r="AN622" s="58"/>
      <c r="AO622" s="58"/>
      <c r="AP622" s="58"/>
      <c r="AQ622" s="58"/>
      <c r="AR622" s="58"/>
    </row>
    <row r="623" spans="1:44" ht="15.75" customHeight="1" x14ac:dyDescent="0.25">
      <c r="A623" s="64"/>
      <c r="B623" s="62"/>
      <c r="C623" s="62"/>
      <c r="D623" s="62"/>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c r="AE623" s="58"/>
      <c r="AF623" s="58"/>
      <c r="AG623" s="58"/>
      <c r="AH623" s="58"/>
      <c r="AI623" s="58"/>
      <c r="AJ623" s="58"/>
      <c r="AK623" s="58"/>
      <c r="AL623" s="58"/>
      <c r="AM623" s="58"/>
      <c r="AN623" s="58"/>
      <c r="AO623" s="58"/>
      <c r="AP623" s="58"/>
      <c r="AQ623" s="58"/>
      <c r="AR623" s="58"/>
    </row>
    <row r="624" spans="1:44" ht="15.75" customHeight="1" x14ac:dyDescent="0.25">
      <c r="A624" s="64"/>
      <c r="B624" s="62"/>
      <c r="C624" s="62"/>
      <c r="D624" s="62"/>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c r="AE624" s="58"/>
      <c r="AF624" s="58"/>
      <c r="AG624" s="58"/>
      <c r="AH624" s="58"/>
      <c r="AI624" s="58"/>
      <c r="AJ624" s="58"/>
      <c r="AK624" s="58"/>
      <c r="AL624" s="58"/>
      <c r="AM624" s="58"/>
      <c r="AN624" s="58"/>
      <c r="AO624" s="58"/>
      <c r="AP624" s="58"/>
      <c r="AQ624" s="58"/>
      <c r="AR624" s="58"/>
    </row>
    <row r="625" spans="1:44" ht="15.75" customHeight="1" x14ac:dyDescent="0.25">
      <c r="A625" s="64"/>
      <c r="B625" s="62"/>
      <c r="C625" s="62"/>
      <c r="D625" s="62"/>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c r="AE625" s="58"/>
      <c r="AF625" s="58"/>
      <c r="AG625" s="58"/>
      <c r="AH625" s="58"/>
      <c r="AI625" s="58"/>
      <c r="AJ625" s="58"/>
      <c r="AK625" s="58"/>
      <c r="AL625" s="58"/>
      <c r="AM625" s="58"/>
      <c r="AN625" s="58"/>
      <c r="AO625" s="58"/>
      <c r="AP625" s="58"/>
      <c r="AQ625" s="58"/>
      <c r="AR625" s="58"/>
    </row>
    <row r="626" spans="1:44" ht="15.75" customHeight="1" x14ac:dyDescent="0.25">
      <c r="A626" s="64"/>
      <c r="B626" s="62"/>
      <c r="C626" s="62"/>
      <c r="D626" s="62"/>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c r="AE626" s="58"/>
      <c r="AF626" s="58"/>
      <c r="AG626" s="58"/>
      <c r="AH626" s="58"/>
      <c r="AI626" s="58"/>
      <c r="AJ626" s="58"/>
      <c r="AK626" s="58"/>
      <c r="AL626" s="58"/>
      <c r="AM626" s="58"/>
      <c r="AN626" s="58"/>
      <c r="AO626" s="58"/>
      <c r="AP626" s="58"/>
      <c r="AQ626" s="58"/>
      <c r="AR626" s="58"/>
    </row>
    <row r="627" spans="1:44" ht="15.75" customHeight="1" x14ac:dyDescent="0.25">
      <c r="A627" s="64"/>
      <c r="B627" s="62"/>
      <c r="C627" s="62"/>
      <c r="D627" s="62"/>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c r="AE627" s="58"/>
      <c r="AF627" s="58"/>
      <c r="AG627" s="58"/>
      <c r="AH627" s="58"/>
      <c r="AI627" s="58"/>
      <c r="AJ627" s="58"/>
      <c r="AK627" s="58"/>
      <c r="AL627" s="58"/>
      <c r="AM627" s="58"/>
      <c r="AN627" s="58"/>
      <c r="AO627" s="58"/>
      <c r="AP627" s="58"/>
      <c r="AQ627" s="58"/>
      <c r="AR627" s="58"/>
    </row>
    <row r="628" spans="1:44" ht="15.75" customHeight="1" x14ac:dyDescent="0.25">
      <c r="A628" s="64"/>
      <c r="B628" s="62"/>
      <c r="C628" s="62"/>
      <c r="D628" s="62"/>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c r="AE628" s="58"/>
      <c r="AF628" s="58"/>
      <c r="AG628" s="58"/>
      <c r="AH628" s="58"/>
      <c r="AI628" s="58"/>
      <c r="AJ628" s="58"/>
      <c r="AK628" s="58"/>
      <c r="AL628" s="58"/>
      <c r="AM628" s="58"/>
      <c r="AN628" s="58"/>
      <c r="AO628" s="58"/>
      <c r="AP628" s="58"/>
      <c r="AQ628" s="58"/>
      <c r="AR628" s="58"/>
    </row>
    <row r="629" spans="1:44" ht="15.75" customHeight="1" x14ac:dyDescent="0.25">
      <c r="A629" s="64"/>
      <c r="B629" s="62"/>
      <c r="C629" s="62"/>
      <c r="D629" s="62"/>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c r="AE629" s="58"/>
      <c r="AF629" s="58"/>
      <c r="AG629" s="58"/>
      <c r="AH629" s="58"/>
      <c r="AI629" s="58"/>
      <c r="AJ629" s="58"/>
      <c r="AK629" s="58"/>
      <c r="AL629" s="58"/>
      <c r="AM629" s="58"/>
      <c r="AN629" s="58"/>
      <c r="AO629" s="58"/>
      <c r="AP629" s="58"/>
      <c r="AQ629" s="58"/>
      <c r="AR629" s="58"/>
    </row>
    <row r="630" spans="1:44" ht="15.75" customHeight="1" x14ac:dyDescent="0.25">
      <c r="A630" s="64"/>
      <c r="B630" s="62"/>
      <c r="C630" s="62"/>
      <c r="D630" s="62"/>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c r="AE630" s="58"/>
      <c r="AF630" s="58"/>
      <c r="AG630" s="58"/>
      <c r="AH630" s="58"/>
      <c r="AI630" s="58"/>
      <c r="AJ630" s="58"/>
      <c r="AK630" s="58"/>
      <c r="AL630" s="58"/>
      <c r="AM630" s="58"/>
      <c r="AN630" s="58"/>
      <c r="AO630" s="58"/>
      <c r="AP630" s="58"/>
      <c r="AQ630" s="58"/>
      <c r="AR630" s="58"/>
    </row>
    <row r="631" spans="1:44" ht="15.75" customHeight="1" x14ac:dyDescent="0.25">
      <c r="A631" s="64"/>
      <c r="B631" s="62"/>
      <c r="C631" s="62"/>
      <c r="D631" s="62"/>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c r="AE631" s="58"/>
      <c r="AF631" s="58"/>
      <c r="AG631" s="58"/>
      <c r="AH631" s="58"/>
      <c r="AI631" s="58"/>
      <c r="AJ631" s="58"/>
      <c r="AK631" s="58"/>
      <c r="AL631" s="58"/>
      <c r="AM631" s="58"/>
      <c r="AN631" s="58"/>
      <c r="AO631" s="58"/>
      <c r="AP631" s="58"/>
      <c r="AQ631" s="58"/>
      <c r="AR631" s="58"/>
    </row>
    <row r="632" spans="1:44" ht="15.75" customHeight="1" x14ac:dyDescent="0.25">
      <c r="A632" s="64"/>
      <c r="B632" s="62"/>
      <c r="C632" s="62"/>
      <c r="D632" s="62"/>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c r="AE632" s="58"/>
      <c r="AF632" s="58"/>
      <c r="AG632" s="58"/>
      <c r="AH632" s="58"/>
      <c r="AI632" s="58"/>
      <c r="AJ632" s="58"/>
      <c r="AK632" s="58"/>
      <c r="AL632" s="58"/>
      <c r="AM632" s="58"/>
      <c r="AN632" s="58"/>
      <c r="AO632" s="58"/>
      <c r="AP632" s="58"/>
      <c r="AQ632" s="58"/>
      <c r="AR632" s="58"/>
    </row>
    <row r="633" spans="1:44" ht="15.75" customHeight="1" x14ac:dyDescent="0.25">
      <c r="A633" s="64"/>
      <c r="B633" s="62"/>
      <c r="C633" s="62"/>
      <c r="D633" s="62"/>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c r="AE633" s="58"/>
      <c r="AF633" s="58"/>
      <c r="AG633" s="58"/>
      <c r="AH633" s="58"/>
      <c r="AI633" s="58"/>
      <c r="AJ633" s="58"/>
      <c r="AK633" s="58"/>
      <c r="AL633" s="58"/>
      <c r="AM633" s="58"/>
      <c r="AN633" s="58"/>
      <c r="AO633" s="58"/>
      <c r="AP633" s="58"/>
      <c r="AQ633" s="58"/>
      <c r="AR633" s="58"/>
    </row>
    <row r="634" spans="1:44" ht="15.75" customHeight="1" x14ac:dyDescent="0.25">
      <c r="A634" s="64"/>
      <c r="B634" s="62"/>
      <c r="C634" s="62"/>
      <c r="D634" s="62"/>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c r="AE634" s="58"/>
      <c r="AF634" s="58"/>
      <c r="AG634" s="58"/>
      <c r="AH634" s="58"/>
      <c r="AI634" s="58"/>
      <c r="AJ634" s="58"/>
      <c r="AK634" s="58"/>
      <c r="AL634" s="58"/>
      <c r="AM634" s="58"/>
      <c r="AN634" s="58"/>
      <c r="AO634" s="58"/>
      <c r="AP634" s="58"/>
      <c r="AQ634" s="58"/>
      <c r="AR634" s="58"/>
    </row>
    <row r="635" spans="1:44" ht="15.75" customHeight="1" x14ac:dyDescent="0.25">
      <c r="A635" s="64"/>
      <c r="B635" s="62"/>
      <c r="C635" s="62"/>
      <c r="D635" s="62"/>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c r="AE635" s="58"/>
      <c r="AF635" s="58"/>
      <c r="AG635" s="58"/>
      <c r="AH635" s="58"/>
      <c r="AI635" s="58"/>
      <c r="AJ635" s="58"/>
      <c r="AK635" s="58"/>
      <c r="AL635" s="58"/>
      <c r="AM635" s="58"/>
      <c r="AN635" s="58"/>
      <c r="AO635" s="58"/>
      <c r="AP635" s="58"/>
      <c r="AQ635" s="58"/>
      <c r="AR635" s="58"/>
    </row>
    <row r="636" spans="1:44" ht="15.75" customHeight="1" x14ac:dyDescent="0.25">
      <c r="A636" s="64"/>
      <c r="B636" s="62"/>
      <c r="C636" s="62"/>
      <c r="D636" s="62"/>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c r="AE636" s="58"/>
      <c r="AF636" s="58"/>
      <c r="AG636" s="58"/>
      <c r="AH636" s="58"/>
      <c r="AI636" s="58"/>
      <c r="AJ636" s="58"/>
      <c r="AK636" s="58"/>
      <c r="AL636" s="58"/>
      <c r="AM636" s="58"/>
      <c r="AN636" s="58"/>
      <c r="AO636" s="58"/>
      <c r="AP636" s="58"/>
      <c r="AQ636" s="58"/>
      <c r="AR636" s="58"/>
    </row>
    <row r="637" spans="1:44" ht="15.75" customHeight="1" x14ac:dyDescent="0.25">
      <c r="A637" s="64"/>
      <c r="B637" s="62"/>
      <c r="C637" s="62"/>
      <c r="D637" s="62"/>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c r="AE637" s="58"/>
      <c r="AF637" s="58"/>
      <c r="AG637" s="58"/>
      <c r="AH637" s="58"/>
      <c r="AI637" s="58"/>
      <c r="AJ637" s="58"/>
      <c r="AK637" s="58"/>
      <c r="AL637" s="58"/>
      <c r="AM637" s="58"/>
      <c r="AN637" s="58"/>
      <c r="AO637" s="58"/>
      <c r="AP637" s="58"/>
      <c r="AQ637" s="58"/>
      <c r="AR637" s="58"/>
    </row>
    <row r="638" spans="1:44" ht="15.75" customHeight="1" x14ac:dyDescent="0.25">
      <c r="A638" s="64"/>
      <c r="B638" s="62"/>
      <c r="C638" s="62"/>
      <c r="D638" s="62"/>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8"/>
      <c r="AI638" s="58"/>
      <c r="AJ638" s="58"/>
      <c r="AK638" s="58"/>
      <c r="AL638" s="58"/>
      <c r="AM638" s="58"/>
      <c r="AN638" s="58"/>
      <c r="AO638" s="58"/>
      <c r="AP638" s="58"/>
      <c r="AQ638" s="58"/>
      <c r="AR638" s="58"/>
    </row>
    <row r="639" spans="1:44" ht="15.75" customHeight="1" x14ac:dyDescent="0.25">
      <c r="A639" s="64"/>
      <c r="B639" s="62"/>
      <c r="C639" s="62"/>
      <c r="D639" s="62"/>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c r="AE639" s="58"/>
      <c r="AF639" s="58"/>
      <c r="AG639" s="58"/>
      <c r="AH639" s="58"/>
      <c r="AI639" s="58"/>
      <c r="AJ639" s="58"/>
      <c r="AK639" s="58"/>
      <c r="AL639" s="58"/>
      <c r="AM639" s="58"/>
      <c r="AN639" s="58"/>
      <c r="AO639" s="58"/>
      <c r="AP639" s="58"/>
      <c r="AQ639" s="58"/>
      <c r="AR639" s="58"/>
    </row>
    <row r="640" spans="1:44" ht="15.75" customHeight="1" x14ac:dyDescent="0.25">
      <c r="A640" s="64"/>
      <c r="B640" s="62"/>
      <c r="C640" s="62"/>
      <c r="D640" s="62"/>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c r="AE640" s="58"/>
      <c r="AF640" s="58"/>
      <c r="AG640" s="58"/>
      <c r="AH640" s="58"/>
      <c r="AI640" s="58"/>
      <c r="AJ640" s="58"/>
      <c r="AK640" s="58"/>
      <c r="AL640" s="58"/>
      <c r="AM640" s="58"/>
      <c r="AN640" s="58"/>
      <c r="AO640" s="58"/>
      <c r="AP640" s="58"/>
      <c r="AQ640" s="58"/>
      <c r="AR640" s="58"/>
    </row>
    <row r="641" spans="1:44" ht="15.75" customHeight="1" x14ac:dyDescent="0.25">
      <c r="A641" s="64"/>
      <c r="B641" s="62"/>
      <c r="C641" s="62"/>
      <c r="D641" s="62"/>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c r="AE641" s="58"/>
      <c r="AF641" s="58"/>
      <c r="AG641" s="58"/>
      <c r="AH641" s="58"/>
      <c r="AI641" s="58"/>
      <c r="AJ641" s="58"/>
      <c r="AK641" s="58"/>
      <c r="AL641" s="58"/>
      <c r="AM641" s="58"/>
      <c r="AN641" s="58"/>
      <c r="AO641" s="58"/>
      <c r="AP641" s="58"/>
      <c r="AQ641" s="58"/>
      <c r="AR641" s="58"/>
    </row>
    <row r="642" spans="1:44" ht="15.75" customHeight="1" x14ac:dyDescent="0.25">
      <c r="A642" s="64"/>
      <c r="B642" s="62"/>
      <c r="C642" s="62"/>
      <c r="D642" s="62"/>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c r="AE642" s="58"/>
      <c r="AF642" s="58"/>
      <c r="AG642" s="58"/>
      <c r="AH642" s="58"/>
      <c r="AI642" s="58"/>
      <c r="AJ642" s="58"/>
      <c r="AK642" s="58"/>
      <c r="AL642" s="58"/>
      <c r="AM642" s="58"/>
      <c r="AN642" s="58"/>
      <c r="AO642" s="58"/>
      <c r="AP642" s="58"/>
      <c r="AQ642" s="58"/>
      <c r="AR642" s="58"/>
    </row>
    <row r="643" spans="1:44" ht="15.75" customHeight="1" x14ac:dyDescent="0.25">
      <c r="A643" s="64"/>
      <c r="B643" s="62"/>
      <c r="C643" s="62"/>
      <c r="D643" s="62"/>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c r="AE643" s="58"/>
      <c r="AF643" s="58"/>
      <c r="AG643" s="58"/>
      <c r="AH643" s="58"/>
      <c r="AI643" s="58"/>
      <c r="AJ643" s="58"/>
      <c r="AK643" s="58"/>
      <c r="AL643" s="58"/>
      <c r="AM643" s="58"/>
      <c r="AN643" s="58"/>
      <c r="AO643" s="58"/>
      <c r="AP643" s="58"/>
      <c r="AQ643" s="58"/>
      <c r="AR643" s="58"/>
    </row>
    <row r="644" spans="1:44" ht="15.75" customHeight="1" x14ac:dyDescent="0.25">
      <c r="A644" s="64"/>
      <c r="B644" s="62"/>
      <c r="C644" s="62"/>
      <c r="D644" s="62"/>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c r="AE644" s="58"/>
      <c r="AF644" s="58"/>
      <c r="AG644" s="58"/>
      <c r="AH644" s="58"/>
      <c r="AI644" s="58"/>
      <c r="AJ644" s="58"/>
      <c r="AK644" s="58"/>
      <c r="AL644" s="58"/>
      <c r="AM644" s="58"/>
      <c r="AN644" s="58"/>
      <c r="AO644" s="58"/>
      <c r="AP644" s="58"/>
      <c r="AQ644" s="58"/>
      <c r="AR644" s="58"/>
    </row>
    <row r="645" spans="1:44" ht="15.75" customHeight="1" x14ac:dyDescent="0.25">
      <c r="A645" s="64"/>
      <c r="B645" s="62"/>
      <c r="C645" s="62"/>
      <c r="D645" s="62"/>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c r="AE645" s="58"/>
      <c r="AF645" s="58"/>
      <c r="AG645" s="58"/>
      <c r="AH645" s="58"/>
      <c r="AI645" s="58"/>
      <c r="AJ645" s="58"/>
      <c r="AK645" s="58"/>
      <c r="AL645" s="58"/>
      <c r="AM645" s="58"/>
      <c r="AN645" s="58"/>
      <c r="AO645" s="58"/>
      <c r="AP645" s="58"/>
      <c r="AQ645" s="58"/>
      <c r="AR645" s="58"/>
    </row>
    <row r="646" spans="1:44" ht="15.75" customHeight="1" x14ac:dyDescent="0.25">
      <c r="A646" s="64"/>
      <c r="B646" s="62"/>
      <c r="C646" s="62"/>
      <c r="D646" s="62"/>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c r="AE646" s="58"/>
      <c r="AF646" s="58"/>
      <c r="AG646" s="58"/>
      <c r="AH646" s="58"/>
      <c r="AI646" s="58"/>
      <c r="AJ646" s="58"/>
      <c r="AK646" s="58"/>
      <c r="AL646" s="58"/>
      <c r="AM646" s="58"/>
      <c r="AN646" s="58"/>
      <c r="AO646" s="58"/>
      <c r="AP646" s="58"/>
      <c r="AQ646" s="58"/>
      <c r="AR646" s="58"/>
    </row>
    <row r="647" spans="1:44" ht="15.75" customHeight="1" x14ac:dyDescent="0.25">
      <c r="A647" s="64"/>
      <c r="B647" s="62"/>
      <c r="C647" s="62"/>
      <c r="D647" s="62"/>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c r="AE647" s="58"/>
      <c r="AF647" s="58"/>
      <c r="AG647" s="58"/>
      <c r="AH647" s="58"/>
      <c r="AI647" s="58"/>
      <c r="AJ647" s="58"/>
      <c r="AK647" s="58"/>
      <c r="AL647" s="58"/>
      <c r="AM647" s="58"/>
      <c r="AN647" s="58"/>
      <c r="AO647" s="58"/>
      <c r="AP647" s="58"/>
      <c r="AQ647" s="58"/>
      <c r="AR647" s="58"/>
    </row>
    <row r="648" spans="1:44" ht="15.75" customHeight="1" x14ac:dyDescent="0.25">
      <c r="A648" s="64"/>
      <c r="B648" s="62"/>
      <c r="C648" s="62"/>
      <c r="D648" s="62"/>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c r="AE648" s="58"/>
      <c r="AF648" s="58"/>
      <c r="AG648" s="58"/>
      <c r="AH648" s="58"/>
      <c r="AI648" s="58"/>
      <c r="AJ648" s="58"/>
      <c r="AK648" s="58"/>
      <c r="AL648" s="58"/>
      <c r="AM648" s="58"/>
      <c r="AN648" s="58"/>
      <c r="AO648" s="58"/>
      <c r="AP648" s="58"/>
      <c r="AQ648" s="58"/>
      <c r="AR648" s="58"/>
    </row>
    <row r="649" spans="1:44" ht="15.75" customHeight="1" x14ac:dyDescent="0.25">
      <c r="A649" s="64"/>
      <c r="B649" s="62"/>
      <c r="C649" s="62"/>
      <c r="D649" s="62"/>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c r="AE649" s="58"/>
      <c r="AF649" s="58"/>
      <c r="AG649" s="58"/>
      <c r="AH649" s="58"/>
      <c r="AI649" s="58"/>
      <c r="AJ649" s="58"/>
      <c r="AK649" s="58"/>
      <c r="AL649" s="58"/>
      <c r="AM649" s="58"/>
      <c r="AN649" s="58"/>
      <c r="AO649" s="58"/>
      <c r="AP649" s="58"/>
      <c r="AQ649" s="58"/>
      <c r="AR649" s="58"/>
    </row>
    <row r="650" spans="1:44" ht="15.75" customHeight="1" x14ac:dyDescent="0.25">
      <c r="A650" s="64"/>
      <c r="B650" s="62"/>
      <c r="C650" s="62"/>
      <c r="D650" s="62"/>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c r="AE650" s="58"/>
      <c r="AF650" s="58"/>
      <c r="AG650" s="58"/>
      <c r="AH650" s="58"/>
      <c r="AI650" s="58"/>
      <c r="AJ650" s="58"/>
      <c r="AK650" s="58"/>
      <c r="AL650" s="58"/>
      <c r="AM650" s="58"/>
      <c r="AN650" s="58"/>
      <c r="AO650" s="58"/>
      <c r="AP650" s="58"/>
      <c r="AQ650" s="58"/>
      <c r="AR650" s="58"/>
    </row>
    <row r="651" spans="1:44" ht="15.75" customHeight="1" x14ac:dyDescent="0.25">
      <c r="A651" s="64"/>
      <c r="B651" s="62"/>
      <c r="C651" s="62"/>
      <c r="D651" s="62"/>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c r="AE651" s="58"/>
      <c r="AF651" s="58"/>
      <c r="AG651" s="58"/>
      <c r="AH651" s="58"/>
      <c r="AI651" s="58"/>
      <c r="AJ651" s="58"/>
      <c r="AK651" s="58"/>
      <c r="AL651" s="58"/>
      <c r="AM651" s="58"/>
      <c r="AN651" s="58"/>
      <c r="AO651" s="58"/>
      <c r="AP651" s="58"/>
      <c r="AQ651" s="58"/>
      <c r="AR651" s="58"/>
    </row>
    <row r="652" spans="1:44" ht="15.75" customHeight="1" x14ac:dyDescent="0.25">
      <c r="A652" s="64"/>
      <c r="B652" s="62"/>
      <c r="C652" s="62"/>
      <c r="D652" s="62"/>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c r="AE652" s="58"/>
      <c r="AF652" s="58"/>
      <c r="AG652" s="58"/>
      <c r="AH652" s="58"/>
      <c r="AI652" s="58"/>
      <c r="AJ652" s="58"/>
      <c r="AK652" s="58"/>
      <c r="AL652" s="58"/>
      <c r="AM652" s="58"/>
      <c r="AN652" s="58"/>
      <c r="AO652" s="58"/>
      <c r="AP652" s="58"/>
      <c r="AQ652" s="58"/>
      <c r="AR652" s="58"/>
    </row>
    <row r="653" spans="1:44" ht="15.75" customHeight="1" x14ac:dyDescent="0.25">
      <c r="A653" s="64"/>
      <c r="B653" s="62"/>
      <c r="C653" s="62"/>
      <c r="D653" s="62"/>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c r="AE653" s="58"/>
      <c r="AF653" s="58"/>
      <c r="AG653" s="58"/>
      <c r="AH653" s="58"/>
      <c r="AI653" s="58"/>
      <c r="AJ653" s="58"/>
      <c r="AK653" s="58"/>
      <c r="AL653" s="58"/>
      <c r="AM653" s="58"/>
      <c r="AN653" s="58"/>
      <c r="AO653" s="58"/>
      <c r="AP653" s="58"/>
      <c r="AQ653" s="58"/>
      <c r="AR653" s="58"/>
    </row>
    <row r="654" spans="1:44" ht="15.75" customHeight="1" x14ac:dyDescent="0.25">
      <c r="A654" s="64"/>
      <c r="B654" s="62"/>
      <c r="C654" s="62"/>
      <c r="D654" s="62"/>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c r="AE654" s="58"/>
      <c r="AF654" s="58"/>
      <c r="AG654" s="58"/>
      <c r="AH654" s="58"/>
      <c r="AI654" s="58"/>
      <c r="AJ654" s="58"/>
      <c r="AK654" s="58"/>
      <c r="AL654" s="58"/>
      <c r="AM654" s="58"/>
      <c r="AN654" s="58"/>
      <c r="AO654" s="58"/>
      <c r="AP654" s="58"/>
      <c r="AQ654" s="58"/>
      <c r="AR654" s="58"/>
    </row>
    <row r="655" spans="1:44" ht="15.75" customHeight="1" x14ac:dyDescent="0.25">
      <c r="A655" s="64"/>
      <c r="B655" s="62"/>
      <c r="C655" s="62"/>
      <c r="D655" s="62"/>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c r="AE655" s="58"/>
      <c r="AF655" s="58"/>
      <c r="AG655" s="58"/>
      <c r="AH655" s="58"/>
      <c r="AI655" s="58"/>
      <c r="AJ655" s="58"/>
      <c r="AK655" s="58"/>
      <c r="AL655" s="58"/>
      <c r="AM655" s="58"/>
      <c r="AN655" s="58"/>
      <c r="AO655" s="58"/>
      <c r="AP655" s="58"/>
      <c r="AQ655" s="58"/>
      <c r="AR655" s="58"/>
    </row>
    <row r="656" spans="1:44" ht="15.75" customHeight="1" x14ac:dyDescent="0.25">
      <c r="A656" s="64"/>
      <c r="B656" s="62"/>
      <c r="C656" s="62"/>
      <c r="D656" s="62"/>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c r="AE656" s="58"/>
      <c r="AF656" s="58"/>
      <c r="AG656" s="58"/>
      <c r="AH656" s="58"/>
      <c r="AI656" s="58"/>
      <c r="AJ656" s="58"/>
      <c r="AK656" s="58"/>
      <c r="AL656" s="58"/>
      <c r="AM656" s="58"/>
      <c r="AN656" s="58"/>
      <c r="AO656" s="58"/>
      <c r="AP656" s="58"/>
      <c r="AQ656" s="58"/>
      <c r="AR656" s="58"/>
    </row>
    <row r="657" spans="1:44" ht="15.75" customHeight="1" x14ac:dyDescent="0.25">
      <c r="A657" s="64"/>
      <c r="B657" s="62"/>
      <c r="C657" s="62"/>
      <c r="D657" s="62"/>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c r="AE657" s="58"/>
      <c r="AF657" s="58"/>
      <c r="AG657" s="58"/>
      <c r="AH657" s="58"/>
      <c r="AI657" s="58"/>
      <c r="AJ657" s="58"/>
      <c r="AK657" s="58"/>
      <c r="AL657" s="58"/>
      <c r="AM657" s="58"/>
      <c r="AN657" s="58"/>
      <c r="AO657" s="58"/>
      <c r="AP657" s="58"/>
      <c r="AQ657" s="58"/>
      <c r="AR657" s="58"/>
    </row>
    <row r="658" spans="1:44" ht="15.75" customHeight="1" x14ac:dyDescent="0.25">
      <c r="A658" s="64"/>
      <c r="B658" s="62"/>
      <c r="C658" s="62"/>
      <c r="D658" s="62"/>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c r="AE658" s="58"/>
      <c r="AF658" s="58"/>
      <c r="AG658" s="58"/>
      <c r="AH658" s="58"/>
      <c r="AI658" s="58"/>
      <c r="AJ658" s="58"/>
      <c r="AK658" s="58"/>
      <c r="AL658" s="58"/>
      <c r="AM658" s="58"/>
      <c r="AN658" s="58"/>
      <c r="AO658" s="58"/>
      <c r="AP658" s="58"/>
      <c r="AQ658" s="58"/>
      <c r="AR658" s="58"/>
    </row>
    <row r="659" spans="1:44" ht="15.75" customHeight="1" x14ac:dyDescent="0.25">
      <c r="A659" s="64"/>
      <c r="B659" s="62"/>
      <c r="C659" s="62"/>
      <c r="D659" s="62"/>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c r="AE659" s="58"/>
      <c r="AF659" s="58"/>
      <c r="AG659" s="58"/>
      <c r="AH659" s="58"/>
      <c r="AI659" s="58"/>
      <c r="AJ659" s="58"/>
      <c r="AK659" s="58"/>
      <c r="AL659" s="58"/>
      <c r="AM659" s="58"/>
      <c r="AN659" s="58"/>
      <c r="AO659" s="58"/>
      <c r="AP659" s="58"/>
      <c r="AQ659" s="58"/>
      <c r="AR659" s="58"/>
    </row>
    <row r="660" spans="1:44" ht="15.75" customHeight="1" x14ac:dyDescent="0.25">
      <c r="A660" s="64"/>
      <c r="B660" s="62"/>
      <c r="C660" s="62"/>
      <c r="D660" s="62"/>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c r="AE660" s="58"/>
      <c r="AF660" s="58"/>
      <c r="AG660" s="58"/>
      <c r="AH660" s="58"/>
      <c r="AI660" s="58"/>
      <c r="AJ660" s="58"/>
      <c r="AK660" s="58"/>
      <c r="AL660" s="58"/>
      <c r="AM660" s="58"/>
      <c r="AN660" s="58"/>
      <c r="AO660" s="58"/>
      <c r="AP660" s="58"/>
      <c r="AQ660" s="58"/>
      <c r="AR660" s="58"/>
    </row>
    <row r="661" spans="1:44" ht="15.75" customHeight="1" x14ac:dyDescent="0.25">
      <c r="A661" s="64"/>
      <c r="B661" s="62"/>
      <c r="C661" s="62"/>
      <c r="D661" s="62"/>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c r="AE661" s="58"/>
      <c r="AF661" s="58"/>
      <c r="AG661" s="58"/>
      <c r="AH661" s="58"/>
      <c r="AI661" s="58"/>
      <c r="AJ661" s="58"/>
      <c r="AK661" s="58"/>
      <c r="AL661" s="58"/>
      <c r="AM661" s="58"/>
      <c r="AN661" s="58"/>
      <c r="AO661" s="58"/>
      <c r="AP661" s="58"/>
      <c r="AQ661" s="58"/>
      <c r="AR661" s="58"/>
    </row>
    <row r="662" spans="1:44" ht="15.75" customHeight="1" x14ac:dyDescent="0.25">
      <c r="A662" s="64"/>
      <c r="B662" s="62"/>
      <c r="C662" s="62"/>
      <c r="D662" s="62"/>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c r="AE662" s="58"/>
      <c r="AF662" s="58"/>
      <c r="AG662" s="58"/>
      <c r="AH662" s="58"/>
      <c r="AI662" s="58"/>
      <c r="AJ662" s="58"/>
      <c r="AK662" s="58"/>
      <c r="AL662" s="58"/>
      <c r="AM662" s="58"/>
      <c r="AN662" s="58"/>
      <c r="AO662" s="58"/>
      <c r="AP662" s="58"/>
      <c r="AQ662" s="58"/>
      <c r="AR662" s="58"/>
    </row>
    <row r="663" spans="1:44" ht="15.75" customHeight="1" x14ac:dyDescent="0.25">
      <c r="A663" s="64"/>
      <c r="B663" s="62"/>
      <c r="C663" s="62"/>
      <c r="D663" s="62"/>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c r="AE663" s="58"/>
      <c r="AF663" s="58"/>
      <c r="AG663" s="58"/>
      <c r="AH663" s="58"/>
      <c r="AI663" s="58"/>
      <c r="AJ663" s="58"/>
      <c r="AK663" s="58"/>
      <c r="AL663" s="58"/>
      <c r="AM663" s="58"/>
      <c r="AN663" s="58"/>
      <c r="AO663" s="58"/>
      <c r="AP663" s="58"/>
      <c r="AQ663" s="58"/>
      <c r="AR663" s="58"/>
    </row>
    <row r="664" spans="1:44" ht="15.75" customHeight="1" x14ac:dyDescent="0.25">
      <c r="A664" s="64"/>
      <c r="B664" s="62"/>
      <c r="C664" s="62"/>
      <c r="D664" s="62"/>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c r="AE664" s="58"/>
      <c r="AF664" s="58"/>
      <c r="AG664" s="58"/>
      <c r="AH664" s="58"/>
      <c r="AI664" s="58"/>
      <c r="AJ664" s="58"/>
      <c r="AK664" s="58"/>
      <c r="AL664" s="58"/>
      <c r="AM664" s="58"/>
      <c r="AN664" s="58"/>
      <c r="AO664" s="58"/>
      <c r="AP664" s="58"/>
      <c r="AQ664" s="58"/>
      <c r="AR664" s="58"/>
    </row>
    <row r="665" spans="1:44" ht="15.75" customHeight="1" x14ac:dyDescent="0.25">
      <c r="A665" s="64"/>
      <c r="B665" s="62"/>
      <c r="C665" s="62"/>
      <c r="D665" s="62"/>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c r="AE665" s="58"/>
      <c r="AF665" s="58"/>
      <c r="AG665" s="58"/>
      <c r="AH665" s="58"/>
      <c r="AI665" s="58"/>
      <c r="AJ665" s="58"/>
      <c r="AK665" s="58"/>
      <c r="AL665" s="58"/>
      <c r="AM665" s="58"/>
      <c r="AN665" s="58"/>
      <c r="AO665" s="58"/>
      <c r="AP665" s="58"/>
      <c r="AQ665" s="58"/>
      <c r="AR665" s="58"/>
    </row>
    <row r="666" spans="1:44" ht="15.75" customHeight="1" x14ac:dyDescent="0.25">
      <c r="A666" s="64"/>
      <c r="B666" s="62"/>
      <c r="C666" s="62"/>
      <c r="D666" s="62"/>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c r="AE666" s="58"/>
      <c r="AF666" s="58"/>
      <c r="AG666" s="58"/>
      <c r="AH666" s="58"/>
      <c r="AI666" s="58"/>
      <c r="AJ666" s="58"/>
      <c r="AK666" s="58"/>
      <c r="AL666" s="58"/>
      <c r="AM666" s="58"/>
      <c r="AN666" s="58"/>
      <c r="AO666" s="58"/>
      <c r="AP666" s="58"/>
      <c r="AQ666" s="58"/>
      <c r="AR666" s="58"/>
    </row>
    <row r="667" spans="1:44" ht="15.75" customHeight="1" x14ac:dyDescent="0.25">
      <c r="A667" s="64"/>
      <c r="B667" s="62"/>
      <c r="C667" s="62"/>
      <c r="D667" s="62"/>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c r="AE667" s="58"/>
      <c r="AF667" s="58"/>
      <c r="AG667" s="58"/>
      <c r="AH667" s="58"/>
      <c r="AI667" s="58"/>
      <c r="AJ667" s="58"/>
      <c r="AK667" s="58"/>
      <c r="AL667" s="58"/>
      <c r="AM667" s="58"/>
      <c r="AN667" s="58"/>
      <c r="AO667" s="58"/>
      <c r="AP667" s="58"/>
      <c r="AQ667" s="58"/>
      <c r="AR667" s="58"/>
    </row>
    <row r="668" spans="1:44" ht="15.75" customHeight="1" x14ac:dyDescent="0.25">
      <c r="A668" s="64"/>
      <c r="B668" s="62"/>
      <c r="C668" s="62"/>
      <c r="D668" s="62"/>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c r="AE668" s="58"/>
      <c r="AF668" s="58"/>
      <c r="AG668" s="58"/>
      <c r="AH668" s="58"/>
      <c r="AI668" s="58"/>
      <c r="AJ668" s="58"/>
      <c r="AK668" s="58"/>
      <c r="AL668" s="58"/>
      <c r="AM668" s="58"/>
      <c r="AN668" s="58"/>
      <c r="AO668" s="58"/>
      <c r="AP668" s="58"/>
      <c r="AQ668" s="58"/>
      <c r="AR668" s="58"/>
    </row>
    <row r="669" spans="1:44" ht="15.75" customHeight="1" x14ac:dyDescent="0.25">
      <c r="A669" s="64"/>
      <c r="B669" s="62"/>
      <c r="C669" s="62"/>
      <c r="D669" s="62"/>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c r="AE669" s="58"/>
      <c r="AF669" s="58"/>
      <c r="AG669" s="58"/>
      <c r="AH669" s="58"/>
      <c r="AI669" s="58"/>
      <c r="AJ669" s="58"/>
      <c r="AK669" s="58"/>
      <c r="AL669" s="58"/>
      <c r="AM669" s="58"/>
      <c r="AN669" s="58"/>
      <c r="AO669" s="58"/>
      <c r="AP669" s="58"/>
      <c r="AQ669" s="58"/>
      <c r="AR669" s="58"/>
    </row>
    <row r="670" spans="1:44" ht="15.75" customHeight="1" x14ac:dyDescent="0.25">
      <c r="A670" s="64"/>
      <c r="B670" s="62"/>
      <c r="C670" s="62"/>
      <c r="D670" s="62"/>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c r="AE670" s="58"/>
      <c r="AF670" s="58"/>
      <c r="AG670" s="58"/>
      <c r="AH670" s="58"/>
      <c r="AI670" s="58"/>
      <c r="AJ670" s="58"/>
      <c r="AK670" s="58"/>
      <c r="AL670" s="58"/>
      <c r="AM670" s="58"/>
      <c r="AN670" s="58"/>
      <c r="AO670" s="58"/>
      <c r="AP670" s="58"/>
      <c r="AQ670" s="58"/>
      <c r="AR670" s="58"/>
    </row>
    <row r="671" spans="1:44" ht="15.75" customHeight="1" x14ac:dyDescent="0.25">
      <c r="A671" s="64"/>
      <c r="B671" s="62"/>
      <c r="C671" s="62"/>
      <c r="D671" s="62"/>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c r="AE671" s="58"/>
      <c r="AF671" s="58"/>
      <c r="AG671" s="58"/>
      <c r="AH671" s="58"/>
      <c r="AI671" s="58"/>
      <c r="AJ671" s="58"/>
      <c r="AK671" s="58"/>
      <c r="AL671" s="58"/>
      <c r="AM671" s="58"/>
      <c r="AN671" s="58"/>
      <c r="AO671" s="58"/>
      <c r="AP671" s="58"/>
      <c r="AQ671" s="58"/>
      <c r="AR671" s="58"/>
    </row>
    <row r="672" spans="1:44" ht="15.75" customHeight="1" x14ac:dyDescent="0.25">
      <c r="A672" s="64"/>
      <c r="B672" s="62"/>
      <c r="C672" s="62"/>
      <c r="D672" s="62"/>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c r="AE672" s="58"/>
      <c r="AF672" s="58"/>
      <c r="AG672" s="58"/>
      <c r="AH672" s="58"/>
      <c r="AI672" s="58"/>
      <c r="AJ672" s="58"/>
      <c r="AK672" s="58"/>
      <c r="AL672" s="58"/>
      <c r="AM672" s="58"/>
      <c r="AN672" s="58"/>
      <c r="AO672" s="58"/>
      <c r="AP672" s="58"/>
      <c r="AQ672" s="58"/>
      <c r="AR672" s="58"/>
    </row>
    <row r="673" spans="1:44" ht="15.75" customHeight="1" x14ac:dyDescent="0.25">
      <c r="A673" s="64"/>
      <c r="B673" s="62"/>
      <c r="C673" s="62"/>
      <c r="D673" s="62"/>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c r="AE673" s="58"/>
      <c r="AF673" s="58"/>
      <c r="AG673" s="58"/>
      <c r="AH673" s="58"/>
      <c r="AI673" s="58"/>
      <c r="AJ673" s="58"/>
      <c r="AK673" s="58"/>
      <c r="AL673" s="58"/>
      <c r="AM673" s="58"/>
      <c r="AN673" s="58"/>
      <c r="AO673" s="58"/>
      <c r="AP673" s="58"/>
      <c r="AQ673" s="58"/>
      <c r="AR673" s="58"/>
    </row>
    <row r="674" spans="1:44" ht="15.75" customHeight="1" x14ac:dyDescent="0.25">
      <c r="A674" s="64"/>
      <c r="B674" s="62"/>
      <c r="C674" s="62"/>
      <c r="D674" s="62"/>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c r="AE674" s="58"/>
      <c r="AF674" s="58"/>
      <c r="AG674" s="58"/>
      <c r="AH674" s="58"/>
      <c r="AI674" s="58"/>
      <c r="AJ674" s="58"/>
      <c r="AK674" s="58"/>
      <c r="AL674" s="58"/>
      <c r="AM674" s="58"/>
      <c r="AN674" s="58"/>
      <c r="AO674" s="58"/>
      <c r="AP674" s="58"/>
      <c r="AQ674" s="58"/>
      <c r="AR674" s="58"/>
    </row>
    <row r="675" spans="1:44" ht="15.75" customHeight="1" x14ac:dyDescent="0.25">
      <c r="A675" s="64"/>
      <c r="B675" s="62"/>
      <c r="C675" s="62"/>
      <c r="D675" s="62"/>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c r="AE675" s="58"/>
      <c r="AF675" s="58"/>
      <c r="AG675" s="58"/>
      <c r="AH675" s="58"/>
      <c r="AI675" s="58"/>
      <c r="AJ675" s="58"/>
      <c r="AK675" s="58"/>
      <c r="AL675" s="58"/>
      <c r="AM675" s="58"/>
      <c r="AN675" s="58"/>
      <c r="AO675" s="58"/>
      <c r="AP675" s="58"/>
      <c r="AQ675" s="58"/>
      <c r="AR675" s="58"/>
    </row>
    <row r="676" spans="1:44" ht="15.75" customHeight="1" x14ac:dyDescent="0.25">
      <c r="A676" s="64"/>
      <c r="B676" s="62"/>
      <c r="C676" s="62"/>
      <c r="D676" s="62"/>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c r="AE676" s="58"/>
      <c r="AF676" s="58"/>
      <c r="AG676" s="58"/>
      <c r="AH676" s="58"/>
      <c r="AI676" s="58"/>
      <c r="AJ676" s="58"/>
      <c r="AK676" s="58"/>
      <c r="AL676" s="58"/>
      <c r="AM676" s="58"/>
      <c r="AN676" s="58"/>
      <c r="AO676" s="58"/>
      <c r="AP676" s="58"/>
      <c r="AQ676" s="58"/>
      <c r="AR676" s="58"/>
    </row>
    <row r="677" spans="1:44" ht="15.75" customHeight="1" x14ac:dyDescent="0.25">
      <c r="A677" s="64"/>
      <c r="B677" s="62"/>
      <c r="C677" s="62"/>
      <c r="D677" s="62"/>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c r="AE677" s="58"/>
      <c r="AF677" s="58"/>
      <c r="AG677" s="58"/>
      <c r="AH677" s="58"/>
      <c r="AI677" s="58"/>
      <c r="AJ677" s="58"/>
      <c r="AK677" s="58"/>
      <c r="AL677" s="58"/>
      <c r="AM677" s="58"/>
      <c r="AN677" s="58"/>
      <c r="AO677" s="58"/>
      <c r="AP677" s="58"/>
      <c r="AQ677" s="58"/>
      <c r="AR677" s="58"/>
    </row>
    <row r="678" spans="1:44" ht="15.75" customHeight="1" x14ac:dyDescent="0.25">
      <c r="A678" s="64"/>
      <c r="B678" s="62"/>
      <c r="C678" s="62"/>
      <c r="D678" s="62"/>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c r="AE678" s="58"/>
      <c r="AF678" s="58"/>
      <c r="AG678" s="58"/>
      <c r="AH678" s="58"/>
      <c r="AI678" s="58"/>
      <c r="AJ678" s="58"/>
      <c r="AK678" s="58"/>
      <c r="AL678" s="58"/>
      <c r="AM678" s="58"/>
      <c r="AN678" s="58"/>
      <c r="AO678" s="58"/>
      <c r="AP678" s="58"/>
      <c r="AQ678" s="58"/>
      <c r="AR678" s="58"/>
    </row>
    <row r="679" spans="1:44" ht="15.75" customHeight="1" x14ac:dyDescent="0.25">
      <c r="A679" s="64"/>
      <c r="B679" s="62"/>
      <c r="C679" s="62"/>
      <c r="D679" s="62"/>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c r="AE679" s="58"/>
      <c r="AF679" s="58"/>
      <c r="AG679" s="58"/>
      <c r="AH679" s="58"/>
      <c r="AI679" s="58"/>
      <c r="AJ679" s="58"/>
      <c r="AK679" s="58"/>
      <c r="AL679" s="58"/>
      <c r="AM679" s="58"/>
      <c r="AN679" s="58"/>
      <c r="AO679" s="58"/>
      <c r="AP679" s="58"/>
      <c r="AQ679" s="58"/>
      <c r="AR679" s="58"/>
    </row>
    <row r="680" spans="1:44" ht="15.75" customHeight="1" x14ac:dyDescent="0.25">
      <c r="A680" s="64"/>
      <c r="B680" s="62"/>
      <c r="C680" s="62"/>
      <c r="D680" s="62"/>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c r="AE680" s="58"/>
      <c r="AF680" s="58"/>
      <c r="AG680" s="58"/>
      <c r="AH680" s="58"/>
      <c r="AI680" s="58"/>
      <c r="AJ680" s="58"/>
      <c r="AK680" s="58"/>
      <c r="AL680" s="58"/>
      <c r="AM680" s="58"/>
      <c r="AN680" s="58"/>
      <c r="AO680" s="58"/>
      <c r="AP680" s="58"/>
      <c r="AQ680" s="58"/>
      <c r="AR680" s="58"/>
    </row>
    <row r="681" spans="1:44" ht="15.75" customHeight="1" x14ac:dyDescent="0.25">
      <c r="A681" s="64"/>
      <c r="B681" s="62"/>
      <c r="C681" s="62"/>
      <c r="D681" s="62"/>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c r="AE681" s="58"/>
      <c r="AF681" s="58"/>
      <c r="AG681" s="58"/>
      <c r="AH681" s="58"/>
      <c r="AI681" s="58"/>
      <c r="AJ681" s="58"/>
      <c r="AK681" s="58"/>
      <c r="AL681" s="58"/>
      <c r="AM681" s="58"/>
      <c r="AN681" s="58"/>
      <c r="AO681" s="58"/>
      <c r="AP681" s="58"/>
      <c r="AQ681" s="58"/>
      <c r="AR681" s="58"/>
    </row>
    <row r="682" spans="1:44" ht="15.75" customHeight="1" x14ac:dyDescent="0.25">
      <c r="A682" s="64"/>
      <c r="B682" s="62"/>
      <c r="C682" s="62"/>
      <c r="D682" s="62"/>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c r="AE682" s="58"/>
      <c r="AF682" s="58"/>
      <c r="AG682" s="58"/>
      <c r="AH682" s="58"/>
      <c r="AI682" s="58"/>
      <c r="AJ682" s="58"/>
      <c r="AK682" s="58"/>
      <c r="AL682" s="58"/>
      <c r="AM682" s="58"/>
      <c r="AN682" s="58"/>
      <c r="AO682" s="58"/>
      <c r="AP682" s="58"/>
      <c r="AQ682" s="58"/>
      <c r="AR682" s="58"/>
    </row>
    <row r="683" spans="1:44" ht="15.75" customHeight="1" x14ac:dyDescent="0.25">
      <c r="A683" s="64"/>
      <c r="B683" s="62"/>
      <c r="C683" s="62"/>
      <c r="D683" s="62"/>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c r="AE683" s="58"/>
      <c r="AF683" s="58"/>
      <c r="AG683" s="58"/>
      <c r="AH683" s="58"/>
      <c r="AI683" s="58"/>
      <c r="AJ683" s="58"/>
      <c r="AK683" s="58"/>
      <c r="AL683" s="58"/>
      <c r="AM683" s="58"/>
      <c r="AN683" s="58"/>
      <c r="AO683" s="58"/>
      <c r="AP683" s="58"/>
      <c r="AQ683" s="58"/>
      <c r="AR683" s="58"/>
    </row>
    <row r="684" spans="1:44" ht="15.75" customHeight="1" x14ac:dyDescent="0.25">
      <c r="A684" s="64"/>
      <c r="B684" s="62"/>
      <c r="C684" s="62"/>
      <c r="D684" s="62"/>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c r="AE684" s="58"/>
      <c r="AF684" s="58"/>
      <c r="AG684" s="58"/>
      <c r="AH684" s="58"/>
      <c r="AI684" s="58"/>
      <c r="AJ684" s="58"/>
      <c r="AK684" s="58"/>
      <c r="AL684" s="58"/>
      <c r="AM684" s="58"/>
      <c r="AN684" s="58"/>
      <c r="AO684" s="58"/>
      <c r="AP684" s="58"/>
      <c r="AQ684" s="58"/>
      <c r="AR684" s="58"/>
    </row>
    <row r="685" spans="1:44" ht="15.75" customHeight="1" x14ac:dyDescent="0.25">
      <c r="A685" s="64"/>
      <c r="B685" s="62"/>
      <c r="C685" s="62"/>
      <c r="D685" s="62"/>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c r="AE685" s="58"/>
      <c r="AF685" s="58"/>
      <c r="AG685" s="58"/>
      <c r="AH685" s="58"/>
      <c r="AI685" s="58"/>
      <c r="AJ685" s="58"/>
      <c r="AK685" s="58"/>
      <c r="AL685" s="58"/>
      <c r="AM685" s="58"/>
      <c r="AN685" s="58"/>
      <c r="AO685" s="58"/>
      <c r="AP685" s="58"/>
      <c r="AQ685" s="58"/>
      <c r="AR685" s="58"/>
    </row>
    <row r="686" spans="1:44" ht="15.75" customHeight="1" x14ac:dyDescent="0.25">
      <c r="A686" s="64"/>
      <c r="B686" s="62"/>
      <c r="C686" s="62"/>
      <c r="D686" s="62"/>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c r="AE686" s="58"/>
      <c r="AF686" s="58"/>
      <c r="AG686" s="58"/>
      <c r="AH686" s="58"/>
      <c r="AI686" s="58"/>
      <c r="AJ686" s="58"/>
      <c r="AK686" s="58"/>
      <c r="AL686" s="58"/>
      <c r="AM686" s="58"/>
      <c r="AN686" s="58"/>
      <c r="AO686" s="58"/>
      <c r="AP686" s="58"/>
      <c r="AQ686" s="58"/>
      <c r="AR686" s="58"/>
    </row>
    <row r="687" spans="1:44" ht="15.75" customHeight="1" x14ac:dyDescent="0.25">
      <c r="A687" s="64"/>
      <c r="B687" s="62"/>
      <c r="C687" s="62"/>
      <c r="D687" s="62"/>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c r="AE687" s="58"/>
      <c r="AF687" s="58"/>
      <c r="AG687" s="58"/>
      <c r="AH687" s="58"/>
      <c r="AI687" s="58"/>
      <c r="AJ687" s="58"/>
      <c r="AK687" s="58"/>
      <c r="AL687" s="58"/>
      <c r="AM687" s="58"/>
      <c r="AN687" s="58"/>
      <c r="AO687" s="58"/>
      <c r="AP687" s="58"/>
      <c r="AQ687" s="58"/>
      <c r="AR687" s="58"/>
    </row>
    <row r="688" spans="1:44" ht="15.75" customHeight="1" x14ac:dyDescent="0.25">
      <c r="A688" s="64"/>
      <c r="B688" s="62"/>
      <c r="C688" s="62"/>
      <c r="D688" s="62"/>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c r="AE688" s="58"/>
      <c r="AF688" s="58"/>
      <c r="AG688" s="58"/>
      <c r="AH688" s="58"/>
      <c r="AI688" s="58"/>
      <c r="AJ688" s="58"/>
      <c r="AK688" s="58"/>
      <c r="AL688" s="58"/>
      <c r="AM688" s="58"/>
      <c r="AN688" s="58"/>
      <c r="AO688" s="58"/>
      <c r="AP688" s="58"/>
      <c r="AQ688" s="58"/>
      <c r="AR688" s="58"/>
    </row>
    <row r="689" spans="1:44" ht="15.75" customHeight="1" x14ac:dyDescent="0.25">
      <c r="A689" s="64"/>
      <c r="B689" s="62"/>
      <c r="C689" s="62"/>
      <c r="D689" s="62"/>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c r="AE689" s="58"/>
      <c r="AF689" s="58"/>
      <c r="AG689" s="58"/>
      <c r="AH689" s="58"/>
      <c r="AI689" s="58"/>
      <c r="AJ689" s="58"/>
      <c r="AK689" s="58"/>
      <c r="AL689" s="58"/>
      <c r="AM689" s="58"/>
      <c r="AN689" s="58"/>
      <c r="AO689" s="58"/>
      <c r="AP689" s="58"/>
      <c r="AQ689" s="58"/>
      <c r="AR689" s="58"/>
    </row>
    <row r="690" spans="1:44" ht="15.75" customHeight="1" x14ac:dyDescent="0.25">
      <c r="A690" s="64"/>
      <c r="B690" s="62"/>
      <c r="C690" s="62"/>
      <c r="D690" s="62"/>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c r="AE690" s="58"/>
      <c r="AF690" s="58"/>
      <c r="AG690" s="58"/>
      <c r="AH690" s="58"/>
      <c r="AI690" s="58"/>
      <c r="AJ690" s="58"/>
      <c r="AK690" s="58"/>
      <c r="AL690" s="58"/>
      <c r="AM690" s="58"/>
      <c r="AN690" s="58"/>
      <c r="AO690" s="58"/>
      <c r="AP690" s="58"/>
      <c r="AQ690" s="58"/>
      <c r="AR690" s="58"/>
    </row>
    <row r="691" spans="1:44" ht="15.75" customHeight="1" x14ac:dyDescent="0.25">
      <c r="A691" s="64"/>
      <c r="B691" s="62"/>
      <c r="C691" s="62"/>
      <c r="D691" s="62"/>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c r="AE691" s="58"/>
      <c r="AF691" s="58"/>
      <c r="AG691" s="58"/>
      <c r="AH691" s="58"/>
      <c r="AI691" s="58"/>
      <c r="AJ691" s="58"/>
      <c r="AK691" s="58"/>
      <c r="AL691" s="58"/>
      <c r="AM691" s="58"/>
      <c r="AN691" s="58"/>
      <c r="AO691" s="58"/>
      <c r="AP691" s="58"/>
      <c r="AQ691" s="58"/>
      <c r="AR691" s="58"/>
    </row>
    <row r="692" spans="1:44" ht="15.75" customHeight="1" x14ac:dyDescent="0.25">
      <c r="A692" s="64"/>
      <c r="B692" s="62"/>
      <c r="C692" s="62"/>
      <c r="D692" s="62"/>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c r="AE692" s="58"/>
      <c r="AF692" s="58"/>
      <c r="AG692" s="58"/>
      <c r="AH692" s="58"/>
      <c r="AI692" s="58"/>
      <c r="AJ692" s="58"/>
      <c r="AK692" s="58"/>
      <c r="AL692" s="58"/>
      <c r="AM692" s="58"/>
      <c r="AN692" s="58"/>
      <c r="AO692" s="58"/>
      <c r="AP692" s="58"/>
      <c r="AQ692" s="58"/>
      <c r="AR692" s="58"/>
    </row>
    <row r="693" spans="1:44" ht="15.75" customHeight="1" x14ac:dyDescent="0.25">
      <c r="A693" s="64"/>
      <c r="B693" s="62"/>
      <c r="C693" s="62"/>
      <c r="D693" s="62"/>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c r="AE693" s="58"/>
      <c r="AF693" s="58"/>
      <c r="AG693" s="58"/>
      <c r="AH693" s="58"/>
      <c r="AI693" s="58"/>
      <c r="AJ693" s="58"/>
      <c r="AK693" s="58"/>
      <c r="AL693" s="58"/>
      <c r="AM693" s="58"/>
      <c r="AN693" s="58"/>
      <c r="AO693" s="58"/>
      <c r="AP693" s="58"/>
      <c r="AQ693" s="58"/>
      <c r="AR693" s="58"/>
    </row>
    <row r="694" spans="1:44" ht="15.75" customHeight="1" x14ac:dyDescent="0.25">
      <c r="A694" s="64"/>
      <c r="B694" s="62"/>
      <c r="C694" s="62"/>
      <c r="D694" s="62"/>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c r="AE694" s="58"/>
      <c r="AF694" s="58"/>
      <c r="AG694" s="58"/>
      <c r="AH694" s="58"/>
      <c r="AI694" s="58"/>
      <c r="AJ694" s="58"/>
      <c r="AK694" s="58"/>
      <c r="AL694" s="58"/>
      <c r="AM694" s="58"/>
      <c r="AN694" s="58"/>
      <c r="AO694" s="58"/>
      <c r="AP694" s="58"/>
      <c r="AQ694" s="58"/>
      <c r="AR694" s="58"/>
    </row>
    <row r="695" spans="1:44" ht="15.75" customHeight="1" x14ac:dyDescent="0.25">
      <c r="A695" s="64"/>
      <c r="B695" s="62"/>
      <c r="C695" s="62"/>
      <c r="D695" s="62"/>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c r="AE695" s="58"/>
      <c r="AF695" s="58"/>
      <c r="AG695" s="58"/>
      <c r="AH695" s="58"/>
      <c r="AI695" s="58"/>
      <c r="AJ695" s="58"/>
      <c r="AK695" s="58"/>
      <c r="AL695" s="58"/>
      <c r="AM695" s="58"/>
      <c r="AN695" s="58"/>
      <c r="AO695" s="58"/>
      <c r="AP695" s="58"/>
      <c r="AQ695" s="58"/>
      <c r="AR695" s="58"/>
    </row>
    <row r="696" spans="1:44" ht="15.75" customHeight="1" x14ac:dyDescent="0.25">
      <c r="A696" s="64"/>
      <c r="B696" s="62"/>
      <c r="C696" s="62"/>
      <c r="D696" s="62"/>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c r="AE696" s="58"/>
      <c r="AF696" s="58"/>
      <c r="AG696" s="58"/>
      <c r="AH696" s="58"/>
      <c r="AI696" s="58"/>
      <c r="AJ696" s="58"/>
      <c r="AK696" s="58"/>
      <c r="AL696" s="58"/>
      <c r="AM696" s="58"/>
      <c r="AN696" s="58"/>
      <c r="AO696" s="58"/>
      <c r="AP696" s="58"/>
      <c r="AQ696" s="58"/>
      <c r="AR696" s="58"/>
    </row>
    <row r="697" spans="1:44" ht="15.75" customHeight="1" x14ac:dyDescent="0.25">
      <c r="A697" s="64"/>
      <c r="B697" s="62"/>
      <c r="C697" s="62"/>
      <c r="D697" s="62"/>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c r="AE697" s="58"/>
      <c r="AF697" s="58"/>
      <c r="AG697" s="58"/>
      <c r="AH697" s="58"/>
      <c r="AI697" s="58"/>
      <c r="AJ697" s="58"/>
      <c r="AK697" s="58"/>
      <c r="AL697" s="58"/>
      <c r="AM697" s="58"/>
      <c r="AN697" s="58"/>
      <c r="AO697" s="58"/>
      <c r="AP697" s="58"/>
      <c r="AQ697" s="58"/>
      <c r="AR697" s="58"/>
    </row>
    <row r="698" spans="1:44" ht="15.75" customHeight="1" x14ac:dyDescent="0.25">
      <c r="A698" s="64"/>
      <c r="B698" s="62"/>
      <c r="C698" s="62"/>
      <c r="D698" s="62"/>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c r="AE698" s="58"/>
      <c r="AF698" s="58"/>
      <c r="AG698" s="58"/>
      <c r="AH698" s="58"/>
      <c r="AI698" s="58"/>
      <c r="AJ698" s="58"/>
      <c r="AK698" s="58"/>
      <c r="AL698" s="58"/>
      <c r="AM698" s="58"/>
      <c r="AN698" s="58"/>
      <c r="AO698" s="58"/>
      <c r="AP698" s="58"/>
      <c r="AQ698" s="58"/>
      <c r="AR698" s="58"/>
    </row>
    <row r="699" spans="1:44" ht="15.75" customHeight="1" x14ac:dyDescent="0.25">
      <c r="A699" s="64"/>
      <c r="B699" s="62"/>
      <c r="C699" s="62"/>
      <c r="D699" s="62"/>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c r="AE699" s="58"/>
      <c r="AF699" s="58"/>
      <c r="AG699" s="58"/>
      <c r="AH699" s="58"/>
      <c r="AI699" s="58"/>
      <c r="AJ699" s="58"/>
      <c r="AK699" s="58"/>
      <c r="AL699" s="58"/>
      <c r="AM699" s="58"/>
      <c r="AN699" s="58"/>
      <c r="AO699" s="58"/>
      <c r="AP699" s="58"/>
      <c r="AQ699" s="58"/>
      <c r="AR699" s="58"/>
    </row>
    <row r="700" spans="1:44" ht="15.75" customHeight="1" x14ac:dyDescent="0.25">
      <c r="A700" s="64"/>
      <c r="B700" s="62"/>
      <c r="C700" s="62"/>
      <c r="D700" s="62"/>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c r="AE700" s="58"/>
      <c r="AF700" s="58"/>
      <c r="AG700" s="58"/>
      <c r="AH700" s="58"/>
      <c r="AI700" s="58"/>
      <c r="AJ700" s="58"/>
      <c r="AK700" s="58"/>
      <c r="AL700" s="58"/>
      <c r="AM700" s="58"/>
      <c r="AN700" s="58"/>
      <c r="AO700" s="58"/>
      <c r="AP700" s="58"/>
      <c r="AQ700" s="58"/>
      <c r="AR700" s="58"/>
    </row>
    <row r="701" spans="1:44" ht="15.75" customHeight="1" x14ac:dyDescent="0.25">
      <c r="A701" s="64"/>
      <c r="B701" s="62"/>
      <c r="C701" s="62"/>
      <c r="D701" s="62"/>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c r="AE701" s="58"/>
      <c r="AF701" s="58"/>
      <c r="AG701" s="58"/>
      <c r="AH701" s="58"/>
      <c r="AI701" s="58"/>
      <c r="AJ701" s="58"/>
      <c r="AK701" s="58"/>
      <c r="AL701" s="58"/>
      <c r="AM701" s="58"/>
      <c r="AN701" s="58"/>
      <c r="AO701" s="58"/>
      <c r="AP701" s="58"/>
      <c r="AQ701" s="58"/>
      <c r="AR701" s="58"/>
    </row>
    <row r="702" spans="1:44" ht="15.75" customHeight="1" x14ac:dyDescent="0.25">
      <c r="A702" s="64"/>
      <c r="B702" s="62"/>
      <c r="C702" s="62"/>
      <c r="D702" s="62"/>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c r="AE702" s="58"/>
      <c r="AF702" s="58"/>
      <c r="AG702" s="58"/>
      <c r="AH702" s="58"/>
      <c r="AI702" s="58"/>
      <c r="AJ702" s="58"/>
      <c r="AK702" s="58"/>
      <c r="AL702" s="58"/>
      <c r="AM702" s="58"/>
      <c r="AN702" s="58"/>
      <c r="AO702" s="58"/>
      <c r="AP702" s="58"/>
      <c r="AQ702" s="58"/>
      <c r="AR702" s="58"/>
    </row>
    <row r="703" spans="1:44" ht="15.75" customHeight="1" x14ac:dyDescent="0.25">
      <c r="A703" s="64"/>
      <c r="B703" s="62"/>
      <c r="C703" s="62"/>
      <c r="D703" s="62"/>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c r="AE703" s="58"/>
      <c r="AF703" s="58"/>
      <c r="AG703" s="58"/>
      <c r="AH703" s="58"/>
      <c r="AI703" s="58"/>
      <c r="AJ703" s="58"/>
      <c r="AK703" s="58"/>
      <c r="AL703" s="58"/>
      <c r="AM703" s="58"/>
      <c r="AN703" s="58"/>
      <c r="AO703" s="58"/>
      <c r="AP703" s="58"/>
      <c r="AQ703" s="58"/>
      <c r="AR703" s="58"/>
    </row>
    <row r="704" spans="1:44" ht="15.75" customHeight="1" x14ac:dyDescent="0.25">
      <c r="A704" s="64"/>
      <c r="B704" s="62"/>
      <c r="C704" s="62"/>
      <c r="D704" s="62"/>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c r="AE704" s="58"/>
      <c r="AF704" s="58"/>
      <c r="AG704" s="58"/>
      <c r="AH704" s="58"/>
      <c r="AI704" s="58"/>
      <c r="AJ704" s="58"/>
      <c r="AK704" s="58"/>
      <c r="AL704" s="58"/>
      <c r="AM704" s="58"/>
      <c r="AN704" s="58"/>
      <c r="AO704" s="58"/>
      <c r="AP704" s="58"/>
      <c r="AQ704" s="58"/>
      <c r="AR704" s="58"/>
    </row>
    <row r="705" spans="1:44" ht="15.75" customHeight="1" x14ac:dyDescent="0.25">
      <c r="A705" s="64"/>
      <c r="B705" s="62"/>
      <c r="C705" s="62"/>
      <c r="D705" s="62"/>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c r="AE705" s="58"/>
      <c r="AF705" s="58"/>
      <c r="AG705" s="58"/>
      <c r="AH705" s="58"/>
      <c r="AI705" s="58"/>
      <c r="AJ705" s="58"/>
      <c r="AK705" s="58"/>
      <c r="AL705" s="58"/>
      <c r="AM705" s="58"/>
      <c r="AN705" s="58"/>
      <c r="AO705" s="58"/>
      <c r="AP705" s="58"/>
      <c r="AQ705" s="58"/>
      <c r="AR705" s="58"/>
    </row>
    <row r="706" spans="1:44" ht="15.75" customHeight="1" x14ac:dyDescent="0.25">
      <c r="A706" s="64"/>
      <c r="B706" s="62"/>
      <c r="C706" s="62"/>
      <c r="D706" s="62"/>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c r="AE706" s="58"/>
      <c r="AF706" s="58"/>
      <c r="AG706" s="58"/>
      <c r="AH706" s="58"/>
      <c r="AI706" s="58"/>
      <c r="AJ706" s="58"/>
      <c r="AK706" s="58"/>
      <c r="AL706" s="58"/>
      <c r="AM706" s="58"/>
      <c r="AN706" s="58"/>
      <c r="AO706" s="58"/>
      <c r="AP706" s="58"/>
      <c r="AQ706" s="58"/>
      <c r="AR706" s="58"/>
    </row>
    <row r="707" spans="1:44" ht="15.75" customHeight="1" x14ac:dyDescent="0.25">
      <c r="A707" s="64"/>
      <c r="B707" s="62"/>
      <c r="C707" s="62"/>
      <c r="D707" s="62"/>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c r="AE707" s="58"/>
      <c r="AF707" s="58"/>
      <c r="AG707" s="58"/>
      <c r="AH707" s="58"/>
      <c r="AI707" s="58"/>
      <c r="AJ707" s="58"/>
      <c r="AK707" s="58"/>
      <c r="AL707" s="58"/>
      <c r="AM707" s="58"/>
      <c r="AN707" s="58"/>
      <c r="AO707" s="58"/>
      <c r="AP707" s="58"/>
      <c r="AQ707" s="58"/>
      <c r="AR707" s="58"/>
    </row>
    <row r="708" spans="1:44" ht="15.75" customHeight="1" x14ac:dyDescent="0.25">
      <c r="A708" s="64"/>
      <c r="B708" s="62"/>
      <c r="C708" s="62"/>
      <c r="D708" s="62"/>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c r="AE708" s="58"/>
      <c r="AF708" s="58"/>
      <c r="AG708" s="58"/>
      <c r="AH708" s="58"/>
      <c r="AI708" s="58"/>
      <c r="AJ708" s="58"/>
      <c r="AK708" s="58"/>
      <c r="AL708" s="58"/>
      <c r="AM708" s="58"/>
      <c r="AN708" s="58"/>
      <c r="AO708" s="58"/>
      <c r="AP708" s="58"/>
      <c r="AQ708" s="58"/>
      <c r="AR708" s="58"/>
    </row>
    <row r="709" spans="1:44" ht="15.75" customHeight="1" x14ac:dyDescent="0.25">
      <c r="A709" s="64"/>
      <c r="B709" s="62"/>
      <c r="C709" s="62"/>
      <c r="D709" s="62"/>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c r="AE709" s="58"/>
      <c r="AF709" s="58"/>
      <c r="AG709" s="58"/>
      <c r="AH709" s="58"/>
      <c r="AI709" s="58"/>
      <c r="AJ709" s="58"/>
      <c r="AK709" s="58"/>
      <c r="AL709" s="58"/>
      <c r="AM709" s="58"/>
      <c r="AN709" s="58"/>
      <c r="AO709" s="58"/>
      <c r="AP709" s="58"/>
      <c r="AQ709" s="58"/>
      <c r="AR709" s="58"/>
    </row>
    <row r="710" spans="1:44" ht="15.75" customHeight="1" x14ac:dyDescent="0.25">
      <c r="A710" s="64"/>
      <c r="B710" s="62"/>
      <c r="C710" s="62"/>
      <c r="D710" s="62"/>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c r="AE710" s="58"/>
      <c r="AF710" s="58"/>
      <c r="AG710" s="58"/>
      <c r="AH710" s="58"/>
      <c r="AI710" s="58"/>
      <c r="AJ710" s="58"/>
      <c r="AK710" s="58"/>
      <c r="AL710" s="58"/>
      <c r="AM710" s="58"/>
      <c r="AN710" s="58"/>
      <c r="AO710" s="58"/>
      <c r="AP710" s="58"/>
      <c r="AQ710" s="58"/>
      <c r="AR710" s="58"/>
    </row>
    <row r="711" spans="1:44" ht="15.75" customHeight="1" x14ac:dyDescent="0.25">
      <c r="A711" s="64"/>
      <c r="B711" s="62"/>
      <c r="C711" s="62"/>
      <c r="D711" s="62"/>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c r="AE711" s="58"/>
      <c r="AF711" s="58"/>
      <c r="AG711" s="58"/>
      <c r="AH711" s="58"/>
      <c r="AI711" s="58"/>
      <c r="AJ711" s="58"/>
      <c r="AK711" s="58"/>
      <c r="AL711" s="58"/>
      <c r="AM711" s="58"/>
      <c r="AN711" s="58"/>
      <c r="AO711" s="58"/>
      <c r="AP711" s="58"/>
      <c r="AQ711" s="58"/>
      <c r="AR711" s="58"/>
    </row>
    <row r="712" spans="1:44" ht="15.75" customHeight="1" x14ac:dyDescent="0.25">
      <c r="A712" s="64"/>
      <c r="B712" s="62"/>
      <c r="C712" s="62"/>
      <c r="D712" s="62"/>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c r="AE712" s="58"/>
      <c r="AF712" s="58"/>
      <c r="AG712" s="58"/>
      <c r="AH712" s="58"/>
      <c r="AI712" s="58"/>
      <c r="AJ712" s="58"/>
      <c r="AK712" s="58"/>
      <c r="AL712" s="58"/>
      <c r="AM712" s="58"/>
      <c r="AN712" s="58"/>
      <c r="AO712" s="58"/>
      <c r="AP712" s="58"/>
      <c r="AQ712" s="58"/>
      <c r="AR712" s="58"/>
    </row>
    <row r="713" spans="1:44" ht="15.75" customHeight="1" x14ac:dyDescent="0.25">
      <c r="A713" s="64"/>
      <c r="B713" s="62"/>
      <c r="C713" s="62"/>
      <c r="D713" s="62"/>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c r="AE713" s="58"/>
      <c r="AF713" s="58"/>
      <c r="AG713" s="58"/>
      <c r="AH713" s="58"/>
      <c r="AI713" s="58"/>
      <c r="AJ713" s="58"/>
      <c r="AK713" s="58"/>
      <c r="AL713" s="58"/>
      <c r="AM713" s="58"/>
      <c r="AN713" s="58"/>
      <c r="AO713" s="58"/>
      <c r="AP713" s="58"/>
      <c r="AQ713" s="58"/>
      <c r="AR713" s="58"/>
    </row>
    <row r="714" spans="1:44" ht="15.75" customHeight="1" x14ac:dyDescent="0.25">
      <c r="A714" s="64"/>
      <c r="B714" s="62"/>
      <c r="C714" s="62"/>
      <c r="D714" s="62"/>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c r="AE714" s="58"/>
      <c r="AF714" s="58"/>
      <c r="AG714" s="58"/>
      <c r="AH714" s="58"/>
      <c r="AI714" s="58"/>
      <c r="AJ714" s="58"/>
      <c r="AK714" s="58"/>
      <c r="AL714" s="58"/>
      <c r="AM714" s="58"/>
      <c r="AN714" s="58"/>
      <c r="AO714" s="58"/>
      <c r="AP714" s="58"/>
      <c r="AQ714" s="58"/>
      <c r="AR714" s="58"/>
    </row>
    <row r="715" spans="1:44" ht="15.75" customHeight="1" x14ac:dyDescent="0.25">
      <c r="A715" s="64"/>
      <c r="B715" s="62"/>
      <c r="C715" s="62"/>
      <c r="D715" s="62"/>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c r="AE715" s="58"/>
      <c r="AF715" s="58"/>
      <c r="AG715" s="58"/>
      <c r="AH715" s="58"/>
      <c r="AI715" s="58"/>
      <c r="AJ715" s="58"/>
      <c r="AK715" s="58"/>
      <c r="AL715" s="58"/>
      <c r="AM715" s="58"/>
      <c r="AN715" s="58"/>
      <c r="AO715" s="58"/>
      <c r="AP715" s="58"/>
      <c r="AQ715" s="58"/>
      <c r="AR715" s="58"/>
    </row>
    <row r="716" spans="1:44" ht="15.75" customHeight="1" x14ac:dyDescent="0.25">
      <c r="A716" s="64"/>
      <c r="B716" s="62"/>
      <c r="C716" s="62"/>
      <c r="D716" s="62"/>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c r="AE716" s="58"/>
      <c r="AF716" s="58"/>
      <c r="AG716" s="58"/>
      <c r="AH716" s="58"/>
      <c r="AI716" s="58"/>
      <c r="AJ716" s="58"/>
      <c r="AK716" s="58"/>
      <c r="AL716" s="58"/>
      <c r="AM716" s="58"/>
      <c r="AN716" s="58"/>
      <c r="AO716" s="58"/>
      <c r="AP716" s="58"/>
      <c r="AQ716" s="58"/>
      <c r="AR716" s="58"/>
    </row>
    <row r="717" spans="1:44" ht="15.75" customHeight="1" x14ac:dyDescent="0.25">
      <c r="A717" s="64"/>
      <c r="B717" s="62"/>
      <c r="C717" s="62"/>
      <c r="D717" s="62"/>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c r="AE717" s="58"/>
      <c r="AF717" s="58"/>
      <c r="AG717" s="58"/>
      <c r="AH717" s="58"/>
      <c r="AI717" s="58"/>
      <c r="AJ717" s="58"/>
      <c r="AK717" s="58"/>
      <c r="AL717" s="58"/>
      <c r="AM717" s="58"/>
      <c r="AN717" s="58"/>
      <c r="AO717" s="58"/>
      <c r="AP717" s="58"/>
      <c r="AQ717" s="58"/>
      <c r="AR717" s="58"/>
    </row>
    <row r="718" spans="1:44" ht="15.75" customHeight="1" x14ac:dyDescent="0.25">
      <c r="A718" s="64"/>
      <c r="B718" s="62"/>
      <c r="C718" s="62"/>
      <c r="D718" s="62"/>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c r="AE718" s="58"/>
      <c r="AF718" s="58"/>
      <c r="AG718" s="58"/>
      <c r="AH718" s="58"/>
      <c r="AI718" s="58"/>
      <c r="AJ718" s="58"/>
      <c r="AK718" s="58"/>
      <c r="AL718" s="58"/>
      <c r="AM718" s="58"/>
      <c r="AN718" s="58"/>
      <c r="AO718" s="58"/>
      <c r="AP718" s="58"/>
      <c r="AQ718" s="58"/>
      <c r="AR718" s="58"/>
    </row>
    <row r="719" spans="1:44" ht="15.75" customHeight="1" x14ac:dyDescent="0.25">
      <c r="A719" s="64"/>
      <c r="B719" s="62"/>
      <c r="C719" s="62"/>
      <c r="D719" s="62"/>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c r="AE719" s="58"/>
      <c r="AF719" s="58"/>
      <c r="AG719" s="58"/>
      <c r="AH719" s="58"/>
      <c r="AI719" s="58"/>
      <c r="AJ719" s="58"/>
      <c r="AK719" s="58"/>
      <c r="AL719" s="58"/>
      <c r="AM719" s="58"/>
      <c r="AN719" s="58"/>
      <c r="AO719" s="58"/>
      <c r="AP719" s="58"/>
      <c r="AQ719" s="58"/>
      <c r="AR719" s="58"/>
    </row>
    <row r="720" spans="1:44" ht="15.75" customHeight="1" x14ac:dyDescent="0.25">
      <c r="A720" s="64"/>
      <c r="B720" s="62"/>
      <c r="C720" s="62"/>
      <c r="D720" s="62"/>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c r="AE720" s="58"/>
      <c r="AF720" s="58"/>
      <c r="AG720" s="58"/>
      <c r="AH720" s="58"/>
      <c r="AI720" s="58"/>
      <c r="AJ720" s="58"/>
      <c r="AK720" s="58"/>
      <c r="AL720" s="58"/>
      <c r="AM720" s="58"/>
      <c r="AN720" s="58"/>
      <c r="AO720" s="58"/>
      <c r="AP720" s="58"/>
      <c r="AQ720" s="58"/>
      <c r="AR720" s="58"/>
    </row>
    <row r="721" spans="1:44" ht="15.75" customHeight="1" x14ac:dyDescent="0.25">
      <c r="A721" s="64"/>
      <c r="B721" s="62"/>
      <c r="C721" s="62"/>
      <c r="D721" s="62"/>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c r="AE721" s="58"/>
      <c r="AF721" s="58"/>
      <c r="AG721" s="58"/>
      <c r="AH721" s="58"/>
      <c r="AI721" s="58"/>
      <c r="AJ721" s="58"/>
      <c r="AK721" s="58"/>
      <c r="AL721" s="58"/>
      <c r="AM721" s="58"/>
      <c r="AN721" s="58"/>
      <c r="AO721" s="58"/>
      <c r="AP721" s="58"/>
      <c r="AQ721" s="58"/>
      <c r="AR721" s="58"/>
    </row>
    <row r="722" spans="1:44" ht="15.75" customHeight="1" x14ac:dyDescent="0.25">
      <c r="A722" s="64"/>
      <c r="B722" s="62"/>
      <c r="C722" s="62"/>
      <c r="D722" s="62"/>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c r="AE722" s="58"/>
      <c r="AF722" s="58"/>
      <c r="AG722" s="58"/>
      <c r="AH722" s="58"/>
      <c r="AI722" s="58"/>
      <c r="AJ722" s="58"/>
      <c r="AK722" s="58"/>
      <c r="AL722" s="58"/>
      <c r="AM722" s="58"/>
      <c r="AN722" s="58"/>
      <c r="AO722" s="58"/>
      <c r="AP722" s="58"/>
      <c r="AQ722" s="58"/>
      <c r="AR722" s="58"/>
    </row>
    <row r="723" spans="1:44" ht="15.75" customHeight="1" x14ac:dyDescent="0.25">
      <c r="A723" s="64"/>
      <c r="B723" s="62"/>
      <c r="C723" s="62"/>
      <c r="D723" s="62"/>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c r="AE723" s="58"/>
      <c r="AF723" s="58"/>
      <c r="AG723" s="58"/>
      <c r="AH723" s="58"/>
      <c r="AI723" s="58"/>
      <c r="AJ723" s="58"/>
      <c r="AK723" s="58"/>
      <c r="AL723" s="58"/>
      <c r="AM723" s="58"/>
      <c r="AN723" s="58"/>
      <c r="AO723" s="58"/>
      <c r="AP723" s="58"/>
      <c r="AQ723" s="58"/>
      <c r="AR723" s="58"/>
    </row>
    <row r="724" spans="1:44" ht="15.75" customHeight="1" x14ac:dyDescent="0.25">
      <c r="A724" s="64"/>
      <c r="B724" s="62"/>
      <c r="C724" s="62"/>
      <c r="D724" s="62"/>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c r="AE724" s="58"/>
      <c r="AF724" s="58"/>
      <c r="AG724" s="58"/>
      <c r="AH724" s="58"/>
      <c r="AI724" s="58"/>
      <c r="AJ724" s="58"/>
      <c r="AK724" s="58"/>
      <c r="AL724" s="58"/>
      <c r="AM724" s="58"/>
      <c r="AN724" s="58"/>
      <c r="AO724" s="58"/>
      <c r="AP724" s="58"/>
      <c r="AQ724" s="58"/>
      <c r="AR724" s="58"/>
    </row>
    <row r="725" spans="1:44" ht="15.75" customHeight="1" x14ac:dyDescent="0.25">
      <c r="A725" s="64"/>
      <c r="B725" s="62"/>
      <c r="C725" s="62"/>
      <c r="D725" s="62"/>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c r="AE725" s="58"/>
      <c r="AF725" s="58"/>
      <c r="AG725" s="58"/>
      <c r="AH725" s="58"/>
      <c r="AI725" s="58"/>
      <c r="AJ725" s="58"/>
      <c r="AK725" s="58"/>
      <c r="AL725" s="58"/>
      <c r="AM725" s="58"/>
      <c r="AN725" s="58"/>
      <c r="AO725" s="58"/>
      <c r="AP725" s="58"/>
      <c r="AQ725" s="58"/>
      <c r="AR725" s="58"/>
    </row>
    <row r="726" spans="1:44" ht="15.75" customHeight="1" x14ac:dyDescent="0.25">
      <c r="A726" s="64"/>
      <c r="B726" s="62"/>
      <c r="C726" s="62"/>
      <c r="D726" s="62"/>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c r="AE726" s="58"/>
      <c r="AF726" s="58"/>
      <c r="AG726" s="58"/>
      <c r="AH726" s="58"/>
      <c r="AI726" s="58"/>
      <c r="AJ726" s="58"/>
      <c r="AK726" s="58"/>
      <c r="AL726" s="58"/>
      <c r="AM726" s="58"/>
      <c r="AN726" s="58"/>
      <c r="AO726" s="58"/>
      <c r="AP726" s="58"/>
      <c r="AQ726" s="58"/>
      <c r="AR726" s="58"/>
    </row>
    <row r="727" spans="1:44" ht="15.75" customHeight="1" x14ac:dyDescent="0.25">
      <c r="A727" s="64"/>
      <c r="B727" s="62"/>
      <c r="C727" s="62"/>
      <c r="D727" s="62"/>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c r="AE727" s="58"/>
      <c r="AF727" s="58"/>
      <c r="AG727" s="58"/>
      <c r="AH727" s="58"/>
      <c r="AI727" s="58"/>
      <c r="AJ727" s="58"/>
      <c r="AK727" s="58"/>
      <c r="AL727" s="58"/>
      <c r="AM727" s="58"/>
      <c r="AN727" s="58"/>
      <c r="AO727" s="58"/>
      <c r="AP727" s="58"/>
      <c r="AQ727" s="58"/>
      <c r="AR727" s="58"/>
    </row>
    <row r="728" spans="1:44" ht="15.75" customHeight="1" x14ac:dyDescent="0.25">
      <c r="A728" s="64"/>
      <c r="B728" s="62"/>
      <c r="C728" s="62"/>
      <c r="D728" s="62"/>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c r="AE728" s="58"/>
      <c r="AF728" s="58"/>
      <c r="AG728" s="58"/>
      <c r="AH728" s="58"/>
      <c r="AI728" s="58"/>
      <c r="AJ728" s="58"/>
      <c r="AK728" s="58"/>
      <c r="AL728" s="58"/>
      <c r="AM728" s="58"/>
      <c r="AN728" s="58"/>
      <c r="AO728" s="58"/>
      <c r="AP728" s="58"/>
      <c r="AQ728" s="58"/>
      <c r="AR728" s="58"/>
    </row>
    <row r="729" spans="1:44" ht="15.75" customHeight="1" x14ac:dyDescent="0.25">
      <c r="A729" s="64"/>
      <c r="B729" s="62"/>
      <c r="C729" s="62"/>
      <c r="D729" s="62"/>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c r="AE729" s="58"/>
      <c r="AF729" s="58"/>
      <c r="AG729" s="58"/>
      <c r="AH729" s="58"/>
      <c r="AI729" s="58"/>
      <c r="AJ729" s="58"/>
      <c r="AK729" s="58"/>
      <c r="AL729" s="58"/>
      <c r="AM729" s="58"/>
      <c r="AN729" s="58"/>
      <c r="AO729" s="58"/>
      <c r="AP729" s="58"/>
      <c r="AQ729" s="58"/>
      <c r="AR729" s="58"/>
    </row>
    <row r="730" spans="1:44" ht="15.75" customHeight="1" x14ac:dyDescent="0.25">
      <c r="A730" s="64"/>
      <c r="B730" s="62"/>
      <c r="C730" s="62"/>
      <c r="D730" s="62"/>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c r="AE730" s="58"/>
      <c r="AF730" s="58"/>
      <c r="AG730" s="58"/>
      <c r="AH730" s="58"/>
      <c r="AI730" s="58"/>
      <c r="AJ730" s="58"/>
      <c r="AK730" s="58"/>
      <c r="AL730" s="58"/>
      <c r="AM730" s="58"/>
      <c r="AN730" s="58"/>
      <c r="AO730" s="58"/>
      <c r="AP730" s="58"/>
      <c r="AQ730" s="58"/>
      <c r="AR730" s="58"/>
    </row>
    <row r="731" spans="1:44" ht="15.75" customHeight="1" x14ac:dyDescent="0.25">
      <c r="A731" s="64"/>
      <c r="B731" s="62"/>
      <c r="C731" s="62"/>
      <c r="D731" s="62"/>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c r="AE731" s="58"/>
      <c r="AF731" s="58"/>
      <c r="AG731" s="58"/>
      <c r="AH731" s="58"/>
      <c r="AI731" s="58"/>
      <c r="AJ731" s="58"/>
      <c r="AK731" s="58"/>
      <c r="AL731" s="58"/>
      <c r="AM731" s="58"/>
      <c r="AN731" s="58"/>
      <c r="AO731" s="58"/>
      <c r="AP731" s="58"/>
      <c r="AQ731" s="58"/>
      <c r="AR731" s="58"/>
    </row>
    <row r="732" spans="1:44" ht="15.75" customHeight="1" x14ac:dyDescent="0.25">
      <c r="A732" s="64"/>
      <c r="B732" s="62"/>
      <c r="C732" s="62"/>
      <c r="D732" s="62"/>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c r="AE732" s="58"/>
      <c r="AF732" s="58"/>
      <c r="AG732" s="58"/>
      <c r="AH732" s="58"/>
      <c r="AI732" s="58"/>
      <c r="AJ732" s="58"/>
      <c r="AK732" s="58"/>
      <c r="AL732" s="58"/>
      <c r="AM732" s="58"/>
      <c r="AN732" s="58"/>
      <c r="AO732" s="58"/>
      <c r="AP732" s="58"/>
      <c r="AQ732" s="58"/>
      <c r="AR732" s="58"/>
    </row>
    <row r="733" spans="1:44" ht="15.75" customHeight="1" x14ac:dyDescent="0.25">
      <c r="A733" s="64"/>
      <c r="B733" s="62"/>
      <c r="C733" s="62"/>
      <c r="D733" s="62"/>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c r="AE733" s="58"/>
      <c r="AF733" s="58"/>
      <c r="AG733" s="58"/>
      <c r="AH733" s="58"/>
      <c r="AI733" s="58"/>
      <c r="AJ733" s="58"/>
      <c r="AK733" s="58"/>
      <c r="AL733" s="58"/>
      <c r="AM733" s="58"/>
      <c r="AN733" s="58"/>
      <c r="AO733" s="58"/>
      <c r="AP733" s="58"/>
      <c r="AQ733" s="58"/>
      <c r="AR733" s="58"/>
    </row>
    <row r="734" spans="1:44" ht="15.75" customHeight="1" x14ac:dyDescent="0.25">
      <c r="A734" s="64"/>
      <c r="B734" s="62"/>
      <c r="C734" s="62"/>
      <c r="D734" s="62"/>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c r="AE734" s="58"/>
      <c r="AF734" s="58"/>
      <c r="AG734" s="58"/>
      <c r="AH734" s="58"/>
      <c r="AI734" s="58"/>
      <c r="AJ734" s="58"/>
      <c r="AK734" s="58"/>
      <c r="AL734" s="58"/>
      <c r="AM734" s="58"/>
      <c r="AN734" s="58"/>
      <c r="AO734" s="58"/>
      <c r="AP734" s="58"/>
      <c r="AQ734" s="58"/>
      <c r="AR734" s="58"/>
    </row>
    <row r="735" spans="1:44" ht="15.75" customHeight="1" x14ac:dyDescent="0.25">
      <c r="A735" s="64"/>
      <c r="B735" s="62"/>
      <c r="C735" s="62"/>
      <c r="D735" s="62"/>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c r="AE735" s="58"/>
      <c r="AF735" s="58"/>
      <c r="AG735" s="58"/>
      <c r="AH735" s="58"/>
      <c r="AI735" s="58"/>
      <c r="AJ735" s="58"/>
      <c r="AK735" s="58"/>
      <c r="AL735" s="58"/>
      <c r="AM735" s="58"/>
      <c r="AN735" s="58"/>
      <c r="AO735" s="58"/>
      <c r="AP735" s="58"/>
      <c r="AQ735" s="58"/>
      <c r="AR735" s="58"/>
    </row>
    <row r="736" spans="1:44" ht="15.75" customHeight="1" x14ac:dyDescent="0.25">
      <c r="A736" s="64"/>
      <c r="B736" s="62"/>
      <c r="C736" s="62"/>
      <c r="D736" s="62"/>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c r="AE736" s="58"/>
      <c r="AF736" s="58"/>
      <c r="AG736" s="58"/>
      <c r="AH736" s="58"/>
      <c r="AI736" s="58"/>
      <c r="AJ736" s="58"/>
      <c r="AK736" s="58"/>
      <c r="AL736" s="58"/>
      <c r="AM736" s="58"/>
      <c r="AN736" s="58"/>
      <c r="AO736" s="58"/>
      <c r="AP736" s="58"/>
      <c r="AQ736" s="58"/>
      <c r="AR736" s="58"/>
    </row>
    <row r="737" spans="1:44" ht="15.75" customHeight="1" x14ac:dyDescent="0.25">
      <c r="A737" s="64"/>
      <c r="B737" s="62"/>
      <c r="C737" s="62"/>
      <c r="D737" s="62"/>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c r="AE737" s="58"/>
      <c r="AF737" s="58"/>
      <c r="AG737" s="58"/>
      <c r="AH737" s="58"/>
      <c r="AI737" s="58"/>
      <c r="AJ737" s="58"/>
      <c r="AK737" s="58"/>
      <c r="AL737" s="58"/>
      <c r="AM737" s="58"/>
      <c r="AN737" s="58"/>
      <c r="AO737" s="58"/>
      <c r="AP737" s="58"/>
      <c r="AQ737" s="58"/>
      <c r="AR737" s="58"/>
    </row>
    <row r="738" spans="1:44" ht="15.75" customHeight="1" x14ac:dyDescent="0.25">
      <c r="A738" s="64"/>
      <c r="B738" s="62"/>
      <c r="C738" s="62"/>
      <c r="D738" s="62"/>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c r="AE738" s="58"/>
      <c r="AF738" s="58"/>
      <c r="AG738" s="58"/>
      <c r="AH738" s="58"/>
      <c r="AI738" s="58"/>
      <c r="AJ738" s="58"/>
      <c r="AK738" s="58"/>
      <c r="AL738" s="58"/>
      <c r="AM738" s="58"/>
      <c r="AN738" s="58"/>
      <c r="AO738" s="58"/>
      <c r="AP738" s="58"/>
      <c r="AQ738" s="58"/>
      <c r="AR738" s="58"/>
    </row>
    <row r="739" spans="1:44" ht="15.75" customHeight="1" x14ac:dyDescent="0.25">
      <c r="A739" s="64"/>
      <c r="B739" s="62"/>
      <c r="C739" s="62"/>
      <c r="D739" s="62"/>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c r="AE739" s="58"/>
      <c r="AF739" s="58"/>
      <c r="AG739" s="58"/>
      <c r="AH739" s="58"/>
      <c r="AI739" s="58"/>
      <c r="AJ739" s="58"/>
      <c r="AK739" s="58"/>
      <c r="AL739" s="58"/>
      <c r="AM739" s="58"/>
      <c r="AN739" s="58"/>
      <c r="AO739" s="58"/>
      <c r="AP739" s="58"/>
      <c r="AQ739" s="58"/>
      <c r="AR739" s="58"/>
    </row>
    <row r="740" spans="1:44" ht="15.75" customHeight="1" x14ac:dyDescent="0.25">
      <c r="A740" s="64"/>
      <c r="B740" s="62"/>
      <c r="C740" s="62"/>
      <c r="D740" s="62"/>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c r="AE740" s="58"/>
      <c r="AF740" s="58"/>
      <c r="AG740" s="58"/>
      <c r="AH740" s="58"/>
      <c r="AI740" s="58"/>
      <c r="AJ740" s="58"/>
      <c r="AK740" s="58"/>
      <c r="AL740" s="58"/>
      <c r="AM740" s="58"/>
      <c r="AN740" s="58"/>
      <c r="AO740" s="58"/>
      <c r="AP740" s="58"/>
      <c r="AQ740" s="58"/>
      <c r="AR740" s="58"/>
    </row>
    <row r="741" spans="1:44" ht="15.75" customHeight="1" x14ac:dyDescent="0.25">
      <c r="A741" s="64"/>
      <c r="B741" s="62"/>
      <c r="C741" s="62"/>
      <c r="D741" s="62"/>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c r="AE741" s="58"/>
      <c r="AF741" s="58"/>
      <c r="AG741" s="58"/>
      <c r="AH741" s="58"/>
      <c r="AI741" s="58"/>
      <c r="AJ741" s="58"/>
      <c r="AK741" s="58"/>
      <c r="AL741" s="58"/>
      <c r="AM741" s="58"/>
      <c r="AN741" s="58"/>
      <c r="AO741" s="58"/>
      <c r="AP741" s="58"/>
      <c r="AQ741" s="58"/>
      <c r="AR741" s="58"/>
    </row>
    <row r="742" spans="1:44" ht="15.75" customHeight="1" x14ac:dyDescent="0.25">
      <c r="A742" s="64"/>
      <c r="B742" s="62"/>
      <c r="C742" s="62"/>
      <c r="D742" s="62"/>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c r="AE742" s="58"/>
      <c r="AF742" s="58"/>
      <c r="AG742" s="58"/>
      <c r="AH742" s="58"/>
      <c r="AI742" s="58"/>
      <c r="AJ742" s="58"/>
      <c r="AK742" s="58"/>
      <c r="AL742" s="58"/>
      <c r="AM742" s="58"/>
      <c r="AN742" s="58"/>
      <c r="AO742" s="58"/>
      <c r="AP742" s="58"/>
      <c r="AQ742" s="58"/>
      <c r="AR742" s="58"/>
    </row>
    <row r="743" spans="1:44" ht="15.75" customHeight="1" x14ac:dyDescent="0.25">
      <c r="A743" s="64"/>
      <c r="B743" s="62"/>
      <c r="C743" s="62"/>
      <c r="D743" s="62"/>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c r="AE743" s="58"/>
      <c r="AF743" s="58"/>
      <c r="AG743" s="58"/>
      <c r="AH743" s="58"/>
      <c r="AI743" s="58"/>
      <c r="AJ743" s="58"/>
      <c r="AK743" s="58"/>
      <c r="AL743" s="58"/>
      <c r="AM743" s="58"/>
      <c r="AN743" s="58"/>
      <c r="AO743" s="58"/>
      <c r="AP743" s="58"/>
      <c r="AQ743" s="58"/>
      <c r="AR743" s="58"/>
    </row>
    <row r="744" spans="1:44" ht="15.75" customHeight="1" x14ac:dyDescent="0.25">
      <c r="A744" s="64"/>
      <c r="B744" s="62"/>
      <c r="C744" s="62"/>
      <c r="D744" s="62"/>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c r="AE744" s="58"/>
      <c r="AF744" s="58"/>
      <c r="AG744" s="58"/>
      <c r="AH744" s="58"/>
      <c r="AI744" s="58"/>
      <c r="AJ744" s="58"/>
      <c r="AK744" s="58"/>
      <c r="AL744" s="58"/>
      <c r="AM744" s="58"/>
      <c r="AN744" s="58"/>
      <c r="AO744" s="58"/>
      <c r="AP744" s="58"/>
      <c r="AQ744" s="58"/>
      <c r="AR744" s="58"/>
    </row>
    <row r="745" spans="1:44" ht="15.75" customHeight="1" x14ac:dyDescent="0.25">
      <c r="A745" s="64"/>
      <c r="B745" s="62"/>
      <c r="C745" s="62"/>
      <c r="D745" s="62"/>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c r="AE745" s="58"/>
      <c r="AF745" s="58"/>
      <c r="AG745" s="58"/>
      <c r="AH745" s="58"/>
      <c r="AI745" s="58"/>
      <c r="AJ745" s="58"/>
      <c r="AK745" s="58"/>
      <c r="AL745" s="58"/>
      <c r="AM745" s="58"/>
      <c r="AN745" s="58"/>
      <c r="AO745" s="58"/>
      <c r="AP745" s="58"/>
      <c r="AQ745" s="58"/>
      <c r="AR745" s="58"/>
    </row>
    <row r="746" spans="1:44" ht="15.75" customHeight="1" x14ac:dyDescent="0.25">
      <c r="A746" s="64"/>
      <c r="B746" s="62"/>
      <c r="C746" s="62"/>
      <c r="D746" s="62"/>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c r="AE746" s="58"/>
      <c r="AF746" s="58"/>
      <c r="AG746" s="58"/>
      <c r="AH746" s="58"/>
      <c r="AI746" s="58"/>
      <c r="AJ746" s="58"/>
      <c r="AK746" s="58"/>
      <c r="AL746" s="58"/>
      <c r="AM746" s="58"/>
      <c r="AN746" s="58"/>
      <c r="AO746" s="58"/>
      <c r="AP746" s="58"/>
      <c r="AQ746" s="58"/>
      <c r="AR746" s="58"/>
    </row>
    <row r="747" spans="1:44" ht="15.75" customHeight="1" x14ac:dyDescent="0.25">
      <c r="A747" s="64"/>
      <c r="B747" s="62"/>
      <c r="C747" s="62"/>
      <c r="D747" s="62"/>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c r="AE747" s="58"/>
      <c r="AF747" s="58"/>
      <c r="AG747" s="58"/>
      <c r="AH747" s="58"/>
      <c r="AI747" s="58"/>
      <c r="AJ747" s="58"/>
      <c r="AK747" s="58"/>
      <c r="AL747" s="58"/>
      <c r="AM747" s="58"/>
      <c r="AN747" s="58"/>
      <c r="AO747" s="58"/>
      <c r="AP747" s="58"/>
      <c r="AQ747" s="58"/>
      <c r="AR747" s="58"/>
    </row>
    <row r="748" spans="1:44" ht="15.75" customHeight="1" x14ac:dyDescent="0.25">
      <c r="A748" s="64"/>
      <c r="B748" s="62"/>
      <c r="C748" s="62"/>
      <c r="D748" s="62"/>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c r="AE748" s="58"/>
      <c r="AF748" s="58"/>
      <c r="AG748" s="58"/>
      <c r="AH748" s="58"/>
      <c r="AI748" s="58"/>
      <c r="AJ748" s="58"/>
      <c r="AK748" s="58"/>
      <c r="AL748" s="58"/>
      <c r="AM748" s="58"/>
      <c r="AN748" s="58"/>
      <c r="AO748" s="58"/>
      <c r="AP748" s="58"/>
      <c r="AQ748" s="58"/>
      <c r="AR748" s="58"/>
    </row>
    <row r="749" spans="1:44" ht="15.75" customHeight="1" x14ac:dyDescent="0.25">
      <c r="A749" s="64"/>
      <c r="B749" s="62"/>
      <c r="C749" s="62"/>
      <c r="D749" s="62"/>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c r="AE749" s="58"/>
      <c r="AF749" s="58"/>
      <c r="AG749" s="58"/>
      <c r="AH749" s="58"/>
      <c r="AI749" s="58"/>
      <c r="AJ749" s="58"/>
      <c r="AK749" s="58"/>
      <c r="AL749" s="58"/>
      <c r="AM749" s="58"/>
      <c r="AN749" s="58"/>
      <c r="AO749" s="58"/>
      <c r="AP749" s="58"/>
      <c r="AQ749" s="58"/>
      <c r="AR749" s="58"/>
    </row>
    <row r="750" spans="1:44" ht="15.75" customHeight="1" x14ac:dyDescent="0.25">
      <c r="A750" s="64"/>
      <c r="B750" s="62"/>
      <c r="C750" s="62"/>
      <c r="D750" s="62"/>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c r="AE750" s="58"/>
      <c r="AF750" s="58"/>
      <c r="AG750" s="58"/>
      <c r="AH750" s="58"/>
      <c r="AI750" s="58"/>
      <c r="AJ750" s="58"/>
      <c r="AK750" s="58"/>
      <c r="AL750" s="58"/>
      <c r="AM750" s="58"/>
      <c r="AN750" s="58"/>
      <c r="AO750" s="58"/>
      <c r="AP750" s="58"/>
      <c r="AQ750" s="58"/>
      <c r="AR750" s="58"/>
    </row>
    <row r="751" spans="1:44" ht="15.75" customHeight="1" x14ac:dyDescent="0.25">
      <c r="A751" s="64"/>
      <c r="B751" s="62"/>
      <c r="C751" s="62"/>
      <c r="D751" s="62"/>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c r="AE751" s="58"/>
      <c r="AF751" s="58"/>
      <c r="AG751" s="58"/>
      <c r="AH751" s="58"/>
      <c r="AI751" s="58"/>
      <c r="AJ751" s="58"/>
      <c r="AK751" s="58"/>
      <c r="AL751" s="58"/>
      <c r="AM751" s="58"/>
      <c r="AN751" s="58"/>
      <c r="AO751" s="58"/>
      <c r="AP751" s="58"/>
      <c r="AQ751" s="58"/>
      <c r="AR751" s="58"/>
    </row>
    <row r="752" spans="1:44" ht="15.75" customHeight="1" x14ac:dyDescent="0.25">
      <c r="A752" s="64"/>
      <c r="B752" s="62"/>
      <c r="C752" s="62"/>
      <c r="D752" s="62"/>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c r="AE752" s="58"/>
      <c r="AF752" s="58"/>
      <c r="AG752" s="58"/>
      <c r="AH752" s="58"/>
      <c r="AI752" s="58"/>
      <c r="AJ752" s="58"/>
      <c r="AK752" s="58"/>
      <c r="AL752" s="58"/>
      <c r="AM752" s="58"/>
      <c r="AN752" s="58"/>
      <c r="AO752" s="58"/>
      <c r="AP752" s="58"/>
      <c r="AQ752" s="58"/>
      <c r="AR752" s="58"/>
    </row>
    <row r="753" spans="1:44" ht="15.75" customHeight="1" x14ac:dyDescent="0.25">
      <c r="A753" s="64"/>
      <c r="B753" s="62"/>
      <c r="C753" s="62"/>
      <c r="D753" s="62"/>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c r="AE753" s="58"/>
      <c r="AF753" s="58"/>
      <c r="AG753" s="58"/>
      <c r="AH753" s="58"/>
      <c r="AI753" s="58"/>
      <c r="AJ753" s="58"/>
      <c r="AK753" s="58"/>
      <c r="AL753" s="58"/>
      <c r="AM753" s="58"/>
      <c r="AN753" s="58"/>
      <c r="AO753" s="58"/>
      <c r="AP753" s="58"/>
      <c r="AQ753" s="58"/>
      <c r="AR753" s="58"/>
    </row>
    <row r="754" spans="1:44" ht="15.75" customHeight="1" x14ac:dyDescent="0.25">
      <c r="A754" s="64"/>
      <c r="B754" s="62"/>
      <c r="C754" s="62"/>
      <c r="D754" s="62"/>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c r="AE754" s="58"/>
      <c r="AF754" s="58"/>
      <c r="AG754" s="58"/>
      <c r="AH754" s="58"/>
      <c r="AI754" s="58"/>
      <c r="AJ754" s="58"/>
      <c r="AK754" s="58"/>
      <c r="AL754" s="58"/>
      <c r="AM754" s="58"/>
      <c r="AN754" s="58"/>
      <c r="AO754" s="58"/>
      <c r="AP754" s="58"/>
      <c r="AQ754" s="58"/>
      <c r="AR754" s="58"/>
    </row>
    <row r="755" spans="1:44" ht="15.75" customHeight="1" x14ac:dyDescent="0.25">
      <c r="A755" s="64"/>
      <c r="B755" s="62"/>
      <c r="C755" s="62"/>
      <c r="D755" s="62"/>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c r="AE755" s="58"/>
      <c r="AF755" s="58"/>
      <c r="AG755" s="58"/>
      <c r="AH755" s="58"/>
      <c r="AI755" s="58"/>
      <c r="AJ755" s="58"/>
      <c r="AK755" s="58"/>
      <c r="AL755" s="58"/>
      <c r="AM755" s="58"/>
      <c r="AN755" s="58"/>
      <c r="AO755" s="58"/>
      <c r="AP755" s="58"/>
      <c r="AQ755" s="58"/>
      <c r="AR755" s="58"/>
    </row>
    <row r="756" spans="1:44" ht="15.75" customHeight="1" x14ac:dyDescent="0.25">
      <c r="A756" s="64"/>
      <c r="B756" s="62"/>
      <c r="C756" s="62"/>
      <c r="D756" s="62"/>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c r="AE756" s="58"/>
      <c r="AF756" s="58"/>
      <c r="AG756" s="58"/>
      <c r="AH756" s="58"/>
      <c r="AI756" s="58"/>
      <c r="AJ756" s="58"/>
      <c r="AK756" s="58"/>
      <c r="AL756" s="58"/>
      <c r="AM756" s="58"/>
      <c r="AN756" s="58"/>
      <c r="AO756" s="58"/>
      <c r="AP756" s="58"/>
      <c r="AQ756" s="58"/>
      <c r="AR756" s="58"/>
    </row>
    <row r="757" spans="1:44" ht="15.75" customHeight="1" x14ac:dyDescent="0.25">
      <c r="A757" s="64"/>
      <c r="B757" s="62"/>
      <c r="C757" s="62"/>
      <c r="D757" s="62"/>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c r="AG757" s="58"/>
      <c r="AH757" s="58"/>
      <c r="AI757" s="58"/>
      <c r="AJ757" s="58"/>
      <c r="AK757" s="58"/>
      <c r="AL757" s="58"/>
      <c r="AM757" s="58"/>
      <c r="AN757" s="58"/>
      <c r="AO757" s="58"/>
      <c r="AP757" s="58"/>
      <c r="AQ757" s="58"/>
      <c r="AR757" s="58"/>
    </row>
    <row r="758" spans="1:44" ht="15.75" customHeight="1" x14ac:dyDescent="0.25">
      <c r="A758" s="64"/>
      <c r="B758" s="62"/>
      <c r="C758" s="62"/>
      <c r="D758" s="62"/>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c r="AE758" s="58"/>
      <c r="AF758" s="58"/>
      <c r="AG758" s="58"/>
      <c r="AH758" s="58"/>
      <c r="AI758" s="58"/>
      <c r="AJ758" s="58"/>
      <c r="AK758" s="58"/>
      <c r="AL758" s="58"/>
      <c r="AM758" s="58"/>
      <c r="AN758" s="58"/>
      <c r="AO758" s="58"/>
      <c r="AP758" s="58"/>
      <c r="AQ758" s="58"/>
      <c r="AR758" s="58"/>
    </row>
    <row r="759" spans="1:44" ht="15.75" customHeight="1" x14ac:dyDescent="0.25">
      <c r="A759" s="64"/>
      <c r="B759" s="62"/>
      <c r="C759" s="62"/>
      <c r="D759" s="62"/>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c r="AE759" s="58"/>
      <c r="AF759" s="58"/>
      <c r="AG759" s="58"/>
      <c r="AH759" s="58"/>
      <c r="AI759" s="58"/>
      <c r="AJ759" s="58"/>
      <c r="AK759" s="58"/>
      <c r="AL759" s="58"/>
      <c r="AM759" s="58"/>
      <c r="AN759" s="58"/>
      <c r="AO759" s="58"/>
      <c r="AP759" s="58"/>
      <c r="AQ759" s="58"/>
      <c r="AR759" s="58"/>
    </row>
    <row r="760" spans="1:44" ht="15.75" customHeight="1" x14ac:dyDescent="0.25">
      <c r="A760" s="64"/>
      <c r="B760" s="62"/>
      <c r="C760" s="62"/>
      <c r="D760" s="62"/>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c r="AE760" s="58"/>
      <c r="AF760" s="58"/>
      <c r="AG760" s="58"/>
      <c r="AH760" s="58"/>
      <c r="AI760" s="58"/>
      <c r="AJ760" s="58"/>
      <c r="AK760" s="58"/>
      <c r="AL760" s="58"/>
      <c r="AM760" s="58"/>
      <c r="AN760" s="58"/>
      <c r="AO760" s="58"/>
      <c r="AP760" s="58"/>
      <c r="AQ760" s="58"/>
      <c r="AR760" s="58"/>
    </row>
    <row r="761" spans="1:44" ht="15.75" customHeight="1" x14ac:dyDescent="0.25">
      <c r="A761" s="64"/>
      <c r="B761" s="62"/>
      <c r="C761" s="62"/>
      <c r="D761" s="62"/>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c r="AE761" s="58"/>
      <c r="AF761" s="58"/>
      <c r="AG761" s="58"/>
      <c r="AH761" s="58"/>
      <c r="AI761" s="58"/>
      <c r="AJ761" s="58"/>
      <c r="AK761" s="58"/>
      <c r="AL761" s="58"/>
      <c r="AM761" s="58"/>
      <c r="AN761" s="58"/>
      <c r="AO761" s="58"/>
      <c r="AP761" s="58"/>
      <c r="AQ761" s="58"/>
      <c r="AR761" s="58"/>
    </row>
    <row r="762" spans="1:44" ht="15.75" customHeight="1" x14ac:dyDescent="0.25">
      <c r="A762" s="64"/>
      <c r="B762" s="62"/>
      <c r="C762" s="62"/>
      <c r="D762" s="62"/>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c r="AE762" s="58"/>
      <c r="AF762" s="58"/>
      <c r="AG762" s="58"/>
      <c r="AH762" s="58"/>
      <c r="AI762" s="58"/>
      <c r="AJ762" s="58"/>
      <c r="AK762" s="58"/>
      <c r="AL762" s="58"/>
      <c r="AM762" s="58"/>
      <c r="AN762" s="58"/>
      <c r="AO762" s="58"/>
      <c r="AP762" s="58"/>
      <c r="AQ762" s="58"/>
      <c r="AR762" s="58"/>
    </row>
    <row r="763" spans="1:44" ht="15.75" customHeight="1" x14ac:dyDescent="0.25">
      <c r="A763" s="64"/>
      <c r="B763" s="62"/>
      <c r="C763" s="62"/>
      <c r="D763" s="62"/>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c r="AE763" s="58"/>
      <c r="AF763" s="58"/>
      <c r="AG763" s="58"/>
      <c r="AH763" s="58"/>
      <c r="AI763" s="58"/>
      <c r="AJ763" s="58"/>
      <c r="AK763" s="58"/>
      <c r="AL763" s="58"/>
      <c r="AM763" s="58"/>
      <c r="AN763" s="58"/>
      <c r="AO763" s="58"/>
      <c r="AP763" s="58"/>
      <c r="AQ763" s="58"/>
      <c r="AR763" s="58"/>
    </row>
    <row r="764" spans="1:44" ht="15.75" customHeight="1" x14ac:dyDescent="0.25">
      <c r="A764" s="64"/>
      <c r="B764" s="62"/>
      <c r="C764" s="62"/>
      <c r="D764" s="62"/>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c r="AE764" s="58"/>
      <c r="AF764" s="58"/>
      <c r="AG764" s="58"/>
      <c r="AH764" s="58"/>
      <c r="AI764" s="58"/>
      <c r="AJ764" s="58"/>
      <c r="AK764" s="58"/>
      <c r="AL764" s="58"/>
      <c r="AM764" s="58"/>
      <c r="AN764" s="58"/>
      <c r="AO764" s="58"/>
      <c r="AP764" s="58"/>
      <c r="AQ764" s="58"/>
      <c r="AR764" s="58"/>
    </row>
    <row r="765" spans="1:44" ht="15.75" customHeight="1" x14ac:dyDescent="0.25">
      <c r="A765" s="64"/>
      <c r="B765" s="62"/>
      <c r="C765" s="62"/>
      <c r="D765" s="62"/>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c r="AE765" s="58"/>
      <c r="AF765" s="58"/>
      <c r="AG765" s="58"/>
      <c r="AH765" s="58"/>
      <c r="AI765" s="58"/>
      <c r="AJ765" s="58"/>
      <c r="AK765" s="58"/>
      <c r="AL765" s="58"/>
      <c r="AM765" s="58"/>
      <c r="AN765" s="58"/>
      <c r="AO765" s="58"/>
      <c r="AP765" s="58"/>
      <c r="AQ765" s="58"/>
      <c r="AR765" s="58"/>
    </row>
    <row r="766" spans="1:44" ht="15.75" customHeight="1" x14ac:dyDescent="0.25">
      <c r="A766" s="64"/>
      <c r="B766" s="62"/>
      <c r="C766" s="62"/>
      <c r="D766" s="62"/>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c r="AE766" s="58"/>
      <c r="AF766" s="58"/>
      <c r="AG766" s="58"/>
      <c r="AH766" s="58"/>
      <c r="AI766" s="58"/>
      <c r="AJ766" s="58"/>
      <c r="AK766" s="58"/>
      <c r="AL766" s="58"/>
      <c r="AM766" s="58"/>
      <c r="AN766" s="58"/>
      <c r="AO766" s="58"/>
      <c r="AP766" s="58"/>
      <c r="AQ766" s="58"/>
      <c r="AR766" s="58"/>
    </row>
    <row r="767" spans="1:44" ht="15.75" customHeight="1" x14ac:dyDescent="0.25">
      <c r="A767" s="64"/>
      <c r="B767" s="62"/>
      <c r="C767" s="62"/>
      <c r="D767" s="62"/>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c r="AE767" s="58"/>
      <c r="AF767" s="58"/>
      <c r="AG767" s="58"/>
      <c r="AH767" s="58"/>
      <c r="AI767" s="58"/>
      <c r="AJ767" s="58"/>
      <c r="AK767" s="58"/>
      <c r="AL767" s="58"/>
      <c r="AM767" s="58"/>
      <c r="AN767" s="58"/>
      <c r="AO767" s="58"/>
      <c r="AP767" s="58"/>
      <c r="AQ767" s="58"/>
      <c r="AR767" s="58"/>
    </row>
    <row r="768" spans="1:44" ht="15.75" customHeight="1" x14ac:dyDescent="0.25">
      <c r="A768" s="64"/>
      <c r="B768" s="62"/>
      <c r="C768" s="62"/>
      <c r="D768" s="62"/>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c r="AE768" s="58"/>
      <c r="AF768" s="58"/>
      <c r="AG768" s="58"/>
      <c r="AH768" s="58"/>
      <c r="AI768" s="58"/>
      <c r="AJ768" s="58"/>
      <c r="AK768" s="58"/>
      <c r="AL768" s="58"/>
      <c r="AM768" s="58"/>
      <c r="AN768" s="58"/>
      <c r="AO768" s="58"/>
      <c r="AP768" s="58"/>
      <c r="AQ768" s="58"/>
      <c r="AR768" s="58"/>
    </row>
    <row r="769" spans="1:44" ht="15.75" customHeight="1" x14ac:dyDescent="0.25">
      <c r="A769" s="64"/>
      <c r="B769" s="62"/>
      <c r="C769" s="62"/>
      <c r="D769" s="62"/>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c r="AE769" s="58"/>
      <c r="AF769" s="58"/>
      <c r="AG769" s="58"/>
      <c r="AH769" s="58"/>
      <c r="AI769" s="58"/>
      <c r="AJ769" s="58"/>
      <c r="AK769" s="58"/>
      <c r="AL769" s="58"/>
      <c r="AM769" s="58"/>
      <c r="AN769" s="58"/>
      <c r="AO769" s="58"/>
      <c r="AP769" s="58"/>
      <c r="AQ769" s="58"/>
      <c r="AR769" s="58"/>
    </row>
    <row r="770" spans="1:44" ht="15.75" customHeight="1" x14ac:dyDescent="0.25">
      <c r="A770" s="64"/>
      <c r="B770" s="62"/>
      <c r="C770" s="62"/>
      <c r="D770" s="62"/>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c r="AE770" s="58"/>
      <c r="AF770" s="58"/>
      <c r="AG770" s="58"/>
      <c r="AH770" s="58"/>
      <c r="AI770" s="58"/>
      <c r="AJ770" s="58"/>
      <c r="AK770" s="58"/>
      <c r="AL770" s="58"/>
      <c r="AM770" s="58"/>
      <c r="AN770" s="58"/>
      <c r="AO770" s="58"/>
      <c r="AP770" s="58"/>
      <c r="AQ770" s="58"/>
      <c r="AR770" s="58"/>
    </row>
    <row r="771" spans="1:44" ht="15.75" customHeight="1" x14ac:dyDescent="0.25">
      <c r="A771" s="64"/>
      <c r="B771" s="62"/>
      <c r="C771" s="62"/>
      <c r="D771" s="62"/>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c r="AE771" s="58"/>
      <c r="AF771" s="58"/>
      <c r="AG771" s="58"/>
      <c r="AH771" s="58"/>
      <c r="AI771" s="58"/>
      <c r="AJ771" s="58"/>
      <c r="AK771" s="58"/>
      <c r="AL771" s="58"/>
      <c r="AM771" s="58"/>
      <c r="AN771" s="58"/>
      <c r="AO771" s="58"/>
      <c r="AP771" s="58"/>
      <c r="AQ771" s="58"/>
      <c r="AR771" s="58"/>
    </row>
    <row r="772" spans="1:44" ht="15.75" customHeight="1" x14ac:dyDescent="0.25">
      <c r="A772" s="64"/>
      <c r="B772" s="62"/>
      <c r="C772" s="62"/>
      <c r="D772" s="62"/>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c r="AE772" s="58"/>
      <c r="AF772" s="58"/>
      <c r="AG772" s="58"/>
      <c r="AH772" s="58"/>
      <c r="AI772" s="58"/>
      <c r="AJ772" s="58"/>
      <c r="AK772" s="58"/>
      <c r="AL772" s="58"/>
      <c r="AM772" s="58"/>
      <c r="AN772" s="58"/>
      <c r="AO772" s="58"/>
      <c r="AP772" s="58"/>
      <c r="AQ772" s="58"/>
      <c r="AR772" s="58"/>
    </row>
    <row r="773" spans="1:44" ht="15.75" customHeight="1" x14ac:dyDescent="0.25">
      <c r="A773" s="64"/>
      <c r="B773" s="62"/>
      <c r="C773" s="62"/>
      <c r="D773" s="62"/>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c r="AE773" s="58"/>
      <c r="AF773" s="58"/>
      <c r="AG773" s="58"/>
      <c r="AH773" s="58"/>
      <c r="AI773" s="58"/>
      <c r="AJ773" s="58"/>
      <c r="AK773" s="58"/>
      <c r="AL773" s="58"/>
      <c r="AM773" s="58"/>
      <c r="AN773" s="58"/>
      <c r="AO773" s="58"/>
      <c r="AP773" s="58"/>
      <c r="AQ773" s="58"/>
      <c r="AR773" s="58"/>
    </row>
    <row r="774" spans="1:44" ht="15.75" customHeight="1" x14ac:dyDescent="0.25">
      <c r="A774" s="64"/>
      <c r="B774" s="62"/>
      <c r="C774" s="62"/>
      <c r="D774" s="62"/>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c r="AE774" s="58"/>
      <c r="AF774" s="58"/>
      <c r="AG774" s="58"/>
      <c r="AH774" s="58"/>
      <c r="AI774" s="58"/>
      <c r="AJ774" s="58"/>
      <c r="AK774" s="58"/>
      <c r="AL774" s="58"/>
      <c r="AM774" s="58"/>
      <c r="AN774" s="58"/>
      <c r="AO774" s="58"/>
      <c r="AP774" s="58"/>
      <c r="AQ774" s="58"/>
      <c r="AR774" s="58"/>
    </row>
    <row r="775" spans="1:44" ht="15.75" customHeight="1" x14ac:dyDescent="0.25">
      <c r="A775" s="64"/>
      <c r="B775" s="62"/>
      <c r="C775" s="62"/>
      <c r="D775" s="62"/>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c r="AE775" s="58"/>
      <c r="AF775" s="58"/>
      <c r="AG775" s="58"/>
      <c r="AH775" s="58"/>
      <c r="AI775" s="58"/>
      <c r="AJ775" s="58"/>
      <c r="AK775" s="58"/>
      <c r="AL775" s="58"/>
      <c r="AM775" s="58"/>
      <c r="AN775" s="58"/>
      <c r="AO775" s="58"/>
      <c r="AP775" s="58"/>
      <c r="AQ775" s="58"/>
      <c r="AR775" s="58"/>
    </row>
    <row r="776" spans="1:44" ht="15.75" customHeight="1" x14ac:dyDescent="0.25">
      <c r="A776" s="64"/>
      <c r="B776" s="62"/>
      <c r="C776" s="62"/>
      <c r="D776" s="62"/>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c r="AE776" s="58"/>
      <c r="AF776" s="58"/>
      <c r="AG776" s="58"/>
      <c r="AH776" s="58"/>
      <c r="AI776" s="58"/>
      <c r="AJ776" s="58"/>
      <c r="AK776" s="58"/>
      <c r="AL776" s="58"/>
      <c r="AM776" s="58"/>
      <c r="AN776" s="58"/>
      <c r="AO776" s="58"/>
      <c r="AP776" s="58"/>
      <c r="AQ776" s="58"/>
      <c r="AR776" s="58"/>
    </row>
    <row r="777" spans="1:44" ht="15.75" customHeight="1" x14ac:dyDescent="0.25">
      <c r="A777" s="64"/>
      <c r="B777" s="62"/>
      <c r="C777" s="62"/>
      <c r="D777" s="62"/>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c r="AE777" s="58"/>
      <c r="AF777" s="58"/>
      <c r="AG777" s="58"/>
      <c r="AH777" s="58"/>
      <c r="AI777" s="58"/>
      <c r="AJ777" s="58"/>
      <c r="AK777" s="58"/>
      <c r="AL777" s="58"/>
      <c r="AM777" s="58"/>
      <c r="AN777" s="58"/>
      <c r="AO777" s="58"/>
      <c r="AP777" s="58"/>
      <c r="AQ777" s="58"/>
      <c r="AR777" s="58"/>
    </row>
    <row r="778" spans="1:44" ht="15.75" customHeight="1" x14ac:dyDescent="0.25">
      <c r="A778" s="64"/>
      <c r="B778" s="62"/>
      <c r="C778" s="62"/>
      <c r="D778" s="62"/>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c r="AE778" s="58"/>
      <c r="AF778" s="58"/>
      <c r="AG778" s="58"/>
      <c r="AH778" s="58"/>
      <c r="AI778" s="58"/>
      <c r="AJ778" s="58"/>
      <c r="AK778" s="58"/>
      <c r="AL778" s="58"/>
      <c r="AM778" s="58"/>
      <c r="AN778" s="58"/>
      <c r="AO778" s="58"/>
      <c r="AP778" s="58"/>
      <c r="AQ778" s="58"/>
      <c r="AR778" s="58"/>
    </row>
    <row r="779" spans="1:44" ht="15.75" customHeight="1" x14ac:dyDescent="0.25">
      <c r="A779" s="64"/>
      <c r="B779" s="62"/>
      <c r="C779" s="62"/>
      <c r="D779" s="62"/>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c r="AE779" s="58"/>
      <c r="AF779" s="58"/>
      <c r="AG779" s="58"/>
      <c r="AH779" s="58"/>
      <c r="AI779" s="58"/>
      <c r="AJ779" s="58"/>
      <c r="AK779" s="58"/>
      <c r="AL779" s="58"/>
      <c r="AM779" s="58"/>
      <c r="AN779" s="58"/>
      <c r="AO779" s="58"/>
      <c r="AP779" s="58"/>
      <c r="AQ779" s="58"/>
      <c r="AR779" s="58"/>
    </row>
    <row r="780" spans="1:44" ht="15.75" customHeight="1" x14ac:dyDescent="0.25">
      <c r="A780" s="64"/>
      <c r="B780" s="62"/>
      <c r="C780" s="62"/>
      <c r="D780" s="62"/>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c r="AE780" s="58"/>
      <c r="AF780" s="58"/>
      <c r="AG780" s="58"/>
      <c r="AH780" s="58"/>
      <c r="AI780" s="58"/>
      <c r="AJ780" s="58"/>
      <c r="AK780" s="58"/>
      <c r="AL780" s="58"/>
      <c r="AM780" s="58"/>
      <c r="AN780" s="58"/>
      <c r="AO780" s="58"/>
      <c r="AP780" s="58"/>
      <c r="AQ780" s="58"/>
      <c r="AR780" s="58"/>
    </row>
    <row r="781" spans="1:44" ht="15.75" customHeight="1" x14ac:dyDescent="0.25">
      <c r="A781" s="64"/>
      <c r="B781" s="62"/>
      <c r="C781" s="62"/>
      <c r="D781" s="62"/>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c r="AE781" s="58"/>
      <c r="AF781" s="58"/>
      <c r="AG781" s="58"/>
      <c r="AH781" s="58"/>
      <c r="AI781" s="58"/>
      <c r="AJ781" s="58"/>
      <c r="AK781" s="58"/>
      <c r="AL781" s="58"/>
      <c r="AM781" s="58"/>
      <c r="AN781" s="58"/>
      <c r="AO781" s="58"/>
      <c r="AP781" s="58"/>
      <c r="AQ781" s="58"/>
      <c r="AR781" s="58"/>
    </row>
    <row r="782" spans="1:44" ht="15.75" customHeight="1" x14ac:dyDescent="0.25">
      <c r="A782" s="64"/>
      <c r="B782" s="62"/>
      <c r="C782" s="62"/>
      <c r="D782" s="62"/>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c r="AE782" s="58"/>
      <c r="AF782" s="58"/>
      <c r="AG782" s="58"/>
      <c r="AH782" s="58"/>
      <c r="AI782" s="58"/>
      <c r="AJ782" s="58"/>
      <c r="AK782" s="58"/>
      <c r="AL782" s="58"/>
      <c r="AM782" s="58"/>
      <c r="AN782" s="58"/>
      <c r="AO782" s="58"/>
      <c r="AP782" s="58"/>
      <c r="AQ782" s="58"/>
      <c r="AR782" s="58"/>
    </row>
    <row r="783" spans="1:44" ht="15.75" customHeight="1" x14ac:dyDescent="0.25">
      <c r="A783" s="64"/>
      <c r="B783" s="62"/>
      <c r="C783" s="62"/>
      <c r="D783" s="62"/>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c r="AE783" s="58"/>
      <c r="AF783" s="58"/>
      <c r="AG783" s="58"/>
      <c r="AH783" s="58"/>
      <c r="AI783" s="58"/>
      <c r="AJ783" s="58"/>
      <c r="AK783" s="58"/>
      <c r="AL783" s="58"/>
      <c r="AM783" s="58"/>
      <c r="AN783" s="58"/>
      <c r="AO783" s="58"/>
      <c r="AP783" s="58"/>
      <c r="AQ783" s="58"/>
      <c r="AR783" s="58"/>
    </row>
    <row r="784" spans="1:44" ht="15.75" customHeight="1" x14ac:dyDescent="0.25">
      <c r="A784" s="64"/>
      <c r="B784" s="62"/>
      <c r="C784" s="62"/>
      <c r="D784" s="62"/>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c r="AE784" s="58"/>
      <c r="AF784" s="58"/>
      <c r="AG784" s="58"/>
      <c r="AH784" s="58"/>
      <c r="AI784" s="58"/>
      <c r="AJ784" s="58"/>
      <c r="AK784" s="58"/>
      <c r="AL784" s="58"/>
      <c r="AM784" s="58"/>
      <c r="AN784" s="58"/>
      <c r="AO784" s="58"/>
      <c r="AP784" s="58"/>
      <c r="AQ784" s="58"/>
      <c r="AR784" s="58"/>
    </row>
    <row r="785" spans="1:44" ht="15.75" customHeight="1" x14ac:dyDescent="0.25">
      <c r="A785" s="64"/>
      <c r="B785" s="62"/>
      <c r="C785" s="62"/>
      <c r="D785" s="62"/>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c r="AE785" s="58"/>
      <c r="AF785" s="58"/>
      <c r="AG785" s="58"/>
      <c r="AH785" s="58"/>
      <c r="AI785" s="58"/>
      <c r="AJ785" s="58"/>
      <c r="AK785" s="58"/>
      <c r="AL785" s="58"/>
      <c r="AM785" s="58"/>
      <c r="AN785" s="58"/>
      <c r="AO785" s="58"/>
      <c r="AP785" s="58"/>
      <c r="AQ785" s="58"/>
      <c r="AR785" s="58"/>
    </row>
    <row r="786" spans="1:44" ht="15.75" customHeight="1" x14ac:dyDescent="0.25">
      <c r="A786" s="64"/>
      <c r="B786" s="62"/>
      <c r="C786" s="62"/>
      <c r="D786" s="62"/>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c r="AE786" s="58"/>
      <c r="AF786" s="58"/>
      <c r="AG786" s="58"/>
      <c r="AH786" s="58"/>
      <c r="AI786" s="58"/>
      <c r="AJ786" s="58"/>
      <c r="AK786" s="58"/>
      <c r="AL786" s="58"/>
      <c r="AM786" s="58"/>
      <c r="AN786" s="58"/>
      <c r="AO786" s="58"/>
      <c r="AP786" s="58"/>
      <c r="AQ786" s="58"/>
      <c r="AR786" s="58"/>
    </row>
    <row r="787" spans="1:44" ht="15.75" customHeight="1" x14ac:dyDescent="0.25">
      <c r="A787" s="64"/>
      <c r="B787" s="62"/>
      <c r="C787" s="62"/>
      <c r="D787" s="62"/>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c r="AE787" s="58"/>
      <c r="AF787" s="58"/>
      <c r="AG787" s="58"/>
      <c r="AH787" s="58"/>
      <c r="AI787" s="58"/>
      <c r="AJ787" s="58"/>
      <c r="AK787" s="58"/>
      <c r="AL787" s="58"/>
      <c r="AM787" s="58"/>
      <c r="AN787" s="58"/>
      <c r="AO787" s="58"/>
      <c r="AP787" s="58"/>
      <c r="AQ787" s="58"/>
      <c r="AR787" s="58"/>
    </row>
    <row r="788" spans="1:44" ht="15.75" customHeight="1" x14ac:dyDescent="0.25">
      <c r="A788" s="64"/>
      <c r="B788" s="62"/>
      <c r="C788" s="62"/>
      <c r="D788" s="62"/>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c r="AE788" s="58"/>
      <c r="AF788" s="58"/>
      <c r="AG788" s="58"/>
      <c r="AH788" s="58"/>
      <c r="AI788" s="58"/>
      <c r="AJ788" s="58"/>
      <c r="AK788" s="58"/>
      <c r="AL788" s="58"/>
      <c r="AM788" s="58"/>
      <c r="AN788" s="58"/>
      <c r="AO788" s="58"/>
      <c r="AP788" s="58"/>
      <c r="AQ788" s="58"/>
      <c r="AR788" s="58"/>
    </row>
    <row r="789" spans="1:44" ht="15.75" customHeight="1" x14ac:dyDescent="0.25">
      <c r="A789" s="64"/>
      <c r="B789" s="62"/>
      <c r="C789" s="62"/>
      <c r="D789" s="62"/>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c r="AE789" s="58"/>
      <c r="AF789" s="58"/>
      <c r="AG789" s="58"/>
      <c r="AH789" s="58"/>
      <c r="AI789" s="58"/>
      <c r="AJ789" s="58"/>
      <c r="AK789" s="58"/>
      <c r="AL789" s="58"/>
      <c r="AM789" s="58"/>
      <c r="AN789" s="58"/>
      <c r="AO789" s="58"/>
      <c r="AP789" s="58"/>
      <c r="AQ789" s="58"/>
      <c r="AR789" s="58"/>
    </row>
    <row r="790" spans="1:44" ht="15.75" customHeight="1" x14ac:dyDescent="0.25">
      <c r="A790" s="64"/>
      <c r="B790" s="62"/>
      <c r="C790" s="62"/>
      <c r="D790" s="62"/>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c r="AE790" s="58"/>
      <c r="AF790" s="58"/>
      <c r="AG790" s="58"/>
      <c r="AH790" s="58"/>
      <c r="AI790" s="58"/>
      <c r="AJ790" s="58"/>
      <c r="AK790" s="58"/>
      <c r="AL790" s="58"/>
      <c r="AM790" s="58"/>
      <c r="AN790" s="58"/>
      <c r="AO790" s="58"/>
      <c r="AP790" s="58"/>
      <c r="AQ790" s="58"/>
      <c r="AR790" s="58"/>
    </row>
    <row r="791" spans="1:44" ht="15.75" customHeight="1" x14ac:dyDescent="0.25">
      <c r="A791" s="64"/>
      <c r="B791" s="62"/>
      <c r="C791" s="62"/>
      <c r="D791" s="62"/>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c r="AE791" s="58"/>
      <c r="AF791" s="58"/>
      <c r="AG791" s="58"/>
      <c r="AH791" s="58"/>
      <c r="AI791" s="58"/>
      <c r="AJ791" s="58"/>
      <c r="AK791" s="58"/>
      <c r="AL791" s="58"/>
      <c r="AM791" s="58"/>
      <c r="AN791" s="58"/>
      <c r="AO791" s="58"/>
      <c r="AP791" s="58"/>
      <c r="AQ791" s="58"/>
      <c r="AR791" s="58"/>
    </row>
    <row r="792" spans="1:44" ht="15.75" customHeight="1" x14ac:dyDescent="0.25">
      <c r="A792" s="64"/>
      <c r="B792" s="62"/>
      <c r="C792" s="62"/>
      <c r="D792" s="62"/>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c r="AE792" s="58"/>
      <c r="AF792" s="58"/>
      <c r="AG792" s="58"/>
      <c r="AH792" s="58"/>
      <c r="AI792" s="58"/>
      <c r="AJ792" s="58"/>
      <c r="AK792" s="58"/>
      <c r="AL792" s="58"/>
      <c r="AM792" s="58"/>
      <c r="AN792" s="58"/>
      <c r="AO792" s="58"/>
      <c r="AP792" s="58"/>
      <c r="AQ792" s="58"/>
      <c r="AR792" s="58"/>
    </row>
    <row r="793" spans="1:44" ht="15.75" customHeight="1" x14ac:dyDescent="0.25">
      <c r="A793" s="64"/>
      <c r="B793" s="62"/>
      <c r="C793" s="62"/>
      <c r="D793" s="62"/>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c r="AE793" s="58"/>
      <c r="AF793" s="58"/>
      <c r="AG793" s="58"/>
      <c r="AH793" s="58"/>
      <c r="AI793" s="58"/>
      <c r="AJ793" s="58"/>
      <c r="AK793" s="58"/>
      <c r="AL793" s="58"/>
      <c r="AM793" s="58"/>
      <c r="AN793" s="58"/>
      <c r="AO793" s="58"/>
      <c r="AP793" s="58"/>
      <c r="AQ793" s="58"/>
      <c r="AR793" s="58"/>
    </row>
    <row r="794" spans="1:44" ht="15.75" customHeight="1" x14ac:dyDescent="0.25">
      <c r="A794" s="64"/>
      <c r="B794" s="62"/>
      <c r="C794" s="62"/>
      <c r="D794" s="62"/>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c r="AE794" s="58"/>
      <c r="AF794" s="58"/>
      <c r="AG794" s="58"/>
      <c r="AH794" s="58"/>
      <c r="AI794" s="58"/>
      <c r="AJ794" s="58"/>
      <c r="AK794" s="58"/>
      <c r="AL794" s="58"/>
      <c r="AM794" s="58"/>
      <c r="AN794" s="58"/>
      <c r="AO794" s="58"/>
      <c r="AP794" s="58"/>
      <c r="AQ794" s="58"/>
      <c r="AR794" s="58"/>
    </row>
    <row r="795" spans="1:44" ht="15.75" customHeight="1" x14ac:dyDescent="0.25">
      <c r="A795" s="64"/>
      <c r="B795" s="62"/>
      <c r="C795" s="62"/>
      <c r="D795" s="62"/>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c r="AE795" s="58"/>
      <c r="AF795" s="58"/>
      <c r="AG795" s="58"/>
      <c r="AH795" s="58"/>
      <c r="AI795" s="58"/>
      <c r="AJ795" s="58"/>
      <c r="AK795" s="58"/>
      <c r="AL795" s="58"/>
      <c r="AM795" s="58"/>
      <c r="AN795" s="58"/>
      <c r="AO795" s="58"/>
      <c r="AP795" s="58"/>
      <c r="AQ795" s="58"/>
      <c r="AR795" s="58"/>
    </row>
    <row r="796" spans="1:44" ht="15.75" customHeight="1" x14ac:dyDescent="0.25">
      <c r="A796" s="64"/>
      <c r="B796" s="62"/>
      <c r="C796" s="62"/>
      <c r="D796" s="62"/>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c r="AE796" s="58"/>
      <c r="AF796" s="58"/>
      <c r="AG796" s="58"/>
      <c r="AH796" s="58"/>
      <c r="AI796" s="58"/>
      <c r="AJ796" s="58"/>
      <c r="AK796" s="58"/>
      <c r="AL796" s="58"/>
      <c r="AM796" s="58"/>
      <c r="AN796" s="58"/>
      <c r="AO796" s="58"/>
      <c r="AP796" s="58"/>
      <c r="AQ796" s="58"/>
      <c r="AR796" s="58"/>
    </row>
    <row r="797" spans="1:44" ht="15.75" customHeight="1" x14ac:dyDescent="0.25">
      <c r="A797" s="64"/>
      <c r="B797" s="62"/>
      <c r="C797" s="62"/>
      <c r="D797" s="62"/>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c r="AE797" s="58"/>
      <c r="AF797" s="58"/>
      <c r="AG797" s="58"/>
      <c r="AH797" s="58"/>
      <c r="AI797" s="58"/>
      <c r="AJ797" s="58"/>
      <c r="AK797" s="58"/>
      <c r="AL797" s="58"/>
      <c r="AM797" s="58"/>
      <c r="AN797" s="58"/>
      <c r="AO797" s="58"/>
      <c r="AP797" s="58"/>
      <c r="AQ797" s="58"/>
      <c r="AR797" s="58"/>
    </row>
    <row r="798" spans="1:44" ht="15.75" customHeight="1" x14ac:dyDescent="0.25">
      <c r="A798" s="64"/>
      <c r="B798" s="62"/>
      <c r="C798" s="62"/>
      <c r="D798" s="62"/>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c r="AE798" s="58"/>
      <c r="AF798" s="58"/>
      <c r="AG798" s="58"/>
      <c r="AH798" s="58"/>
      <c r="AI798" s="58"/>
      <c r="AJ798" s="58"/>
      <c r="AK798" s="58"/>
      <c r="AL798" s="58"/>
      <c r="AM798" s="58"/>
      <c r="AN798" s="58"/>
      <c r="AO798" s="58"/>
      <c r="AP798" s="58"/>
      <c r="AQ798" s="58"/>
      <c r="AR798" s="58"/>
    </row>
    <row r="799" spans="1:44" ht="15.75" customHeight="1" x14ac:dyDescent="0.25">
      <c r="A799" s="64"/>
      <c r="B799" s="62"/>
      <c r="C799" s="62"/>
      <c r="D799" s="62"/>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c r="AE799" s="58"/>
      <c r="AF799" s="58"/>
      <c r="AG799" s="58"/>
      <c r="AH799" s="58"/>
      <c r="AI799" s="58"/>
      <c r="AJ799" s="58"/>
      <c r="AK799" s="58"/>
      <c r="AL799" s="58"/>
      <c r="AM799" s="58"/>
      <c r="AN799" s="58"/>
      <c r="AO799" s="58"/>
      <c r="AP799" s="58"/>
      <c r="AQ799" s="58"/>
      <c r="AR799" s="58"/>
    </row>
    <row r="800" spans="1:44" ht="15.75" customHeight="1" x14ac:dyDescent="0.25">
      <c r="A800" s="64"/>
      <c r="B800" s="62"/>
      <c r="C800" s="62"/>
      <c r="D800" s="62"/>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c r="AE800" s="58"/>
      <c r="AF800" s="58"/>
      <c r="AG800" s="58"/>
      <c r="AH800" s="58"/>
      <c r="AI800" s="58"/>
      <c r="AJ800" s="58"/>
      <c r="AK800" s="58"/>
      <c r="AL800" s="58"/>
      <c r="AM800" s="58"/>
      <c r="AN800" s="58"/>
      <c r="AO800" s="58"/>
      <c r="AP800" s="58"/>
      <c r="AQ800" s="58"/>
      <c r="AR800" s="58"/>
    </row>
    <row r="801" spans="1:44" ht="15.75" customHeight="1" x14ac:dyDescent="0.25">
      <c r="A801" s="64"/>
      <c r="B801" s="62"/>
      <c r="C801" s="62"/>
      <c r="D801" s="62"/>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c r="AG801" s="58"/>
      <c r="AH801" s="58"/>
      <c r="AI801" s="58"/>
      <c r="AJ801" s="58"/>
      <c r="AK801" s="58"/>
      <c r="AL801" s="58"/>
      <c r="AM801" s="58"/>
      <c r="AN801" s="58"/>
      <c r="AO801" s="58"/>
      <c r="AP801" s="58"/>
      <c r="AQ801" s="58"/>
      <c r="AR801" s="58"/>
    </row>
    <row r="802" spans="1:44" ht="15.75" customHeight="1" x14ac:dyDescent="0.25">
      <c r="A802" s="64"/>
      <c r="B802" s="62"/>
      <c r="C802" s="62"/>
      <c r="D802" s="62"/>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c r="AE802" s="58"/>
      <c r="AF802" s="58"/>
      <c r="AG802" s="58"/>
      <c r="AH802" s="58"/>
      <c r="AI802" s="58"/>
      <c r="AJ802" s="58"/>
      <c r="AK802" s="58"/>
      <c r="AL802" s="58"/>
      <c r="AM802" s="58"/>
      <c r="AN802" s="58"/>
      <c r="AO802" s="58"/>
      <c r="AP802" s="58"/>
      <c r="AQ802" s="58"/>
      <c r="AR802" s="58"/>
    </row>
    <row r="803" spans="1:44" ht="15.75" customHeight="1" x14ac:dyDescent="0.25">
      <c r="A803" s="64"/>
      <c r="B803" s="62"/>
      <c r="C803" s="62"/>
      <c r="D803" s="62"/>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c r="AE803" s="58"/>
      <c r="AF803" s="58"/>
      <c r="AG803" s="58"/>
      <c r="AH803" s="58"/>
      <c r="AI803" s="58"/>
      <c r="AJ803" s="58"/>
      <c r="AK803" s="58"/>
      <c r="AL803" s="58"/>
      <c r="AM803" s="58"/>
      <c r="AN803" s="58"/>
      <c r="AO803" s="58"/>
      <c r="AP803" s="58"/>
      <c r="AQ803" s="58"/>
      <c r="AR803" s="58"/>
    </row>
    <row r="804" spans="1:44" ht="15.75" customHeight="1" x14ac:dyDescent="0.25">
      <c r="A804" s="64"/>
      <c r="B804" s="62"/>
      <c r="C804" s="62"/>
      <c r="D804" s="62"/>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c r="AE804" s="58"/>
      <c r="AF804" s="58"/>
      <c r="AG804" s="58"/>
      <c r="AH804" s="58"/>
      <c r="AI804" s="58"/>
      <c r="AJ804" s="58"/>
      <c r="AK804" s="58"/>
      <c r="AL804" s="58"/>
      <c r="AM804" s="58"/>
      <c r="AN804" s="58"/>
      <c r="AO804" s="58"/>
      <c r="AP804" s="58"/>
      <c r="AQ804" s="58"/>
      <c r="AR804" s="58"/>
    </row>
    <row r="805" spans="1:44" ht="15.75" customHeight="1" x14ac:dyDescent="0.25">
      <c r="A805" s="64"/>
      <c r="B805" s="62"/>
      <c r="C805" s="62"/>
      <c r="D805" s="62"/>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c r="AE805" s="58"/>
      <c r="AF805" s="58"/>
      <c r="AG805" s="58"/>
      <c r="AH805" s="58"/>
      <c r="AI805" s="58"/>
      <c r="AJ805" s="58"/>
      <c r="AK805" s="58"/>
      <c r="AL805" s="58"/>
      <c r="AM805" s="58"/>
      <c r="AN805" s="58"/>
      <c r="AO805" s="58"/>
      <c r="AP805" s="58"/>
      <c r="AQ805" s="58"/>
      <c r="AR805" s="58"/>
    </row>
    <row r="806" spans="1:44" ht="15.75" customHeight="1" x14ac:dyDescent="0.25">
      <c r="A806" s="64"/>
      <c r="B806" s="62"/>
      <c r="C806" s="62"/>
      <c r="D806" s="62"/>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c r="AE806" s="58"/>
      <c r="AF806" s="58"/>
      <c r="AG806" s="58"/>
      <c r="AH806" s="58"/>
      <c r="AI806" s="58"/>
      <c r="AJ806" s="58"/>
      <c r="AK806" s="58"/>
      <c r="AL806" s="58"/>
      <c r="AM806" s="58"/>
      <c r="AN806" s="58"/>
      <c r="AO806" s="58"/>
      <c r="AP806" s="58"/>
      <c r="AQ806" s="58"/>
      <c r="AR806" s="58"/>
    </row>
    <row r="807" spans="1:44" ht="15.75" customHeight="1" x14ac:dyDescent="0.25">
      <c r="A807" s="64"/>
      <c r="B807" s="62"/>
      <c r="C807" s="62"/>
      <c r="D807" s="62"/>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c r="AE807" s="58"/>
      <c r="AF807" s="58"/>
      <c r="AG807" s="58"/>
      <c r="AH807" s="58"/>
      <c r="AI807" s="58"/>
      <c r="AJ807" s="58"/>
      <c r="AK807" s="58"/>
      <c r="AL807" s="58"/>
      <c r="AM807" s="58"/>
      <c r="AN807" s="58"/>
      <c r="AO807" s="58"/>
      <c r="AP807" s="58"/>
      <c r="AQ807" s="58"/>
      <c r="AR807" s="58"/>
    </row>
    <row r="808" spans="1:44" ht="15.75" customHeight="1" x14ac:dyDescent="0.25">
      <c r="A808" s="64"/>
      <c r="B808" s="62"/>
      <c r="C808" s="62"/>
      <c r="D808" s="62"/>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c r="AG808" s="58"/>
      <c r="AH808" s="58"/>
      <c r="AI808" s="58"/>
      <c r="AJ808" s="58"/>
      <c r="AK808" s="58"/>
      <c r="AL808" s="58"/>
      <c r="AM808" s="58"/>
      <c r="AN808" s="58"/>
      <c r="AO808" s="58"/>
      <c r="AP808" s="58"/>
      <c r="AQ808" s="58"/>
      <c r="AR808" s="58"/>
    </row>
    <row r="809" spans="1:44" ht="15.75" customHeight="1" x14ac:dyDescent="0.25">
      <c r="A809" s="64"/>
      <c r="B809" s="62"/>
      <c r="C809" s="62"/>
      <c r="D809" s="62"/>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c r="AE809" s="58"/>
      <c r="AF809" s="58"/>
      <c r="AG809" s="58"/>
      <c r="AH809" s="58"/>
      <c r="AI809" s="58"/>
      <c r="AJ809" s="58"/>
      <c r="AK809" s="58"/>
      <c r="AL809" s="58"/>
      <c r="AM809" s="58"/>
      <c r="AN809" s="58"/>
      <c r="AO809" s="58"/>
      <c r="AP809" s="58"/>
      <c r="AQ809" s="58"/>
      <c r="AR809" s="58"/>
    </row>
    <row r="810" spans="1:44" ht="15.75" customHeight="1" x14ac:dyDescent="0.25">
      <c r="A810" s="64"/>
      <c r="B810" s="62"/>
      <c r="C810" s="62"/>
      <c r="D810" s="62"/>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c r="AE810" s="58"/>
      <c r="AF810" s="58"/>
      <c r="AG810" s="58"/>
      <c r="AH810" s="58"/>
      <c r="AI810" s="58"/>
      <c r="AJ810" s="58"/>
      <c r="AK810" s="58"/>
      <c r="AL810" s="58"/>
      <c r="AM810" s="58"/>
      <c r="AN810" s="58"/>
      <c r="AO810" s="58"/>
      <c r="AP810" s="58"/>
      <c r="AQ810" s="58"/>
      <c r="AR810" s="58"/>
    </row>
    <row r="811" spans="1:44" ht="15.75" customHeight="1" x14ac:dyDescent="0.25">
      <c r="A811" s="64"/>
      <c r="B811" s="62"/>
      <c r="C811" s="62"/>
      <c r="D811" s="62"/>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c r="AE811" s="58"/>
      <c r="AF811" s="58"/>
      <c r="AG811" s="58"/>
      <c r="AH811" s="58"/>
      <c r="AI811" s="58"/>
      <c r="AJ811" s="58"/>
      <c r="AK811" s="58"/>
      <c r="AL811" s="58"/>
      <c r="AM811" s="58"/>
      <c r="AN811" s="58"/>
      <c r="AO811" s="58"/>
      <c r="AP811" s="58"/>
      <c r="AQ811" s="58"/>
      <c r="AR811" s="58"/>
    </row>
    <row r="812" spans="1:44" ht="15.75" customHeight="1" x14ac:dyDescent="0.25">
      <c r="A812" s="64"/>
      <c r="B812" s="62"/>
      <c r="C812" s="62"/>
      <c r="D812" s="62"/>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c r="AE812" s="58"/>
      <c r="AF812" s="58"/>
      <c r="AG812" s="58"/>
      <c r="AH812" s="58"/>
      <c r="AI812" s="58"/>
      <c r="AJ812" s="58"/>
      <c r="AK812" s="58"/>
      <c r="AL812" s="58"/>
      <c r="AM812" s="58"/>
      <c r="AN812" s="58"/>
      <c r="AO812" s="58"/>
      <c r="AP812" s="58"/>
      <c r="AQ812" s="58"/>
      <c r="AR812" s="58"/>
    </row>
    <row r="813" spans="1:44" ht="15.75" customHeight="1" x14ac:dyDescent="0.25">
      <c r="A813" s="64"/>
      <c r="B813" s="62"/>
      <c r="C813" s="62"/>
      <c r="D813" s="62"/>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c r="AE813" s="58"/>
      <c r="AF813" s="58"/>
      <c r="AG813" s="58"/>
      <c r="AH813" s="58"/>
      <c r="AI813" s="58"/>
      <c r="AJ813" s="58"/>
      <c r="AK813" s="58"/>
      <c r="AL813" s="58"/>
      <c r="AM813" s="58"/>
      <c r="AN813" s="58"/>
      <c r="AO813" s="58"/>
      <c r="AP813" s="58"/>
      <c r="AQ813" s="58"/>
      <c r="AR813" s="58"/>
    </row>
    <row r="814" spans="1:44" ht="15.75" customHeight="1" x14ac:dyDescent="0.25">
      <c r="A814" s="64"/>
      <c r="B814" s="62"/>
      <c r="C814" s="62"/>
      <c r="D814" s="62"/>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c r="AE814" s="58"/>
      <c r="AF814" s="58"/>
      <c r="AG814" s="58"/>
      <c r="AH814" s="58"/>
      <c r="AI814" s="58"/>
      <c r="AJ814" s="58"/>
      <c r="AK814" s="58"/>
      <c r="AL814" s="58"/>
      <c r="AM814" s="58"/>
      <c r="AN814" s="58"/>
      <c r="AO814" s="58"/>
      <c r="AP814" s="58"/>
      <c r="AQ814" s="58"/>
      <c r="AR814" s="58"/>
    </row>
    <row r="815" spans="1:44" ht="15.75" customHeight="1" x14ac:dyDescent="0.25">
      <c r="A815" s="64"/>
      <c r="B815" s="62"/>
      <c r="C815" s="62"/>
      <c r="D815" s="62"/>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c r="AG815" s="58"/>
      <c r="AH815" s="58"/>
      <c r="AI815" s="58"/>
      <c r="AJ815" s="58"/>
      <c r="AK815" s="58"/>
      <c r="AL815" s="58"/>
      <c r="AM815" s="58"/>
      <c r="AN815" s="58"/>
      <c r="AO815" s="58"/>
      <c r="AP815" s="58"/>
      <c r="AQ815" s="58"/>
      <c r="AR815" s="58"/>
    </row>
    <row r="816" spans="1:44" ht="15.75" customHeight="1" x14ac:dyDescent="0.25">
      <c r="A816" s="64"/>
      <c r="B816" s="62"/>
      <c r="C816" s="62"/>
      <c r="D816" s="62"/>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8"/>
      <c r="AI816" s="58"/>
      <c r="AJ816" s="58"/>
      <c r="AK816" s="58"/>
      <c r="AL816" s="58"/>
      <c r="AM816" s="58"/>
      <c r="AN816" s="58"/>
      <c r="AO816" s="58"/>
      <c r="AP816" s="58"/>
      <c r="AQ816" s="58"/>
      <c r="AR816" s="58"/>
    </row>
    <row r="817" spans="1:44" ht="15.75" customHeight="1" x14ac:dyDescent="0.25">
      <c r="A817" s="64"/>
      <c r="B817" s="62"/>
      <c r="C817" s="62"/>
      <c r="D817" s="62"/>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c r="AG817" s="58"/>
      <c r="AH817" s="58"/>
      <c r="AI817" s="58"/>
      <c r="AJ817" s="58"/>
      <c r="AK817" s="58"/>
      <c r="AL817" s="58"/>
      <c r="AM817" s="58"/>
      <c r="AN817" s="58"/>
      <c r="AO817" s="58"/>
      <c r="AP817" s="58"/>
      <c r="AQ817" s="58"/>
      <c r="AR817" s="58"/>
    </row>
    <row r="818" spans="1:44" ht="15.75" customHeight="1" x14ac:dyDescent="0.25">
      <c r="A818" s="64"/>
      <c r="B818" s="62"/>
      <c r="C818" s="62"/>
      <c r="D818" s="62"/>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c r="AG818" s="58"/>
      <c r="AH818" s="58"/>
      <c r="AI818" s="58"/>
      <c r="AJ818" s="58"/>
      <c r="AK818" s="58"/>
      <c r="AL818" s="58"/>
      <c r="AM818" s="58"/>
      <c r="AN818" s="58"/>
      <c r="AO818" s="58"/>
      <c r="AP818" s="58"/>
      <c r="AQ818" s="58"/>
      <c r="AR818" s="58"/>
    </row>
    <row r="819" spans="1:44" ht="15.75" customHeight="1" x14ac:dyDescent="0.25">
      <c r="A819" s="64"/>
      <c r="B819" s="62"/>
      <c r="C819" s="62"/>
      <c r="D819" s="62"/>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c r="AG819" s="58"/>
      <c r="AH819" s="58"/>
      <c r="AI819" s="58"/>
      <c r="AJ819" s="58"/>
      <c r="AK819" s="58"/>
      <c r="AL819" s="58"/>
      <c r="AM819" s="58"/>
      <c r="AN819" s="58"/>
      <c r="AO819" s="58"/>
      <c r="AP819" s="58"/>
      <c r="AQ819" s="58"/>
      <c r="AR819" s="58"/>
    </row>
    <row r="820" spans="1:44" ht="15.75" customHeight="1" x14ac:dyDescent="0.25">
      <c r="A820" s="64"/>
      <c r="B820" s="62"/>
      <c r="C820" s="62"/>
      <c r="D820" s="62"/>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c r="AE820" s="58"/>
      <c r="AF820" s="58"/>
      <c r="AG820" s="58"/>
      <c r="AH820" s="58"/>
      <c r="AI820" s="58"/>
      <c r="AJ820" s="58"/>
      <c r="AK820" s="58"/>
      <c r="AL820" s="58"/>
      <c r="AM820" s="58"/>
      <c r="AN820" s="58"/>
      <c r="AO820" s="58"/>
      <c r="AP820" s="58"/>
      <c r="AQ820" s="58"/>
      <c r="AR820" s="58"/>
    </row>
    <row r="821" spans="1:44" ht="15.75" customHeight="1" x14ac:dyDescent="0.25">
      <c r="A821" s="64"/>
      <c r="B821" s="62"/>
      <c r="C821" s="62"/>
      <c r="D821" s="62"/>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c r="AE821" s="58"/>
      <c r="AF821" s="58"/>
      <c r="AG821" s="58"/>
      <c r="AH821" s="58"/>
      <c r="AI821" s="58"/>
      <c r="AJ821" s="58"/>
      <c r="AK821" s="58"/>
      <c r="AL821" s="58"/>
      <c r="AM821" s="58"/>
      <c r="AN821" s="58"/>
      <c r="AO821" s="58"/>
      <c r="AP821" s="58"/>
      <c r="AQ821" s="58"/>
      <c r="AR821" s="58"/>
    </row>
    <row r="822" spans="1:44" ht="15.75" customHeight="1" x14ac:dyDescent="0.25">
      <c r="A822" s="64"/>
      <c r="B822" s="62"/>
      <c r="C822" s="62"/>
      <c r="D822" s="62"/>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c r="AE822" s="58"/>
      <c r="AF822" s="58"/>
      <c r="AG822" s="58"/>
      <c r="AH822" s="58"/>
      <c r="AI822" s="58"/>
      <c r="AJ822" s="58"/>
      <c r="AK822" s="58"/>
      <c r="AL822" s="58"/>
      <c r="AM822" s="58"/>
      <c r="AN822" s="58"/>
      <c r="AO822" s="58"/>
      <c r="AP822" s="58"/>
      <c r="AQ822" s="58"/>
      <c r="AR822" s="58"/>
    </row>
    <row r="823" spans="1:44" ht="15.75" customHeight="1" x14ac:dyDescent="0.25">
      <c r="A823" s="64"/>
      <c r="B823" s="62"/>
      <c r="C823" s="62"/>
      <c r="D823" s="62"/>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c r="AE823" s="58"/>
      <c r="AF823" s="58"/>
      <c r="AG823" s="58"/>
      <c r="AH823" s="58"/>
      <c r="AI823" s="58"/>
      <c r="AJ823" s="58"/>
      <c r="AK823" s="58"/>
      <c r="AL823" s="58"/>
      <c r="AM823" s="58"/>
      <c r="AN823" s="58"/>
      <c r="AO823" s="58"/>
      <c r="AP823" s="58"/>
      <c r="AQ823" s="58"/>
      <c r="AR823" s="58"/>
    </row>
    <row r="824" spans="1:44" ht="15.75" customHeight="1" x14ac:dyDescent="0.25">
      <c r="A824" s="64"/>
      <c r="B824" s="62"/>
      <c r="C824" s="62"/>
      <c r="D824" s="62"/>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c r="AE824" s="58"/>
      <c r="AF824" s="58"/>
      <c r="AG824" s="58"/>
      <c r="AH824" s="58"/>
      <c r="AI824" s="58"/>
      <c r="AJ824" s="58"/>
      <c r="AK824" s="58"/>
      <c r="AL824" s="58"/>
      <c r="AM824" s="58"/>
      <c r="AN824" s="58"/>
      <c r="AO824" s="58"/>
      <c r="AP824" s="58"/>
      <c r="AQ824" s="58"/>
      <c r="AR824" s="58"/>
    </row>
    <row r="825" spans="1:44" ht="15.75" customHeight="1" x14ac:dyDescent="0.25">
      <c r="A825" s="64"/>
      <c r="B825" s="62"/>
      <c r="C825" s="62"/>
      <c r="D825" s="62"/>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c r="AE825" s="58"/>
      <c r="AF825" s="58"/>
      <c r="AG825" s="58"/>
      <c r="AH825" s="58"/>
      <c r="AI825" s="58"/>
      <c r="AJ825" s="58"/>
      <c r="AK825" s="58"/>
      <c r="AL825" s="58"/>
      <c r="AM825" s="58"/>
      <c r="AN825" s="58"/>
      <c r="AO825" s="58"/>
      <c r="AP825" s="58"/>
      <c r="AQ825" s="58"/>
      <c r="AR825" s="58"/>
    </row>
    <row r="826" spans="1:44" ht="15.75" customHeight="1" x14ac:dyDescent="0.25">
      <c r="A826" s="64"/>
      <c r="B826" s="62"/>
      <c r="C826" s="62"/>
      <c r="D826" s="62"/>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c r="AE826" s="58"/>
      <c r="AF826" s="58"/>
      <c r="AG826" s="58"/>
      <c r="AH826" s="58"/>
      <c r="AI826" s="58"/>
      <c r="AJ826" s="58"/>
      <c r="AK826" s="58"/>
      <c r="AL826" s="58"/>
      <c r="AM826" s="58"/>
      <c r="AN826" s="58"/>
      <c r="AO826" s="58"/>
      <c r="AP826" s="58"/>
      <c r="AQ826" s="58"/>
      <c r="AR826" s="58"/>
    </row>
    <row r="827" spans="1:44" ht="15.75" customHeight="1" x14ac:dyDescent="0.25">
      <c r="A827" s="64"/>
      <c r="B827" s="62"/>
      <c r="C827" s="62"/>
      <c r="D827" s="62"/>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c r="AE827" s="58"/>
      <c r="AF827" s="58"/>
      <c r="AG827" s="58"/>
      <c r="AH827" s="58"/>
      <c r="AI827" s="58"/>
      <c r="AJ827" s="58"/>
      <c r="AK827" s="58"/>
      <c r="AL827" s="58"/>
      <c r="AM827" s="58"/>
      <c r="AN827" s="58"/>
      <c r="AO827" s="58"/>
      <c r="AP827" s="58"/>
      <c r="AQ827" s="58"/>
      <c r="AR827" s="58"/>
    </row>
    <row r="828" spans="1:44" ht="15.75" customHeight="1" x14ac:dyDescent="0.25">
      <c r="A828" s="64"/>
      <c r="B828" s="62"/>
      <c r="C828" s="62"/>
      <c r="D828" s="62"/>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c r="AE828" s="58"/>
      <c r="AF828" s="58"/>
      <c r="AG828" s="58"/>
      <c r="AH828" s="58"/>
      <c r="AI828" s="58"/>
      <c r="AJ828" s="58"/>
      <c r="AK828" s="58"/>
      <c r="AL828" s="58"/>
      <c r="AM828" s="58"/>
      <c r="AN828" s="58"/>
      <c r="AO828" s="58"/>
      <c r="AP828" s="58"/>
      <c r="AQ828" s="58"/>
      <c r="AR828" s="58"/>
    </row>
    <row r="829" spans="1:44" ht="15.75" customHeight="1" x14ac:dyDescent="0.25">
      <c r="A829" s="64"/>
      <c r="B829" s="62"/>
      <c r="C829" s="62"/>
      <c r="D829" s="62"/>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c r="AE829" s="58"/>
      <c r="AF829" s="58"/>
      <c r="AG829" s="58"/>
      <c r="AH829" s="58"/>
      <c r="AI829" s="58"/>
      <c r="AJ829" s="58"/>
      <c r="AK829" s="58"/>
      <c r="AL829" s="58"/>
      <c r="AM829" s="58"/>
      <c r="AN829" s="58"/>
      <c r="AO829" s="58"/>
      <c r="AP829" s="58"/>
      <c r="AQ829" s="58"/>
      <c r="AR829" s="58"/>
    </row>
    <row r="830" spans="1:44" ht="15.75" customHeight="1" x14ac:dyDescent="0.25">
      <c r="A830" s="64"/>
      <c r="B830" s="62"/>
      <c r="C830" s="62"/>
      <c r="D830" s="62"/>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c r="AE830" s="58"/>
      <c r="AF830" s="58"/>
      <c r="AG830" s="58"/>
      <c r="AH830" s="58"/>
      <c r="AI830" s="58"/>
      <c r="AJ830" s="58"/>
      <c r="AK830" s="58"/>
      <c r="AL830" s="58"/>
      <c r="AM830" s="58"/>
      <c r="AN830" s="58"/>
      <c r="AO830" s="58"/>
      <c r="AP830" s="58"/>
      <c r="AQ830" s="58"/>
      <c r="AR830" s="58"/>
    </row>
    <row r="831" spans="1:44" ht="15.75" customHeight="1" x14ac:dyDescent="0.25">
      <c r="A831" s="64"/>
      <c r="B831" s="62"/>
      <c r="C831" s="62"/>
      <c r="D831" s="62"/>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c r="AE831" s="58"/>
      <c r="AF831" s="58"/>
      <c r="AG831" s="58"/>
      <c r="AH831" s="58"/>
      <c r="AI831" s="58"/>
      <c r="AJ831" s="58"/>
      <c r="AK831" s="58"/>
      <c r="AL831" s="58"/>
      <c r="AM831" s="58"/>
      <c r="AN831" s="58"/>
      <c r="AO831" s="58"/>
      <c r="AP831" s="58"/>
      <c r="AQ831" s="58"/>
      <c r="AR831" s="58"/>
    </row>
    <row r="832" spans="1:44" ht="15.75" customHeight="1" x14ac:dyDescent="0.25">
      <c r="A832" s="64"/>
      <c r="B832" s="62"/>
      <c r="C832" s="62"/>
      <c r="D832" s="62"/>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c r="AE832" s="58"/>
      <c r="AF832" s="58"/>
      <c r="AG832" s="58"/>
      <c r="AH832" s="58"/>
      <c r="AI832" s="58"/>
      <c r="AJ832" s="58"/>
      <c r="AK832" s="58"/>
      <c r="AL832" s="58"/>
      <c r="AM832" s="58"/>
      <c r="AN832" s="58"/>
      <c r="AO832" s="58"/>
      <c r="AP832" s="58"/>
      <c r="AQ832" s="58"/>
      <c r="AR832" s="58"/>
    </row>
    <row r="833" spans="1:44" ht="15.75" customHeight="1" x14ac:dyDescent="0.25">
      <c r="A833" s="64"/>
      <c r="B833" s="62"/>
      <c r="C833" s="62"/>
      <c r="D833" s="62"/>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c r="AE833" s="58"/>
      <c r="AF833" s="58"/>
      <c r="AG833" s="58"/>
      <c r="AH833" s="58"/>
      <c r="AI833" s="58"/>
      <c r="AJ833" s="58"/>
      <c r="AK833" s="58"/>
      <c r="AL833" s="58"/>
      <c r="AM833" s="58"/>
      <c r="AN833" s="58"/>
      <c r="AO833" s="58"/>
      <c r="AP833" s="58"/>
      <c r="AQ833" s="58"/>
      <c r="AR833" s="58"/>
    </row>
    <row r="834" spans="1:44" ht="15.75" customHeight="1" x14ac:dyDescent="0.25">
      <c r="A834" s="64"/>
      <c r="B834" s="62"/>
      <c r="C834" s="62"/>
      <c r="D834" s="62"/>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c r="AE834" s="58"/>
      <c r="AF834" s="58"/>
      <c r="AG834" s="58"/>
      <c r="AH834" s="58"/>
      <c r="AI834" s="58"/>
      <c r="AJ834" s="58"/>
      <c r="AK834" s="58"/>
      <c r="AL834" s="58"/>
      <c r="AM834" s="58"/>
      <c r="AN834" s="58"/>
      <c r="AO834" s="58"/>
      <c r="AP834" s="58"/>
      <c r="AQ834" s="58"/>
      <c r="AR834" s="58"/>
    </row>
    <row r="835" spans="1:44" ht="15.75" customHeight="1" x14ac:dyDescent="0.25">
      <c r="A835" s="64"/>
      <c r="B835" s="62"/>
      <c r="C835" s="62"/>
      <c r="D835" s="62"/>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c r="AE835" s="58"/>
      <c r="AF835" s="58"/>
      <c r="AG835" s="58"/>
      <c r="AH835" s="58"/>
      <c r="AI835" s="58"/>
      <c r="AJ835" s="58"/>
      <c r="AK835" s="58"/>
      <c r="AL835" s="58"/>
      <c r="AM835" s="58"/>
      <c r="AN835" s="58"/>
      <c r="AO835" s="58"/>
      <c r="AP835" s="58"/>
      <c r="AQ835" s="58"/>
      <c r="AR835" s="58"/>
    </row>
    <row r="836" spans="1:44" ht="15.75" customHeight="1" x14ac:dyDescent="0.25">
      <c r="A836" s="64"/>
      <c r="B836" s="62"/>
      <c r="C836" s="62"/>
      <c r="D836" s="62"/>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c r="AE836" s="58"/>
      <c r="AF836" s="58"/>
      <c r="AG836" s="58"/>
      <c r="AH836" s="58"/>
      <c r="AI836" s="58"/>
      <c r="AJ836" s="58"/>
      <c r="AK836" s="58"/>
      <c r="AL836" s="58"/>
      <c r="AM836" s="58"/>
      <c r="AN836" s="58"/>
      <c r="AO836" s="58"/>
      <c r="AP836" s="58"/>
      <c r="AQ836" s="58"/>
      <c r="AR836" s="58"/>
    </row>
    <row r="837" spans="1:44" ht="15.75" customHeight="1" x14ac:dyDescent="0.25">
      <c r="A837" s="64"/>
      <c r="B837" s="62"/>
      <c r="C837" s="62"/>
      <c r="D837" s="62"/>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c r="AG837" s="58"/>
      <c r="AH837" s="58"/>
      <c r="AI837" s="58"/>
      <c r="AJ837" s="58"/>
      <c r="AK837" s="58"/>
      <c r="AL837" s="58"/>
      <c r="AM837" s="58"/>
      <c r="AN837" s="58"/>
      <c r="AO837" s="58"/>
      <c r="AP837" s="58"/>
      <c r="AQ837" s="58"/>
      <c r="AR837" s="58"/>
    </row>
    <row r="838" spans="1:44" ht="15.75" customHeight="1" x14ac:dyDescent="0.25">
      <c r="A838" s="64"/>
      <c r="B838" s="62"/>
      <c r="C838" s="62"/>
      <c r="D838" s="62"/>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c r="AE838" s="58"/>
      <c r="AF838" s="58"/>
      <c r="AG838" s="58"/>
      <c r="AH838" s="58"/>
      <c r="AI838" s="58"/>
      <c r="AJ838" s="58"/>
      <c r="AK838" s="58"/>
      <c r="AL838" s="58"/>
      <c r="AM838" s="58"/>
      <c r="AN838" s="58"/>
      <c r="AO838" s="58"/>
      <c r="AP838" s="58"/>
      <c r="AQ838" s="58"/>
      <c r="AR838" s="58"/>
    </row>
    <row r="839" spans="1:44" ht="15.75" customHeight="1" x14ac:dyDescent="0.25">
      <c r="A839" s="64"/>
      <c r="B839" s="62"/>
      <c r="C839" s="62"/>
      <c r="D839" s="62"/>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c r="AE839" s="58"/>
      <c r="AF839" s="58"/>
      <c r="AG839" s="58"/>
      <c r="AH839" s="58"/>
      <c r="AI839" s="58"/>
      <c r="AJ839" s="58"/>
      <c r="AK839" s="58"/>
      <c r="AL839" s="58"/>
      <c r="AM839" s="58"/>
      <c r="AN839" s="58"/>
      <c r="AO839" s="58"/>
      <c r="AP839" s="58"/>
      <c r="AQ839" s="58"/>
      <c r="AR839" s="58"/>
    </row>
    <row r="840" spans="1:44" ht="15.75" customHeight="1" x14ac:dyDescent="0.25">
      <c r="A840" s="64"/>
      <c r="B840" s="62"/>
      <c r="C840" s="62"/>
      <c r="D840" s="62"/>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c r="AE840" s="58"/>
      <c r="AF840" s="58"/>
      <c r="AG840" s="58"/>
      <c r="AH840" s="58"/>
      <c r="AI840" s="58"/>
      <c r="AJ840" s="58"/>
      <c r="AK840" s="58"/>
      <c r="AL840" s="58"/>
      <c r="AM840" s="58"/>
      <c r="AN840" s="58"/>
      <c r="AO840" s="58"/>
      <c r="AP840" s="58"/>
      <c r="AQ840" s="58"/>
      <c r="AR840" s="58"/>
    </row>
    <row r="841" spans="1:44" ht="15.75" customHeight="1" x14ac:dyDescent="0.25">
      <c r="A841" s="64"/>
      <c r="B841" s="62"/>
      <c r="C841" s="62"/>
      <c r="D841" s="62"/>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c r="AE841" s="58"/>
      <c r="AF841" s="58"/>
      <c r="AG841" s="58"/>
      <c r="AH841" s="58"/>
      <c r="AI841" s="58"/>
      <c r="AJ841" s="58"/>
      <c r="AK841" s="58"/>
      <c r="AL841" s="58"/>
      <c r="AM841" s="58"/>
      <c r="AN841" s="58"/>
      <c r="AO841" s="58"/>
      <c r="AP841" s="58"/>
      <c r="AQ841" s="58"/>
      <c r="AR841" s="58"/>
    </row>
    <row r="842" spans="1:44" ht="15.75" customHeight="1" x14ac:dyDescent="0.25">
      <c r="A842" s="64"/>
      <c r="B842" s="62"/>
      <c r="C842" s="62"/>
      <c r="D842" s="62"/>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c r="AE842" s="58"/>
      <c r="AF842" s="58"/>
      <c r="AG842" s="58"/>
      <c r="AH842" s="58"/>
      <c r="AI842" s="58"/>
      <c r="AJ842" s="58"/>
      <c r="AK842" s="58"/>
      <c r="AL842" s="58"/>
      <c r="AM842" s="58"/>
      <c r="AN842" s="58"/>
      <c r="AO842" s="58"/>
      <c r="AP842" s="58"/>
      <c r="AQ842" s="58"/>
      <c r="AR842" s="58"/>
    </row>
    <row r="843" spans="1:44" ht="15.75" customHeight="1" x14ac:dyDescent="0.25">
      <c r="A843" s="64"/>
      <c r="B843" s="62"/>
      <c r="C843" s="62"/>
      <c r="D843" s="62"/>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c r="AE843" s="58"/>
      <c r="AF843" s="58"/>
      <c r="AG843" s="58"/>
      <c r="AH843" s="58"/>
      <c r="AI843" s="58"/>
      <c r="AJ843" s="58"/>
      <c r="AK843" s="58"/>
      <c r="AL843" s="58"/>
      <c r="AM843" s="58"/>
      <c r="AN843" s="58"/>
      <c r="AO843" s="58"/>
      <c r="AP843" s="58"/>
      <c r="AQ843" s="58"/>
      <c r="AR843" s="58"/>
    </row>
    <row r="844" spans="1:44" ht="15.75" customHeight="1" x14ac:dyDescent="0.25">
      <c r="A844" s="64"/>
      <c r="B844" s="62"/>
      <c r="C844" s="62"/>
      <c r="D844" s="62"/>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c r="AE844" s="58"/>
      <c r="AF844" s="58"/>
      <c r="AG844" s="58"/>
      <c r="AH844" s="58"/>
      <c r="AI844" s="58"/>
      <c r="AJ844" s="58"/>
      <c r="AK844" s="58"/>
      <c r="AL844" s="58"/>
      <c r="AM844" s="58"/>
      <c r="AN844" s="58"/>
      <c r="AO844" s="58"/>
      <c r="AP844" s="58"/>
      <c r="AQ844" s="58"/>
      <c r="AR844" s="58"/>
    </row>
    <row r="845" spans="1:44" ht="15.75" customHeight="1" x14ac:dyDescent="0.25">
      <c r="A845" s="64"/>
      <c r="B845" s="62"/>
      <c r="C845" s="62"/>
      <c r="D845" s="62"/>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c r="AE845" s="58"/>
      <c r="AF845" s="58"/>
      <c r="AG845" s="58"/>
      <c r="AH845" s="58"/>
      <c r="AI845" s="58"/>
      <c r="AJ845" s="58"/>
      <c r="AK845" s="58"/>
      <c r="AL845" s="58"/>
      <c r="AM845" s="58"/>
      <c r="AN845" s="58"/>
      <c r="AO845" s="58"/>
      <c r="AP845" s="58"/>
      <c r="AQ845" s="58"/>
      <c r="AR845" s="58"/>
    </row>
    <row r="846" spans="1:44" ht="15.75" customHeight="1" x14ac:dyDescent="0.25">
      <c r="A846" s="64"/>
      <c r="B846" s="62"/>
      <c r="C846" s="62"/>
      <c r="D846" s="62"/>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c r="AE846" s="58"/>
      <c r="AF846" s="58"/>
      <c r="AG846" s="58"/>
      <c r="AH846" s="58"/>
      <c r="AI846" s="58"/>
      <c r="AJ846" s="58"/>
      <c r="AK846" s="58"/>
      <c r="AL846" s="58"/>
      <c r="AM846" s="58"/>
      <c r="AN846" s="58"/>
      <c r="AO846" s="58"/>
      <c r="AP846" s="58"/>
      <c r="AQ846" s="58"/>
      <c r="AR846" s="58"/>
    </row>
    <row r="847" spans="1:44" ht="15.75" customHeight="1" x14ac:dyDescent="0.25">
      <c r="A847" s="64"/>
      <c r="B847" s="62"/>
      <c r="C847" s="62"/>
      <c r="D847" s="62"/>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c r="AE847" s="58"/>
      <c r="AF847" s="58"/>
      <c r="AG847" s="58"/>
      <c r="AH847" s="58"/>
      <c r="AI847" s="58"/>
      <c r="AJ847" s="58"/>
      <c r="AK847" s="58"/>
      <c r="AL847" s="58"/>
      <c r="AM847" s="58"/>
      <c r="AN847" s="58"/>
      <c r="AO847" s="58"/>
      <c r="AP847" s="58"/>
      <c r="AQ847" s="58"/>
      <c r="AR847" s="58"/>
    </row>
    <row r="848" spans="1:44" ht="15.75" customHeight="1" x14ac:dyDescent="0.25">
      <c r="A848" s="64"/>
      <c r="B848" s="62"/>
      <c r="C848" s="62"/>
      <c r="D848" s="62"/>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c r="AE848" s="58"/>
      <c r="AF848" s="58"/>
      <c r="AG848" s="58"/>
      <c r="AH848" s="58"/>
      <c r="AI848" s="58"/>
      <c r="AJ848" s="58"/>
      <c r="AK848" s="58"/>
      <c r="AL848" s="58"/>
      <c r="AM848" s="58"/>
      <c r="AN848" s="58"/>
      <c r="AO848" s="58"/>
      <c r="AP848" s="58"/>
      <c r="AQ848" s="58"/>
      <c r="AR848" s="58"/>
    </row>
    <row r="849" spans="1:44" ht="15.75" customHeight="1" x14ac:dyDescent="0.25">
      <c r="A849" s="64"/>
      <c r="B849" s="62"/>
      <c r="C849" s="62"/>
      <c r="D849" s="62"/>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c r="AE849" s="58"/>
      <c r="AF849" s="58"/>
      <c r="AG849" s="58"/>
      <c r="AH849" s="58"/>
      <c r="AI849" s="58"/>
      <c r="AJ849" s="58"/>
      <c r="AK849" s="58"/>
      <c r="AL849" s="58"/>
      <c r="AM849" s="58"/>
      <c r="AN849" s="58"/>
      <c r="AO849" s="58"/>
      <c r="AP849" s="58"/>
      <c r="AQ849" s="58"/>
      <c r="AR849" s="58"/>
    </row>
    <row r="850" spans="1:44" ht="15.75" customHeight="1" x14ac:dyDescent="0.25">
      <c r="A850" s="64"/>
      <c r="B850" s="62"/>
      <c r="C850" s="62"/>
      <c r="D850" s="62"/>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c r="AE850" s="58"/>
      <c r="AF850" s="58"/>
      <c r="AG850" s="58"/>
      <c r="AH850" s="58"/>
      <c r="AI850" s="58"/>
      <c r="AJ850" s="58"/>
      <c r="AK850" s="58"/>
      <c r="AL850" s="58"/>
      <c r="AM850" s="58"/>
      <c r="AN850" s="58"/>
      <c r="AO850" s="58"/>
      <c r="AP850" s="58"/>
      <c r="AQ850" s="58"/>
      <c r="AR850" s="58"/>
    </row>
    <row r="851" spans="1:44" ht="15.75" customHeight="1" x14ac:dyDescent="0.25">
      <c r="A851" s="64"/>
      <c r="B851" s="62"/>
      <c r="C851" s="62"/>
      <c r="D851" s="62"/>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c r="AE851" s="58"/>
      <c r="AF851" s="58"/>
      <c r="AG851" s="58"/>
      <c r="AH851" s="58"/>
      <c r="AI851" s="58"/>
      <c r="AJ851" s="58"/>
      <c r="AK851" s="58"/>
      <c r="AL851" s="58"/>
      <c r="AM851" s="58"/>
      <c r="AN851" s="58"/>
      <c r="AO851" s="58"/>
      <c r="AP851" s="58"/>
      <c r="AQ851" s="58"/>
      <c r="AR851" s="58"/>
    </row>
    <row r="852" spans="1:44" ht="15.75" customHeight="1" x14ac:dyDescent="0.25">
      <c r="A852" s="64"/>
      <c r="B852" s="62"/>
      <c r="C852" s="62"/>
      <c r="D852" s="62"/>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c r="AE852" s="58"/>
      <c r="AF852" s="58"/>
      <c r="AG852" s="58"/>
      <c r="AH852" s="58"/>
      <c r="AI852" s="58"/>
      <c r="AJ852" s="58"/>
      <c r="AK852" s="58"/>
      <c r="AL852" s="58"/>
      <c r="AM852" s="58"/>
      <c r="AN852" s="58"/>
      <c r="AO852" s="58"/>
      <c r="AP852" s="58"/>
      <c r="AQ852" s="58"/>
      <c r="AR852" s="58"/>
    </row>
    <row r="853" spans="1:44" ht="15.75" customHeight="1" x14ac:dyDescent="0.25">
      <c r="A853" s="64"/>
      <c r="B853" s="62"/>
      <c r="C853" s="62"/>
      <c r="D853" s="62"/>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c r="AE853" s="58"/>
      <c r="AF853" s="58"/>
      <c r="AG853" s="58"/>
      <c r="AH853" s="58"/>
      <c r="AI853" s="58"/>
      <c r="AJ853" s="58"/>
      <c r="AK853" s="58"/>
      <c r="AL853" s="58"/>
      <c r="AM853" s="58"/>
      <c r="AN853" s="58"/>
      <c r="AO853" s="58"/>
      <c r="AP853" s="58"/>
      <c r="AQ853" s="58"/>
      <c r="AR853" s="58"/>
    </row>
    <row r="854" spans="1:44" ht="15.75" customHeight="1" x14ac:dyDescent="0.25">
      <c r="A854" s="64"/>
      <c r="B854" s="62"/>
      <c r="C854" s="62"/>
      <c r="D854" s="62"/>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c r="AE854" s="58"/>
      <c r="AF854" s="58"/>
      <c r="AG854" s="58"/>
      <c r="AH854" s="58"/>
      <c r="AI854" s="58"/>
      <c r="AJ854" s="58"/>
      <c r="AK854" s="58"/>
      <c r="AL854" s="58"/>
      <c r="AM854" s="58"/>
      <c r="AN854" s="58"/>
      <c r="AO854" s="58"/>
      <c r="AP854" s="58"/>
      <c r="AQ854" s="58"/>
      <c r="AR854" s="58"/>
    </row>
    <row r="855" spans="1:44" ht="15.75" customHeight="1" x14ac:dyDescent="0.25">
      <c r="A855" s="64"/>
      <c r="B855" s="62"/>
      <c r="C855" s="62"/>
      <c r="D855" s="62"/>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c r="AE855" s="58"/>
      <c r="AF855" s="58"/>
      <c r="AG855" s="58"/>
      <c r="AH855" s="58"/>
      <c r="AI855" s="58"/>
      <c r="AJ855" s="58"/>
      <c r="AK855" s="58"/>
      <c r="AL855" s="58"/>
      <c r="AM855" s="58"/>
      <c r="AN855" s="58"/>
      <c r="AO855" s="58"/>
      <c r="AP855" s="58"/>
      <c r="AQ855" s="58"/>
      <c r="AR855" s="58"/>
    </row>
    <row r="856" spans="1:44" ht="15.75" customHeight="1" x14ac:dyDescent="0.25">
      <c r="A856" s="64"/>
      <c r="B856" s="62"/>
      <c r="C856" s="62"/>
      <c r="D856" s="62"/>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c r="AE856" s="58"/>
      <c r="AF856" s="58"/>
      <c r="AG856" s="58"/>
      <c r="AH856" s="58"/>
      <c r="AI856" s="58"/>
      <c r="AJ856" s="58"/>
      <c r="AK856" s="58"/>
      <c r="AL856" s="58"/>
      <c r="AM856" s="58"/>
      <c r="AN856" s="58"/>
      <c r="AO856" s="58"/>
      <c r="AP856" s="58"/>
      <c r="AQ856" s="58"/>
      <c r="AR856" s="58"/>
    </row>
    <row r="857" spans="1:44" ht="15.75" customHeight="1" x14ac:dyDescent="0.25">
      <c r="A857" s="64"/>
      <c r="B857" s="62"/>
      <c r="C857" s="62"/>
      <c r="D857" s="62"/>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c r="AE857" s="58"/>
      <c r="AF857" s="58"/>
      <c r="AG857" s="58"/>
      <c r="AH857" s="58"/>
      <c r="AI857" s="58"/>
      <c r="AJ857" s="58"/>
      <c r="AK857" s="58"/>
      <c r="AL857" s="58"/>
      <c r="AM857" s="58"/>
      <c r="AN857" s="58"/>
      <c r="AO857" s="58"/>
      <c r="AP857" s="58"/>
      <c r="AQ857" s="58"/>
      <c r="AR857" s="58"/>
    </row>
    <row r="858" spans="1:44" ht="15.75" customHeight="1" x14ac:dyDescent="0.25">
      <c r="A858" s="64"/>
      <c r="B858" s="62"/>
      <c r="C858" s="62"/>
      <c r="D858" s="62"/>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c r="AE858" s="58"/>
      <c r="AF858" s="58"/>
      <c r="AG858" s="58"/>
      <c r="AH858" s="58"/>
      <c r="AI858" s="58"/>
      <c r="AJ858" s="58"/>
      <c r="AK858" s="58"/>
      <c r="AL858" s="58"/>
      <c r="AM858" s="58"/>
      <c r="AN858" s="58"/>
      <c r="AO858" s="58"/>
      <c r="AP858" s="58"/>
      <c r="AQ858" s="58"/>
      <c r="AR858" s="58"/>
    </row>
    <row r="859" spans="1:44" ht="15.75" customHeight="1" x14ac:dyDescent="0.25">
      <c r="A859" s="64"/>
      <c r="B859" s="62"/>
      <c r="C859" s="62"/>
      <c r="D859" s="62"/>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c r="AE859" s="58"/>
      <c r="AF859" s="58"/>
      <c r="AG859" s="58"/>
      <c r="AH859" s="58"/>
      <c r="AI859" s="58"/>
      <c r="AJ859" s="58"/>
      <c r="AK859" s="58"/>
      <c r="AL859" s="58"/>
      <c r="AM859" s="58"/>
      <c r="AN859" s="58"/>
      <c r="AO859" s="58"/>
      <c r="AP859" s="58"/>
      <c r="AQ859" s="58"/>
      <c r="AR859" s="58"/>
    </row>
    <row r="860" spans="1:44" ht="15.75" customHeight="1" x14ac:dyDescent="0.25">
      <c r="A860" s="64"/>
      <c r="B860" s="62"/>
      <c r="C860" s="62"/>
      <c r="D860" s="62"/>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c r="AE860" s="58"/>
      <c r="AF860" s="58"/>
      <c r="AG860" s="58"/>
      <c r="AH860" s="58"/>
      <c r="AI860" s="58"/>
      <c r="AJ860" s="58"/>
      <c r="AK860" s="58"/>
      <c r="AL860" s="58"/>
      <c r="AM860" s="58"/>
      <c r="AN860" s="58"/>
      <c r="AO860" s="58"/>
      <c r="AP860" s="58"/>
      <c r="AQ860" s="58"/>
      <c r="AR860" s="58"/>
    </row>
    <row r="861" spans="1:44" ht="15.75" customHeight="1" x14ac:dyDescent="0.25">
      <c r="A861" s="64"/>
      <c r="B861" s="62"/>
      <c r="C861" s="62"/>
      <c r="D861" s="62"/>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c r="AE861" s="58"/>
      <c r="AF861" s="58"/>
      <c r="AG861" s="58"/>
      <c r="AH861" s="58"/>
      <c r="AI861" s="58"/>
      <c r="AJ861" s="58"/>
      <c r="AK861" s="58"/>
      <c r="AL861" s="58"/>
      <c r="AM861" s="58"/>
      <c r="AN861" s="58"/>
      <c r="AO861" s="58"/>
      <c r="AP861" s="58"/>
      <c r="AQ861" s="58"/>
      <c r="AR861" s="58"/>
    </row>
    <row r="862" spans="1:44" ht="15.75" customHeight="1" x14ac:dyDescent="0.25">
      <c r="A862" s="64"/>
      <c r="B862" s="62"/>
      <c r="C862" s="62"/>
      <c r="D862" s="62"/>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c r="AE862" s="58"/>
      <c r="AF862" s="58"/>
      <c r="AG862" s="58"/>
      <c r="AH862" s="58"/>
      <c r="AI862" s="58"/>
      <c r="AJ862" s="58"/>
      <c r="AK862" s="58"/>
      <c r="AL862" s="58"/>
      <c r="AM862" s="58"/>
      <c r="AN862" s="58"/>
      <c r="AO862" s="58"/>
      <c r="AP862" s="58"/>
      <c r="AQ862" s="58"/>
      <c r="AR862" s="58"/>
    </row>
    <row r="863" spans="1:44" ht="15.75" customHeight="1" x14ac:dyDescent="0.25">
      <c r="A863" s="64"/>
      <c r="B863" s="62"/>
      <c r="C863" s="62"/>
      <c r="D863" s="62"/>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c r="AE863" s="58"/>
      <c r="AF863" s="58"/>
      <c r="AG863" s="58"/>
      <c r="AH863" s="58"/>
      <c r="AI863" s="58"/>
      <c r="AJ863" s="58"/>
      <c r="AK863" s="58"/>
      <c r="AL863" s="58"/>
      <c r="AM863" s="58"/>
      <c r="AN863" s="58"/>
      <c r="AO863" s="58"/>
      <c r="AP863" s="58"/>
      <c r="AQ863" s="58"/>
      <c r="AR863" s="58"/>
    </row>
    <row r="864" spans="1:44" ht="15.75" customHeight="1" x14ac:dyDescent="0.25">
      <c r="A864" s="64"/>
      <c r="B864" s="62"/>
      <c r="C864" s="62"/>
      <c r="D864" s="62"/>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c r="AE864" s="58"/>
      <c r="AF864" s="58"/>
      <c r="AG864" s="58"/>
      <c r="AH864" s="58"/>
      <c r="AI864" s="58"/>
      <c r="AJ864" s="58"/>
      <c r="AK864" s="58"/>
      <c r="AL864" s="58"/>
      <c r="AM864" s="58"/>
      <c r="AN864" s="58"/>
      <c r="AO864" s="58"/>
      <c r="AP864" s="58"/>
      <c r="AQ864" s="58"/>
      <c r="AR864" s="58"/>
    </row>
    <row r="865" spans="1:44" ht="15.75" customHeight="1" x14ac:dyDescent="0.25">
      <c r="A865" s="64"/>
      <c r="B865" s="62"/>
      <c r="C865" s="62"/>
      <c r="D865" s="62"/>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c r="AE865" s="58"/>
      <c r="AF865" s="58"/>
      <c r="AG865" s="58"/>
      <c r="AH865" s="58"/>
      <c r="AI865" s="58"/>
      <c r="AJ865" s="58"/>
      <c r="AK865" s="58"/>
      <c r="AL865" s="58"/>
      <c r="AM865" s="58"/>
      <c r="AN865" s="58"/>
      <c r="AO865" s="58"/>
      <c r="AP865" s="58"/>
      <c r="AQ865" s="58"/>
      <c r="AR865" s="58"/>
    </row>
    <row r="866" spans="1:44" ht="15.75" customHeight="1" x14ac:dyDescent="0.25">
      <c r="A866" s="64"/>
      <c r="B866" s="62"/>
      <c r="C866" s="62"/>
      <c r="D866" s="62"/>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c r="AE866" s="58"/>
      <c r="AF866" s="58"/>
      <c r="AG866" s="58"/>
      <c r="AH866" s="58"/>
      <c r="AI866" s="58"/>
      <c r="AJ866" s="58"/>
      <c r="AK866" s="58"/>
      <c r="AL866" s="58"/>
      <c r="AM866" s="58"/>
      <c r="AN866" s="58"/>
      <c r="AO866" s="58"/>
      <c r="AP866" s="58"/>
      <c r="AQ866" s="58"/>
      <c r="AR866" s="58"/>
    </row>
    <row r="867" spans="1:44" ht="15.75" customHeight="1" x14ac:dyDescent="0.25">
      <c r="A867" s="64"/>
      <c r="B867" s="62"/>
      <c r="C867" s="62"/>
      <c r="D867" s="62"/>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c r="AE867" s="58"/>
      <c r="AF867" s="58"/>
      <c r="AG867" s="58"/>
      <c r="AH867" s="58"/>
      <c r="AI867" s="58"/>
      <c r="AJ867" s="58"/>
      <c r="AK867" s="58"/>
      <c r="AL867" s="58"/>
      <c r="AM867" s="58"/>
      <c r="AN867" s="58"/>
      <c r="AO867" s="58"/>
      <c r="AP867" s="58"/>
      <c r="AQ867" s="58"/>
      <c r="AR867" s="58"/>
    </row>
    <row r="868" spans="1:44" ht="15.75" customHeight="1" x14ac:dyDescent="0.25">
      <c r="A868" s="64"/>
      <c r="B868" s="62"/>
      <c r="C868" s="62"/>
      <c r="D868" s="62"/>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c r="AE868" s="58"/>
      <c r="AF868" s="58"/>
      <c r="AG868" s="58"/>
      <c r="AH868" s="58"/>
      <c r="AI868" s="58"/>
      <c r="AJ868" s="58"/>
      <c r="AK868" s="58"/>
      <c r="AL868" s="58"/>
      <c r="AM868" s="58"/>
      <c r="AN868" s="58"/>
      <c r="AO868" s="58"/>
      <c r="AP868" s="58"/>
      <c r="AQ868" s="58"/>
      <c r="AR868" s="58"/>
    </row>
    <row r="869" spans="1:44" ht="15.75" customHeight="1" x14ac:dyDescent="0.25">
      <c r="A869" s="64"/>
      <c r="B869" s="62"/>
      <c r="C869" s="62"/>
      <c r="D869" s="62"/>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c r="AE869" s="58"/>
      <c r="AF869" s="58"/>
      <c r="AG869" s="58"/>
      <c r="AH869" s="58"/>
      <c r="AI869" s="58"/>
      <c r="AJ869" s="58"/>
      <c r="AK869" s="58"/>
      <c r="AL869" s="58"/>
      <c r="AM869" s="58"/>
      <c r="AN869" s="58"/>
      <c r="AO869" s="58"/>
      <c r="AP869" s="58"/>
      <c r="AQ869" s="58"/>
      <c r="AR869" s="58"/>
    </row>
    <row r="870" spans="1:44" ht="15.75" customHeight="1" x14ac:dyDescent="0.25">
      <c r="A870" s="64"/>
      <c r="B870" s="62"/>
      <c r="C870" s="62"/>
      <c r="D870" s="62"/>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c r="AE870" s="58"/>
      <c r="AF870" s="58"/>
      <c r="AG870" s="58"/>
      <c r="AH870" s="58"/>
      <c r="AI870" s="58"/>
      <c r="AJ870" s="58"/>
      <c r="AK870" s="58"/>
      <c r="AL870" s="58"/>
      <c r="AM870" s="58"/>
      <c r="AN870" s="58"/>
      <c r="AO870" s="58"/>
      <c r="AP870" s="58"/>
      <c r="AQ870" s="58"/>
      <c r="AR870" s="58"/>
    </row>
    <row r="871" spans="1:44" ht="15.75" customHeight="1" x14ac:dyDescent="0.25">
      <c r="A871" s="64"/>
      <c r="B871" s="62"/>
      <c r="C871" s="62"/>
      <c r="D871" s="62"/>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c r="AE871" s="58"/>
      <c r="AF871" s="58"/>
      <c r="AG871" s="58"/>
      <c r="AH871" s="58"/>
      <c r="AI871" s="58"/>
      <c r="AJ871" s="58"/>
      <c r="AK871" s="58"/>
      <c r="AL871" s="58"/>
      <c r="AM871" s="58"/>
      <c r="AN871" s="58"/>
      <c r="AO871" s="58"/>
      <c r="AP871" s="58"/>
      <c r="AQ871" s="58"/>
      <c r="AR871" s="58"/>
    </row>
    <row r="872" spans="1:44" ht="15.75" customHeight="1" x14ac:dyDescent="0.25">
      <c r="A872" s="64"/>
      <c r="B872" s="62"/>
      <c r="C872" s="62"/>
      <c r="D872" s="62"/>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c r="AE872" s="58"/>
      <c r="AF872" s="58"/>
      <c r="AG872" s="58"/>
      <c r="AH872" s="58"/>
      <c r="AI872" s="58"/>
      <c r="AJ872" s="58"/>
      <c r="AK872" s="58"/>
      <c r="AL872" s="58"/>
      <c r="AM872" s="58"/>
      <c r="AN872" s="58"/>
      <c r="AO872" s="58"/>
      <c r="AP872" s="58"/>
      <c r="AQ872" s="58"/>
      <c r="AR872" s="58"/>
    </row>
    <row r="873" spans="1:44" ht="15.75" customHeight="1" x14ac:dyDescent="0.25">
      <c r="A873" s="64"/>
      <c r="B873" s="62"/>
      <c r="C873" s="62"/>
      <c r="D873" s="62"/>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c r="AE873" s="58"/>
      <c r="AF873" s="58"/>
      <c r="AG873" s="58"/>
      <c r="AH873" s="58"/>
      <c r="AI873" s="58"/>
      <c r="AJ873" s="58"/>
      <c r="AK873" s="58"/>
      <c r="AL873" s="58"/>
      <c r="AM873" s="58"/>
      <c r="AN873" s="58"/>
      <c r="AO873" s="58"/>
      <c r="AP873" s="58"/>
      <c r="AQ873" s="58"/>
      <c r="AR873" s="58"/>
    </row>
    <row r="874" spans="1:44" ht="15.75" customHeight="1" x14ac:dyDescent="0.25">
      <c r="A874" s="64"/>
      <c r="B874" s="62"/>
      <c r="C874" s="62"/>
      <c r="D874" s="62"/>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c r="AE874" s="58"/>
      <c r="AF874" s="58"/>
      <c r="AG874" s="58"/>
      <c r="AH874" s="58"/>
      <c r="AI874" s="58"/>
      <c r="AJ874" s="58"/>
      <c r="AK874" s="58"/>
      <c r="AL874" s="58"/>
      <c r="AM874" s="58"/>
      <c r="AN874" s="58"/>
      <c r="AO874" s="58"/>
      <c r="AP874" s="58"/>
      <c r="AQ874" s="58"/>
      <c r="AR874" s="58"/>
    </row>
    <row r="875" spans="1:44" ht="15.75" customHeight="1" x14ac:dyDescent="0.25">
      <c r="A875" s="64"/>
      <c r="B875" s="62"/>
      <c r="C875" s="62"/>
      <c r="D875" s="62"/>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c r="AE875" s="58"/>
      <c r="AF875" s="58"/>
      <c r="AG875" s="58"/>
      <c r="AH875" s="58"/>
      <c r="AI875" s="58"/>
      <c r="AJ875" s="58"/>
      <c r="AK875" s="58"/>
      <c r="AL875" s="58"/>
      <c r="AM875" s="58"/>
      <c r="AN875" s="58"/>
      <c r="AO875" s="58"/>
      <c r="AP875" s="58"/>
      <c r="AQ875" s="58"/>
      <c r="AR875" s="58"/>
    </row>
    <row r="876" spans="1:44" ht="15.75" customHeight="1" x14ac:dyDescent="0.25">
      <c r="A876" s="64"/>
      <c r="B876" s="62"/>
      <c r="C876" s="62"/>
      <c r="D876" s="62"/>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c r="AE876" s="58"/>
      <c r="AF876" s="58"/>
      <c r="AG876" s="58"/>
      <c r="AH876" s="58"/>
      <c r="AI876" s="58"/>
      <c r="AJ876" s="58"/>
      <c r="AK876" s="58"/>
      <c r="AL876" s="58"/>
      <c r="AM876" s="58"/>
      <c r="AN876" s="58"/>
      <c r="AO876" s="58"/>
      <c r="AP876" s="58"/>
      <c r="AQ876" s="58"/>
      <c r="AR876" s="58"/>
    </row>
    <row r="877" spans="1:44" ht="15.75" customHeight="1" x14ac:dyDescent="0.25">
      <c r="A877" s="64"/>
      <c r="B877" s="62"/>
      <c r="C877" s="62"/>
      <c r="D877" s="62"/>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c r="AE877" s="58"/>
      <c r="AF877" s="58"/>
      <c r="AG877" s="58"/>
      <c r="AH877" s="58"/>
      <c r="AI877" s="58"/>
      <c r="AJ877" s="58"/>
      <c r="AK877" s="58"/>
      <c r="AL877" s="58"/>
      <c r="AM877" s="58"/>
      <c r="AN877" s="58"/>
      <c r="AO877" s="58"/>
      <c r="AP877" s="58"/>
      <c r="AQ877" s="58"/>
      <c r="AR877" s="58"/>
    </row>
    <row r="878" spans="1:44" ht="15.75" customHeight="1" x14ac:dyDescent="0.25">
      <c r="A878" s="64"/>
      <c r="B878" s="62"/>
      <c r="C878" s="62"/>
      <c r="D878" s="62"/>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c r="AE878" s="58"/>
      <c r="AF878" s="58"/>
      <c r="AG878" s="58"/>
      <c r="AH878" s="58"/>
      <c r="AI878" s="58"/>
      <c r="AJ878" s="58"/>
      <c r="AK878" s="58"/>
      <c r="AL878" s="58"/>
      <c r="AM878" s="58"/>
      <c r="AN878" s="58"/>
      <c r="AO878" s="58"/>
      <c r="AP878" s="58"/>
      <c r="AQ878" s="58"/>
      <c r="AR878" s="58"/>
    </row>
    <row r="879" spans="1:44" ht="15.75" customHeight="1" x14ac:dyDescent="0.25">
      <c r="A879" s="64"/>
      <c r="B879" s="62"/>
      <c r="C879" s="62"/>
      <c r="D879" s="62"/>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c r="AE879" s="58"/>
      <c r="AF879" s="58"/>
      <c r="AG879" s="58"/>
      <c r="AH879" s="58"/>
      <c r="AI879" s="58"/>
      <c r="AJ879" s="58"/>
      <c r="AK879" s="58"/>
      <c r="AL879" s="58"/>
      <c r="AM879" s="58"/>
      <c r="AN879" s="58"/>
      <c r="AO879" s="58"/>
      <c r="AP879" s="58"/>
      <c r="AQ879" s="58"/>
      <c r="AR879" s="58"/>
    </row>
    <row r="880" spans="1:44" ht="15.75" customHeight="1" x14ac:dyDescent="0.25">
      <c r="A880" s="64"/>
      <c r="B880" s="62"/>
      <c r="C880" s="62"/>
      <c r="D880" s="62"/>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c r="AE880" s="58"/>
      <c r="AF880" s="58"/>
      <c r="AG880" s="58"/>
      <c r="AH880" s="58"/>
      <c r="AI880" s="58"/>
      <c r="AJ880" s="58"/>
      <c r="AK880" s="58"/>
      <c r="AL880" s="58"/>
      <c r="AM880" s="58"/>
      <c r="AN880" s="58"/>
      <c r="AO880" s="58"/>
      <c r="AP880" s="58"/>
      <c r="AQ880" s="58"/>
      <c r="AR880" s="58"/>
    </row>
    <row r="881" spans="1:44" ht="15.75" customHeight="1" x14ac:dyDescent="0.25">
      <c r="A881" s="64"/>
      <c r="B881" s="62"/>
      <c r="C881" s="62"/>
      <c r="D881" s="62"/>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c r="AE881" s="58"/>
      <c r="AF881" s="58"/>
      <c r="AG881" s="58"/>
      <c r="AH881" s="58"/>
      <c r="AI881" s="58"/>
      <c r="AJ881" s="58"/>
      <c r="AK881" s="58"/>
      <c r="AL881" s="58"/>
      <c r="AM881" s="58"/>
      <c r="AN881" s="58"/>
      <c r="AO881" s="58"/>
      <c r="AP881" s="58"/>
      <c r="AQ881" s="58"/>
      <c r="AR881" s="58"/>
    </row>
    <row r="882" spans="1:44" ht="15.75" customHeight="1" x14ac:dyDescent="0.25">
      <c r="A882" s="64"/>
      <c r="B882" s="62"/>
      <c r="C882" s="62"/>
      <c r="D882" s="62"/>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c r="AE882" s="58"/>
      <c r="AF882" s="58"/>
      <c r="AG882" s="58"/>
      <c r="AH882" s="58"/>
      <c r="AI882" s="58"/>
      <c r="AJ882" s="58"/>
      <c r="AK882" s="58"/>
      <c r="AL882" s="58"/>
      <c r="AM882" s="58"/>
      <c r="AN882" s="58"/>
      <c r="AO882" s="58"/>
      <c r="AP882" s="58"/>
      <c r="AQ882" s="58"/>
      <c r="AR882" s="58"/>
    </row>
    <row r="883" spans="1:44" ht="15.75" customHeight="1" x14ac:dyDescent="0.25">
      <c r="A883" s="64"/>
      <c r="B883" s="62"/>
      <c r="C883" s="62"/>
      <c r="D883" s="62"/>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c r="AE883" s="58"/>
      <c r="AF883" s="58"/>
      <c r="AG883" s="58"/>
      <c r="AH883" s="58"/>
      <c r="AI883" s="58"/>
      <c r="AJ883" s="58"/>
      <c r="AK883" s="58"/>
      <c r="AL883" s="58"/>
      <c r="AM883" s="58"/>
      <c r="AN883" s="58"/>
      <c r="AO883" s="58"/>
      <c r="AP883" s="58"/>
      <c r="AQ883" s="58"/>
      <c r="AR883" s="58"/>
    </row>
    <row r="884" spans="1:44" ht="15.75" customHeight="1" x14ac:dyDescent="0.25">
      <c r="A884" s="64"/>
      <c r="B884" s="62"/>
      <c r="C884" s="62"/>
      <c r="D884" s="62"/>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c r="AE884" s="58"/>
      <c r="AF884" s="58"/>
      <c r="AG884" s="58"/>
      <c r="AH884" s="58"/>
      <c r="AI884" s="58"/>
      <c r="AJ884" s="58"/>
      <c r="AK884" s="58"/>
      <c r="AL884" s="58"/>
      <c r="AM884" s="58"/>
      <c r="AN884" s="58"/>
      <c r="AO884" s="58"/>
      <c r="AP884" s="58"/>
      <c r="AQ884" s="58"/>
      <c r="AR884" s="58"/>
    </row>
    <row r="885" spans="1:44" ht="15.75" customHeight="1" x14ac:dyDescent="0.25">
      <c r="A885" s="64"/>
      <c r="B885" s="62"/>
      <c r="C885" s="62"/>
      <c r="D885" s="62"/>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c r="AE885" s="58"/>
      <c r="AF885" s="58"/>
      <c r="AG885" s="58"/>
      <c r="AH885" s="58"/>
      <c r="AI885" s="58"/>
      <c r="AJ885" s="58"/>
      <c r="AK885" s="58"/>
      <c r="AL885" s="58"/>
      <c r="AM885" s="58"/>
      <c r="AN885" s="58"/>
      <c r="AO885" s="58"/>
      <c r="AP885" s="58"/>
      <c r="AQ885" s="58"/>
      <c r="AR885" s="58"/>
    </row>
    <row r="886" spans="1:44" ht="15.75" customHeight="1" x14ac:dyDescent="0.25">
      <c r="A886" s="64"/>
      <c r="B886" s="62"/>
      <c r="C886" s="62"/>
      <c r="D886" s="62"/>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c r="AE886" s="58"/>
      <c r="AF886" s="58"/>
      <c r="AG886" s="58"/>
      <c r="AH886" s="58"/>
      <c r="AI886" s="58"/>
      <c r="AJ886" s="58"/>
      <c r="AK886" s="58"/>
      <c r="AL886" s="58"/>
      <c r="AM886" s="58"/>
      <c r="AN886" s="58"/>
      <c r="AO886" s="58"/>
      <c r="AP886" s="58"/>
      <c r="AQ886" s="58"/>
      <c r="AR886" s="58"/>
    </row>
    <row r="887" spans="1:44" ht="15.75" customHeight="1" x14ac:dyDescent="0.25">
      <c r="A887" s="64"/>
      <c r="B887" s="62"/>
      <c r="C887" s="62"/>
      <c r="D887" s="62"/>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c r="AE887" s="58"/>
      <c r="AF887" s="58"/>
      <c r="AG887" s="58"/>
      <c r="AH887" s="58"/>
      <c r="AI887" s="58"/>
      <c r="AJ887" s="58"/>
      <c r="AK887" s="58"/>
      <c r="AL887" s="58"/>
      <c r="AM887" s="58"/>
      <c r="AN887" s="58"/>
      <c r="AO887" s="58"/>
      <c r="AP887" s="58"/>
      <c r="AQ887" s="58"/>
      <c r="AR887" s="58"/>
    </row>
    <row r="888" spans="1:44" ht="15.75" customHeight="1" x14ac:dyDescent="0.25">
      <c r="A888" s="64"/>
      <c r="B888" s="62"/>
      <c r="C888" s="62"/>
      <c r="D888" s="62"/>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c r="AE888" s="58"/>
      <c r="AF888" s="58"/>
      <c r="AG888" s="58"/>
      <c r="AH888" s="58"/>
      <c r="AI888" s="58"/>
      <c r="AJ888" s="58"/>
      <c r="AK888" s="58"/>
      <c r="AL888" s="58"/>
      <c r="AM888" s="58"/>
      <c r="AN888" s="58"/>
      <c r="AO888" s="58"/>
      <c r="AP888" s="58"/>
      <c r="AQ888" s="58"/>
      <c r="AR888" s="58"/>
    </row>
    <row r="889" spans="1:44" ht="15.75" customHeight="1" x14ac:dyDescent="0.25">
      <c r="A889" s="64"/>
      <c r="B889" s="62"/>
      <c r="C889" s="62"/>
      <c r="D889" s="62"/>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c r="AE889" s="58"/>
      <c r="AF889" s="58"/>
      <c r="AG889" s="58"/>
      <c r="AH889" s="58"/>
      <c r="AI889" s="58"/>
      <c r="AJ889" s="58"/>
      <c r="AK889" s="58"/>
      <c r="AL889" s="58"/>
      <c r="AM889" s="58"/>
      <c r="AN889" s="58"/>
      <c r="AO889" s="58"/>
      <c r="AP889" s="58"/>
      <c r="AQ889" s="58"/>
      <c r="AR889" s="58"/>
    </row>
    <row r="890" spans="1:44" ht="15.75" customHeight="1" x14ac:dyDescent="0.25">
      <c r="A890" s="64"/>
      <c r="B890" s="62"/>
      <c r="C890" s="62"/>
      <c r="D890" s="62"/>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c r="AE890" s="58"/>
      <c r="AF890" s="58"/>
      <c r="AG890" s="58"/>
      <c r="AH890" s="58"/>
      <c r="AI890" s="58"/>
      <c r="AJ890" s="58"/>
      <c r="AK890" s="58"/>
      <c r="AL890" s="58"/>
      <c r="AM890" s="58"/>
      <c r="AN890" s="58"/>
      <c r="AO890" s="58"/>
      <c r="AP890" s="58"/>
      <c r="AQ890" s="58"/>
      <c r="AR890" s="58"/>
    </row>
    <row r="891" spans="1:44" ht="15.75" customHeight="1" x14ac:dyDescent="0.25">
      <c r="A891" s="64"/>
      <c r="B891" s="62"/>
      <c r="C891" s="62"/>
      <c r="D891" s="62"/>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c r="AE891" s="58"/>
      <c r="AF891" s="58"/>
      <c r="AG891" s="58"/>
      <c r="AH891" s="58"/>
      <c r="AI891" s="58"/>
      <c r="AJ891" s="58"/>
      <c r="AK891" s="58"/>
      <c r="AL891" s="58"/>
      <c r="AM891" s="58"/>
      <c r="AN891" s="58"/>
      <c r="AO891" s="58"/>
      <c r="AP891" s="58"/>
      <c r="AQ891" s="58"/>
      <c r="AR891" s="58"/>
    </row>
    <row r="892" spans="1:44" ht="15.75" customHeight="1" x14ac:dyDescent="0.25">
      <c r="A892" s="64"/>
      <c r="B892" s="62"/>
      <c r="C892" s="62"/>
      <c r="D892" s="62"/>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c r="AE892" s="58"/>
      <c r="AF892" s="58"/>
      <c r="AG892" s="58"/>
      <c r="AH892" s="58"/>
      <c r="AI892" s="58"/>
      <c r="AJ892" s="58"/>
      <c r="AK892" s="58"/>
      <c r="AL892" s="58"/>
      <c r="AM892" s="58"/>
      <c r="AN892" s="58"/>
      <c r="AO892" s="58"/>
      <c r="AP892" s="58"/>
      <c r="AQ892" s="58"/>
      <c r="AR892" s="58"/>
    </row>
    <row r="893" spans="1:44" ht="15.75" customHeight="1" x14ac:dyDescent="0.25">
      <c r="A893" s="64"/>
      <c r="B893" s="62"/>
      <c r="C893" s="62"/>
      <c r="D893" s="62"/>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c r="AE893" s="58"/>
      <c r="AF893" s="58"/>
      <c r="AG893" s="58"/>
      <c r="AH893" s="58"/>
      <c r="AI893" s="58"/>
      <c r="AJ893" s="58"/>
      <c r="AK893" s="58"/>
      <c r="AL893" s="58"/>
      <c r="AM893" s="58"/>
      <c r="AN893" s="58"/>
      <c r="AO893" s="58"/>
      <c r="AP893" s="58"/>
      <c r="AQ893" s="58"/>
      <c r="AR893" s="58"/>
    </row>
    <row r="894" spans="1:44" ht="15.75" customHeight="1" x14ac:dyDescent="0.25">
      <c r="A894" s="64"/>
      <c r="B894" s="62"/>
      <c r="C894" s="62"/>
      <c r="D894" s="62"/>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c r="AE894" s="58"/>
      <c r="AF894" s="58"/>
      <c r="AG894" s="58"/>
      <c r="AH894" s="58"/>
      <c r="AI894" s="58"/>
      <c r="AJ894" s="58"/>
      <c r="AK894" s="58"/>
      <c r="AL894" s="58"/>
      <c r="AM894" s="58"/>
      <c r="AN894" s="58"/>
      <c r="AO894" s="58"/>
      <c r="AP894" s="58"/>
      <c r="AQ894" s="58"/>
      <c r="AR894" s="58"/>
    </row>
    <row r="895" spans="1:44" ht="15.75" customHeight="1" x14ac:dyDescent="0.25">
      <c r="A895" s="64"/>
      <c r="B895" s="62"/>
      <c r="C895" s="62"/>
      <c r="D895" s="62"/>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c r="AE895" s="58"/>
      <c r="AF895" s="58"/>
      <c r="AG895" s="58"/>
      <c r="AH895" s="58"/>
      <c r="AI895" s="58"/>
      <c r="AJ895" s="58"/>
      <c r="AK895" s="58"/>
      <c r="AL895" s="58"/>
      <c r="AM895" s="58"/>
      <c r="AN895" s="58"/>
      <c r="AO895" s="58"/>
      <c r="AP895" s="58"/>
      <c r="AQ895" s="58"/>
      <c r="AR895" s="58"/>
    </row>
    <row r="896" spans="1:44" ht="15.75" customHeight="1" x14ac:dyDescent="0.25">
      <c r="A896" s="64"/>
      <c r="B896" s="62"/>
      <c r="C896" s="62"/>
      <c r="D896" s="62"/>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c r="AE896" s="58"/>
      <c r="AF896" s="58"/>
      <c r="AG896" s="58"/>
      <c r="AH896" s="58"/>
      <c r="AI896" s="58"/>
      <c r="AJ896" s="58"/>
      <c r="AK896" s="58"/>
      <c r="AL896" s="58"/>
      <c r="AM896" s="58"/>
      <c r="AN896" s="58"/>
      <c r="AO896" s="58"/>
      <c r="AP896" s="58"/>
      <c r="AQ896" s="58"/>
      <c r="AR896" s="58"/>
    </row>
    <row r="897" spans="1:44" ht="15.75" customHeight="1" x14ac:dyDescent="0.25">
      <c r="A897" s="64"/>
      <c r="B897" s="62"/>
      <c r="C897" s="62"/>
      <c r="D897" s="62"/>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c r="AE897" s="58"/>
      <c r="AF897" s="58"/>
      <c r="AG897" s="58"/>
      <c r="AH897" s="58"/>
      <c r="AI897" s="58"/>
      <c r="AJ897" s="58"/>
      <c r="AK897" s="58"/>
      <c r="AL897" s="58"/>
      <c r="AM897" s="58"/>
      <c r="AN897" s="58"/>
      <c r="AO897" s="58"/>
      <c r="AP897" s="58"/>
      <c r="AQ897" s="58"/>
      <c r="AR897" s="58"/>
    </row>
    <row r="898" spans="1:44" ht="15.75" customHeight="1" x14ac:dyDescent="0.25">
      <c r="A898" s="64"/>
      <c r="B898" s="62"/>
      <c r="C898" s="62"/>
      <c r="D898" s="62"/>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c r="AE898" s="58"/>
      <c r="AF898" s="58"/>
      <c r="AG898" s="58"/>
      <c r="AH898" s="58"/>
      <c r="AI898" s="58"/>
      <c r="AJ898" s="58"/>
      <c r="AK898" s="58"/>
      <c r="AL898" s="58"/>
      <c r="AM898" s="58"/>
      <c r="AN898" s="58"/>
      <c r="AO898" s="58"/>
      <c r="AP898" s="58"/>
      <c r="AQ898" s="58"/>
      <c r="AR898" s="58"/>
    </row>
    <row r="899" spans="1:44" ht="15.75" customHeight="1" x14ac:dyDescent="0.25">
      <c r="A899" s="64"/>
      <c r="B899" s="62"/>
      <c r="C899" s="62"/>
      <c r="D899" s="62"/>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c r="AE899" s="58"/>
      <c r="AF899" s="58"/>
      <c r="AG899" s="58"/>
      <c r="AH899" s="58"/>
      <c r="AI899" s="58"/>
      <c r="AJ899" s="58"/>
      <c r="AK899" s="58"/>
      <c r="AL899" s="58"/>
      <c r="AM899" s="58"/>
      <c r="AN899" s="58"/>
      <c r="AO899" s="58"/>
      <c r="AP899" s="58"/>
      <c r="AQ899" s="58"/>
      <c r="AR899" s="58"/>
    </row>
    <row r="900" spans="1:44" ht="15.75" customHeight="1" x14ac:dyDescent="0.25">
      <c r="A900" s="64"/>
      <c r="B900" s="62"/>
      <c r="C900" s="62"/>
      <c r="D900" s="62"/>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c r="AE900" s="58"/>
      <c r="AF900" s="58"/>
      <c r="AG900" s="58"/>
      <c r="AH900" s="58"/>
      <c r="AI900" s="58"/>
      <c r="AJ900" s="58"/>
      <c r="AK900" s="58"/>
      <c r="AL900" s="58"/>
      <c r="AM900" s="58"/>
      <c r="AN900" s="58"/>
      <c r="AO900" s="58"/>
      <c r="AP900" s="58"/>
      <c r="AQ900" s="58"/>
      <c r="AR900" s="58"/>
    </row>
    <row r="901" spans="1:44" ht="15.75" customHeight="1" x14ac:dyDescent="0.25">
      <c r="A901" s="64"/>
      <c r="B901" s="62"/>
      <c r="C901" s="62"/>
      <c r="D901" s="62"/>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c r="AE901" s="58"/>
      <c r="AF901" s="58"/>
      <c r="AG901" s="58"/>
      <c r="AH901" s="58"/>
      <c r="AI901" s="58"/>
      <c r="AJ901" s="58"/>
      <c r="AK901" s="58"/>
      <c r="AL901" s="58"/>
      <c r="AM901" s="58"/>
      <c r="AN901" s="58"/>
      <c r="AO901" s="58"/>
      <c r="AP901" s="58"/>
      <c r="AQ901" s="58"/>
      <c r="AR901" s="58"/>
    </row>
    <row r="902" spans="1:44" ht="15.75" customHeight="1" x14ac:dyDescent="0.25">
      <c r="A902" s="64"/>
      <c r="B902" s="62"/>
      <c r="C902" s="62"/>
      <c r="D902" s="62"/>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c r="AE902" s="58"/>
      <c r="AF902" s="58"/>
      <c r="AG902" s="58"/>
      <c r="AH902" s="58"/>
      <c r="AI902" s="58"/>
      <c r="AJ902" s="58"/>
      <c r="AK902" s="58"/>
      <c r="AL902" s="58"/>
      <c r="AM902" s="58"/>
      <c r="AN902" s="58"/>
      <c r="AO902" s="58"/>
      <c r="AP902" s="58"/>
      <c r="AQ902" s="58"/>
      <c r="AR902" s="58"/>
    </row>
    <row r="903" spans="1:44" ht="15.75" customHeight="1" x14ac:dyDescent="0.25">
      <c r="A903" s="64"/>
      <c r="B903" s="62"/>
      <c r="C903" s="62"/>
      <c r="D903" s="62"/>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c r="AE903" s="58"/>
      <c r="AF903" s="58"/>
      <c r="AG903" s="58"/>
      <c r="AH903" s="58"/>
      <c r="AI903" s="58"/>
      <c r="AJ903" s="58"/>
      <c r="AK903" s="58"/>
      <c r="AL903" s="58"/>
      <c r="AM903" s="58"/>
      <c r="AN903" s="58"/>
      <c r="AO903" s="58"/>
      <c r="AP903" s="58"/>
      <c r="AQ903" s="58"/>
      <c r="AR903" s="58"/>
    </row>
    <row r="904" spans="1:44" ht="15.75" customHeight="1" x14ac:dyDescent="0.25">
      <c r="A904" s="64"/>
      <c r="B904" s="62"/>
      <c r="C904" s="62"/>
      <c r="D904" s="62"/>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c r="AE904" s="58"/>
      <c r="AF904" s="58"/>
      <c r="AG904" s="58"/>
      <c r="AH904" s="58"/>
      <c r="AI904" s="58"/>
      <c r="AJ904" s="58"/>
      <c r="AK904" s="58"/>
      <c r="AL904" s="58"/>
      <c r="AM904" s="58"/>
      <c r="AN904" s="58"/>
      <c r="AO904" s="58"/>
      <c r="AP904" s="58"/>
      <c r="AQ904" s="58"/>
      <c r="AR904" s="58"/>
    </row>
    <row r="905" spans="1:44" ht="15.75" customHeight="1" x14ac:dyDescent="0.25">
      <c r="A905" s="64"/>
      <c r="B905" s="62"/>
      <c r="C905" s="62"/>
      <c r="D905" s="62"/>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c r="AE905" s="58"/>
      <c r="AF905" s="58"/>
      <c r="AG905" s="58"/>
      <c r="AH905" s="58"/>
      <c r="AI905" s="58"/>
      <c r="AJ905" s="58"/>
      <c r="AK905" s="58"/>
      <c r="AL905" s="58"/>
      <c r="AM905" s="58"/>
      <c r="AN905" s="58"/>
      <c r="AO905" s="58"/>
      <c r="AP905" s="58"/>
      <c r="AQ905" s="58"/>
      <c r="AR905" s="58"/>
    </row>
    <row r="906" spans="1:44" ht="15.75" customHeight="1" x14ac:dyDescent="0.25">
      <c r="A906" s="64"/>
      <c r="B906" s="62"/>
      <c r="C906" s="62"/>
      <c r="D906" s="62"/>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c r="AE906" s="58"/>
      <c r="AF906" s="58"/>
      <c r="AG906" s="58"/>
      <c r="AH906" s="58"/>
      <c r="AI906" s="58"/>
      <c r="AJ906" s="58"/>
      <c r="AK906" s="58"/>
      <c r="AL906" s="58"/>
      <c r="AM906" s="58"/>
      <c r="AN906" s="58"/>
      <c r="AO906" s="58"/>
      <c r="AP906" s="58"/>
      <c r="AQ906" s="58"/>
      <c r="AR906" s="58"/>
    </row>
    <row r="907" spans="1:44" ht="15.75" customHeight="1" x14ac:dyDescent="0.25">
      <c r="A907" s="64"/>
      <c r="B907" s="62"/>
      <c r="C907" s="62"/>
      <c r="D907" s="62"/>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c r="AE907" s="58"/>
      <c r="AF907" s="58"/>
      <c r="AG907" s="58"/>
      <c r="AH907" s="58"/>
      <c r="AI907" s="58"/>
      <c r="AJ907" s="58"/>
      <c r="AK907" s="58"/>
      <c r="AL907" s="58"/>
      <c r="AM907" s="58"/>
      <c r="AN907" s="58"/>
      <c r="AO907" s="58"/>
      <c r="AP907" s="58"/>
      <c r="AQ907" s="58"/>
      <c r="AR907" s="58"/>
    </row>
    <row r="908" spans="1:44" ht="15.75" customHeight="1" x14ac:dyDescent="0.25">
      <c r="A908" s="64"/>
      <c r="B908" s="62"/>
      <c r="C908" s="62"/>
      <c r="D908" s="62"/>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c r="AE908" s="58"/>
      <c r="AF908" s="58"/>
      <c r="AG908" s="58"/>
      <c r="AH908" s="58"/>
      <c r="AI908" s="58"/>
      <c r="AJ908" s="58"/>
      <c r="AK908" s="58"/>
      <c r="AL908" s="58"/>
      <c r="AM908" s="58"/>
      <c r="AN908" s="58"/>
      <c r="AO908" s="58"/>
      <c r="AP908" s="58"/>
      <c r="AQ908" s="58"/>
      <c r="AR908" s="58"/>
    </row>
    <row r="909" spans="1:44" ht="15.75" customHeight="1" x14ac:dyDescent="0.25">
      <c r="A909" s="64"/>
      <c r="B909" s="62"/>
      <c r="C909" s="62"/>
      <c r="D909" s="62"/>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c r="AE909" s="58"/>
      <c r="AF909" s="58"/>
      <c r="AG909" s="58"/>
      <c r="AH909" s="58"/>
      <c r="AI909" s="58"/>
      <c r="AJ909" s="58"/>
      <c r="AK909" s="58"/>
      <c r="AL909" s="58"/>
      <c r="AM909" s="58"/>
      <c r="AN909" s="58"/>
      <c r="AO909" s="58"/>
      <c r="AP909" s="58"/>
      <c r="AQ909" s="58"/>
      <c r="AR909" s="58"/>
    </row>
    <row r="910" spans="1:44" ht="15.75" customHeight="1" x14ac:dyDescent="0.25">
      <c r="A910" s="64"/>
      <c r="B910" s="62"/>
      <c r="C910" s="62"/>
      <c r="D910" s="62"/>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c r="AE910" s="58"/>
      <c r="AF910" s="58"/>
      <c r="AG910" s="58"/>
      <c r="AH910" s="58"/>
      <c r="AI910" s="58"/>
      <c r="AJ910" s="58"/>
      <c r="AK910" s="58"/>
      <c r="AL910" s="58"/>
      <c r="AM910" s="58"/>
      <c r="AN910" s="58"/>
      <c r="AO910" s="58"/>
      <c r="AP910" s="58"/>
      <c r="AQ910" s="58"/>
      <c r="AR910" s="58"/>
    </row>
    <row r="911" spans="1:44" ht="15.75" customHeight="1" x14ac:dyDescent="0.25">
      <c r="A911" s="64"/>
      <c r="B911" s="62"/>
      <c r="C911" s="62"/>
      <c r="D911" s="62"/>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c r="AE911" s="58"/>
      <c r="AF911" s="58"/>
      <c r="AG911" s="58"/>
      <c r="AH911" s="58"/>
      <c r="AI911" s="58"/>
      <c r="AJ911" s="58"/>
      <c r="AK911" s="58"/>
      <c r="AL911" s="58"/>
      <c r="AM911" s="58"/>
      <c r="AN911" s="58"/>
      <c r="AO911" s="58"/>
      <c r="AP911" s="58"/>
      <c r="AQ911" s="58"/>
      <c r="AR911" s="58"/>
    </row>
    <row r="912" spans="1:44" ht="15.75" customHeight="1" x14ac:dyDescent="0.25">
      <c r="A912" s="64"/>
      <c r="B912" s="62"/>
      <c r="C912" s="62"/>
      <c r="D912" s="62"/>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c r="AE912" s="58"/>
      <c r="AF912" s="58"/>
      <c r="AG912" s="58"/>
      <c r="AH912" s="58"/>
      <c r="AI912" s="58"/>
      <c r="AJ912" s="58"/>
      <c r="AK912" s="58"/>
      <c r="AL912" s="58"/>
      <c r="AM912" s="58"/>
      <c r="AN912" s="58"/>
      <c r="AO912" s="58"/>
      <c r="AP912" s="58"/>
      <c r="AQ912" s="58"/>
      <c r="AR912" s="58"/>
    </row>
    <row r="913" spans="1:44" ht="15.75" customHeight="1" x14ac:dyDescent="0.25">
      <c r="A913" s="64"/>
      <c r="B913" s="62"/>
      <c r="C913" s="62"/>
      <c r="D913" s="62"/>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c r="AE913" s="58"/>
      <c r="AF913" s="58"/>
      <c r="AG913" s="58"/>
      <c r="AH913" s="58"/>
      <c r="AI913" s="58"/>
      <c r="AJ913" s="58"/>
      <c r="AK913" s="58"/>
      <c r="AL913" s="58"/>
      <c r="AM913" s="58"/>
      <c r="AN913" s="58"/>
      <c r="AO913" s="58"/>
      <c r="AP913" s="58"/>
      <c r="AQ913" s="58"/>
      <c r="AR913" s="58"/>
    </row>
    <row r="914" spans="1:44" ht="15.75" customHeight="1" x14ac:dyDescent="0.25">
      <c r="A914" s="64"/>
      <c r="B914" s="62"/>
      <c r="C914" s="62"/>
      <c r="D914" s="62"/>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c r="AE914" s="58"/>
      <c r="AF914" s="58"/>
      <c r="AG914" s="58"/>
      <c r="AH914" s="58"/>
      <c r="AI914" s="58"/>
      <c r="AJ914" s="58"/>
      <c r="AK914" s="58"/>
      <c r="AL914" s="58"/>
      <c r="AM914" s="58"/>
      <c r="AN914" s="58"/>
      <c r="AO914" s="58"/>
      <c r="AP914" s="58"/>
      <c r="AQ914" s="58"/>
      <c r="AR914" s="58"/>
    </row>
    <row r="915" spans="1:44" ht="15.75" customHeight="1" x14ac:dyDescent="0.25">
      <c r="A915" s="64"/>
      <c r="B915" s="62"/>
      <c r="C915" s="62"/>
      <c r="D915" s="62"/>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c r="AE915" s="58"/>
      <c r="AF915" s="58"/>
      <c r="AG915" s="58"/>
      <c r="AH915" s="58"/>
      <c r="AI915" s="58"/>
      <c r="AJ915" s="58"/>
      <c r="AK915" s="58"/>
      <c r="AL915" s="58"/>
      <c r="AM915" s="58"/>
      <c r="AN915" s="58"/>
      <c r="AO915" s="58"/>
      <c r="AP915" s="58"/>
      <c r="AQ915" s="58"/>
      <c r="AR915" s="58"/>
    </row>
    <row r="916" spans="1:44" ht="15.75" customHeight="1" x14ac:dyDescent="0.25">
      <c r="A916" s="64"/>
      <c r="B916" s="62"/>
      <c r="C916" s="62"/>
      <c r="D916" s="62"/>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c r="AE916" s="58"/>
      <c r="AF916" s="58"/>
      <c r="AG916" s="58"/>
      <c r="AH916" s="58"/>
      <c r="AI916" s="58"/>
      <c r="AJ916" s="58"/>
      <c r="AK916" s="58"/>
      <c r="AL916" s="58"/>
      <c r="AM916" s="58"/>
      <c r="AN916" s="58"/>
      <c r="AO916" s="58"/>
      <c r="AP916" s="58"/>
      <c r="AQ916" s="58"/>
      <c r="AR916" s="58"/>
    </row>
    <row r="917" spans="1:44" ht="15.75" customHeight="1" x14ac:dyDescent="0.25">
      <c r="A917" s="64"/>
      <c r="B917" s="62"/>
      <c r="C917" s="62"/>
      <c r="D917" s="62"/>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c r="AE917" s="58"/>
      <c r="AF917" s="58"/>
      <c r="AG917" s="58"/>
      <c r="AH917" s="58"/>
      <c r="AI917" s="58"/>
      <c r="AJ917" s="58"/>
      <c r="AK917" s="58"/>
      <c r="AL917" s="58"/>
      <c r="AM917" s="58"/>
      <c r="AN917" s="58"/>
      <c r="AO917" s="58"/>
      <c r="AP917" s="58"/>
      <c r="AQ917" s="58"/>
      <c r="AR917" s="58"/>
    </row>
    <row r="918" spans="1:44" ht="15.75" customHeight="1" x14ac:dyDescent="0.25">
      <c r="A918" s="64"/>
      <c r="B918" s="62"/>
      <c r="C918" s="62"/>
      <c r="D918" s="62"/>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c r="AE918" s="58"/>
      <c r="AF918" s="58"/>
      <c r="AG918" s="58"/>
      <c r="AH918" s="58"/>
      <c r="AI918" s="58"/>
      <c r="AJ918" s="58"/>
      <c r="AK918" s="58"/>
      <c r="AL918" s="58"/>
      <c r="AM918" s="58"/>
      <c r="AN918" s="58"/>
      <c r="AO918" s="58"/>
      <c r="AP918" s="58"/>
      <c r="AQ918" s="58"/>
      <c r="AR918" s="58"/>
    </row>
    <row r="919" spans="1:44" ht="15.75" customHeight="1" x14ac:dyDescent="0.25">
      <c r="A919" s="64"/>
      <c r="B919" s="62"/>
      <c r="C919" s="62"/>
      <c r="D919" s="62"/>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c r="AE919" s="58"/>
      <c r="AF919" s="58"/>
      <c r="AG919" s="58"/>
      <c r="AH919" s="58"/>
      <c r="AI919" s="58"/>
      <c r="AJ919" s="58"/>
      <c r="AK919" s="58"/>
      <c r="AL919" s="58"/>
      <c r="AM919" s="58"/>
      <c r="AN919" s="58"/>
      <c r="AO919" s="58"/>
      <c r="AP919" s="58"/>
      <c r="AQ919" s="58"/>
      <c r="AR919" s="58"/>
    </row>
    <row r="920" spans="1:44" ht="15.75" customHeight="1" x14ac:dyDescent="0.25">
      <c r="A920" s="64"/>
      <c r="B920" s="62"/>
      <c r="C920" s="62"/>
      <c r="D920" s="62"/>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c r="AE920" s="58"/>
      <c r="AF920" s="58"/>
      <c r="AG920" s="58"/>
      <c r="AH920" s="58"/>
      <c r="AI920" s="58"/>
      <c r="AJ920" s="58"/>
      <c r="AK920" s="58"/>
      <c r="AL920" s="58"/>
      <c r="AM920" s="58"/>
      <c r="AN920" s="58"/>
      <c r="AO920" s="58"/>
      <c r="AP920" s="58"/>
      <c r="AQ920" s="58"/>
      <c r="AR920" s="58"/>
    </row>
    <row r="921" spans="1:44" ht="15.75" customHeight="1" x14ac:dyDescent="0.25">
      <c r="A921" s="64"/>
      <c r="B921" s="62"/>
      <c r="C921" s="62"/>
      <c r="D921" s="62"/>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c r="AE921" s="58"/>
      <c r="AF921" s="58"/>
      <c r="AG921" s="58"/>
      <c r="AH921" s="58"/>
      <c r="AI921" s="58"/>
      <c r="AJ921" s="58"/>
      <c r="AK921" s="58"/>
      <c r="AL921" s="58"/>
      <c r="AM921" s="58"/>
      <c r="AN921" s="58"/>
      <c r="AO921" s="58"/>
      <c r="AP921" s="58"/>
      <c r="AQ921" s="58"/>
      <c r="AR921" s="58"/>
    </row>
    <row r="922" spans="1:44" ht="15.75" customHeight="1" x14ac:dyDescent="0.25">
      <c r="A922" s="64"/>
      <c r="B922" s="62"/>
      <c r="C922" s="62"/>
      <c r="D922" s="62"/>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c r="AE922" s="58"/>
      <c r="AF922" s="58"/>
      <c r="AG922" s="58"/>
      <c r="AH922" s="58"/>
      <c r="AI922" s="58"/>
      <c r="AJ922" s="58"/>
      <c r="AK922" s="58"/>
      <c r="AL922" s="58"/>
      <c r="AM922" s="58"/>
      <c r="AN922" s="58"/>
      <c r="AO922" s="58"/>
      <c r="AP922" s="58"/>
      <c r="AQ922" s="58"/>
      <c r="AR922" s="58"/>
    </row>
    <row r="923" spans="1:44" ht="15.75" customHeight="1" x14ac:dyDescent="0.25">
      <c r="A923" s="64"/>
      <c r="B923" s="62"/>
      <c r="C923" s="62"/>
      <c r="D923" s="62"/>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c r="AE923" s="58"/>
      <c r="AF923" s="58"/>
      <c r="AG923" s="58"/>
      <c r="AH923" s="58"/>
      <c r="AI923" s="58"/>
      <c r="AJ923" s="58"/>
      <c r="AK923" s="58"/>
      <c r="AL923" s="58"/>
      <c r="AM923" s="58"/>
      <c r="AN923" s="58"/>
      <c r="AO923" s="58"/>
      <c r="AP923" s="58"/>
      <c r="AQ923" s="58"/>
      <c r="AR923" s="58"/>
    </row>
    <row r="924" spans="1:44" ht="15.75" customHeight="1" x14ac:dyDescent="0.25">
      <c r="A924" s="64"/>
      <c r="B924" s="62"/>
      <c r="C924" s="62"/>
      <c r="D924" s="62"/>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c r="AE924" s="58"/>
      <c r="AF924" s="58"/>
      <c r="AG924" s="58"/>
      <c r="AH924" s="58"/>
      <c r="AI924" s="58"/>
      <c r="AJ924" s="58"/>
      <c r="AK924" s="58"/>
      <c r="AL924" s="58"/>
      <c r="AM924" s="58"/>
      <c r="AN924" s="58"/>
      <c r="AO924" s="58"/>
      <c r="AP924" s="58"/>
      <c r="AQ924" s="58"/>
      <c r="AR924" s="58"/>
    </row>
    <row r="925" spans="1:44" ht="15.75" customHeight="1" x14ac:dyDescent="0.25">
      <c r="A925" s="64"/>
      <c r="B925" s="62"/>
      <c r="C925" s="62"/>
      <c r="D925" s="62"/>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c r="AE925" s="58"/>
      <c r="AF925" s="58"/>
      <c r="AG925" s="58"/>
      <c r="AH925" s="58"/>
      <c r="AI925" s="58"/>
      <c r="AJ925" s="58"/>
      <c r="AK925" s="58"/>
      <c r="AL925" s="58"/>
      <c r="AM925" s="58"/>
      <c r="AN925" s="58"/>
      <c r="AO925" s="58"/>
      <c r="AP925" s="58"/>
      <c r="AQ925" s="58"/>
      <c r="AR925" s="58"/>
    </row>
    <row r="926" spans="1:44" ht="15.75" customHeight="1" x14ac:dyDescent="0.25">
      <c r="A926" s="64"/>
      <c r="B926" s="62"/>
      <c r="C926" s="62"/>
      <c r="D926" s="62"/>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c r="AE926" s="58"/>
      <c r="AF926" s="58"/>
      <c r="AG926" s="58"/>
      <c r="AH926" s="58"/>
      <c r="AI926" s="58"/>
      <c r="AJ926" s="58"/>
      <c r="AK926" s="58"/>
      <c r="AL926" s="58"/>
      <c r="AM926" s="58"/>
      <c r="AN926" s="58"/>
      <c r="AO926" s="58"/>
      <c r="AP926" s="58"/>
      <c r="AQ926" s="58"/>
      <c r="AR926" s="58"/>
    </row>
    <row r="927" spans="1:44" ht="15.75" customHeight="1" x14ac:dyDescent="0.25">
      <c r="A927" s="64"/>
      <c r="B927" s="62"/>
      <c r="C927" s="62"/>
      <c r="D927" s="62"/>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c r="AE927" s="58"/>
      <c r="AF927" s="58"/>
      <c r="AG927" s="58"/>
      <c r="AH927" s="58"/>
      <c r="AI927" s="58"/>
      <c r="AJ927" s="58"/>
      <c r="AK927" s="58"/>
      <c r="AL927" s="58"/>
      <c r="AM927" s="58"/>
      <c r="AN927" s="58"/>
      <c r="AO927" s="58"/>
      <c r="AP927" s="58"/>
      <c r="AQ927" s="58"/>
      <c r="AR927" s="58"/>
    </row>
    <row r="928" spans="1:44" ht="15.75" customHeight="1" x14ac:dyDescent="0.25">
      <c r="A928" s="64"/>
      <c r="B928" s="62"/>
      <c r="C928" s="62"/>
      <c r="D928" s="62"/>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c r="AE928" s="58"/>
      <c r="AF928" s="58"/>
      <c r="AG928" s="58"/>
      <c r="AH928" s="58"/>
      <c r="AI928" s="58"/>
      <c r="AJ928" s="58"/>
      <c r="AK928" s="58"/>
      <c r="AL928" s="58"/>
      <c r="AM928" s="58"/>
      <c r="AN928" s="58"/>
      <c r="AO928" s="58"/>
      <c r="AP928" s="58"/>
      <c r="AQ928" s="58"/>
      <c r="AR928" s="58"/>
    </row>
    <row r="929" spans="1:44" ht="15.75" customHeight="1" x14ac:dyDescent="0.25">
      <c r="A929" s="64"/>
      <c r="B929" s="62"/>
      <c r="C929" s="62"/>
      <c r="D929" s="62"/>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c r="AE929" s="58"/>
      <c r="AF929" s="58"/>
      <c r="AG929" s="58"/>
      <c r="AH929" s="58"/>
      <c r="AI929" s="58"/>
      <c r="AJ929" s="58"/>
      <c r="AK929" s="58"/>
      <c r="AL929" s="58"/>
      <c r="AM929" s="58"/>
      <c r="AN929" s="58"/>
      <c r="AO929" s="58"/>
      <c r="AP929" s="58"/>
      <c r="AQ929" s="58"/>
      <c r="AR929" s="58"/>
    </row>
    <row r="930" spans="1:44" ht="15.75" customHeight="1" x14ac:dyDescent="0.25">
      <c r="A930" s="64"/>
      <c r="B930" s="62"/>
      <c r="C930" s="62"/>
      <c r="D930" s="62"/>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c r="AE930" s="58"/>
      <c r="AF930" s="58"/>
      <c r="AG930" s="58"/>
      <c r="AH930" s="58"/>
      <c r="AI930" s="58"/>
      <c r="AJ930" s="58"/>
      <c r="AK930" s="58"/>
      <c r="AL930" s="58"/>
      <c r="AM930" s="58"/>
      <c r="AN930" s="58"/>
      <c r="AO930" s="58"/>
      <c r="AP930" s="58"/>
      <c r="AQ930" s="58"/>
      <c r="AR930" s="58"/>
    </row>
    <row r="931" spans="1:44" ht="15.75" customHeight="1" x14ac:dyDescent="0.25">
      <c r="A931" s="64"/>
      <c r="B931" s="62"/>
      <c r="C931" s="62"/>
      <c r="D931" s="62"/>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c r="AE931" s="58"/>
      <c r="AF931" s="58"/>
      <c r="AG931" s="58"/>
      <c r="AH931" s="58"/>
      <c r="AI931" s="58"/>
      <c r="AJ931" s="58"/>
      <c r="AK931" s="58"/>
      <c r="AL931" s="58"/>
      <c r="AM931" s="58"/>
      <c r="AN931" s="58"/>
      <c r="AO931" s="58"/>
      <c r="AP931" s="58"/>
      <c r="AQ931" s="58"/>
      <c r="AR931" s="58"/>
    </row>
    <row r="932" spans="1:44" ht="15.75" customHeight="1" x14ac:dyDescent="0.25">
      <c r="A932" s="64"/>
      <c r="B932" s="62"/>
      <c r="C932" s="62"/>
      <c r="D932" s="62"/>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c r="AE932" s="58"/>
      <c r="AF932" s="58"/>
      <c r="AG932" s="58"/>
      <c r="AH932" s="58"/>
      <c r="AI932" s="58"/>
      <c r="AJ932" s="58"/>
      <c r="AK932" s="58"/>
      <c r="AL932" s="58"/>
      <c r="AM932" s="58"/>
      <c r="AN932" s="58"/>
      <c r="AO932" s="58"/>
      <c r="AP932" s="58"/>
      <c r="AQ932" s="58"/>
      <c r="AR932" s="58"/>
    </row>
    <row r="933" spans="1:44" ht="15.75" customHeight="1" x14ac:dyDescent="0.25">
      <c r="A933" s="64"/>
      <c r="B933" s="62"/>
      <c r="C933" s="62"/>
      <c r="D933" s="62"/>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c r="AE933" s="58"/>
      <c r="AF933" s="58"/>
      <c r="AG933" s="58"/>
      <c r="AH933" s="58"/>
      <c r="AI933" s="58"/>
      <c r="AJ933" s="58"/>
      <c r="AK933" s="58"/>
      <c r="AL933" s="58"/>
      <c r="AM933" s="58"/>
      <c r="AN933" s="58"/>
      <c r="AO933" s="58"/>
      <c r="AP933" s="58"/>
      <c r="AQ933" s="58"/>
      <c r="AR933" s="58"/>
    </row>
    <row r="934" spans="1:44" ht="15.75" customHeight="1" x14ac:dyDescent="0.25">
      <c r="A934" s="64"/>
      <c r="B934" s="62"/>
      <c r="C934" s="62"/>
      <c r="D934" s="62"/>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c r="AE934" s="58"/>
      <c r="AF934" s="58"/>
      <c r="AG934" s="58"/>
      <c r="AH934" s="58"/>
      <c r="AI934" s="58"/>
      <c r="AJ934" s="58"/>
      <c r="AK934" s="58"/>
      <c r="AL934" s="58"/>
      <c r="AM934" s="58"/>
      <c r="AN934" s="58"/>
      <c r="AO934" s="58"/>
      <c r="AP934" s="58"/>
      <c r="AQ934" s="58"/>
      <c r="AR934" s="58"/>
    </row>
    <row r="935" spans="1:44" ht="15.75" customHeight="1" x14ac:dyDescent="0.25">
      <c r="A935" s="64"/>
      <c r="B935" s="62"/>
      <c r="C935" s="62"/>
      <c r="D935" s="62"/>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c r="AE935" s="58"/>
      <c r="AF935" s="58"/>
      <c r="AG935" s="58"/>
      <c r="AH935" s="58"/>
      <c r="AI935" s="58"/>
      <c r="AJ935" s="58"/>
      <c r="AK935" s="58"/>
      <c r="AL935" s="58"/>
      <c r="AM935" s="58"/>
      <c r="AN935" s="58"/>
      <c r="AO935" s="58"/>
      <c r="AP935" s="58"/>
      <c r="AQ935" s="58"/>
      <c r="AR935" s="58"/>
    </row>
    <row r="936" spans="1:44" ht="15.75" customHeight="1" x14ac:dyDescent="0.25">
      <c r="A936" s="64"/>
      <c r="B936" s="62"/>
      <c r="C936" s="62"/>
      <c r="D936" s="62"/>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c r="AE936" s="58"/>
      <c r="AF936" s="58"/>
      <c r="AG936" s="58"/>
      <c r="AH936" s="58"/>
      <c r="AI936" s="58"/>
      <c r="AJ936" s="58"/>
      <c r="AK936" s="58"/>
      <c r="AL936" s="58"/>
      <c r="AM936" s="58"/>
      <c r="AN936" s="58"/>
      <c r="AO936" s="58"/>
      <c r="AP936" s="58"/>
      <c r="AQ936" s="58"/>
      <c r="AR936" s="58"/>
    </row>
    <row r="937" spans="1:44" ht="15.75" customHeight="1" x14ac:dyDescent="0.25">
      <c r="A937" s="64"/>
      <c r="B937" s="62"/>
      <c r="C937" s="62"/>
      <c r="D937" s="62"/>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c r="AE937" s="58"/>
      <c r="AF937" s="58"/>
      <c r="AG937" s="58"/>
      <c r="AH937" s="58"/>
      <c r="AI937" s="58"/>
      <c r="AJ937" s="58"/>
      <c r="AK937" s="58"/>
      <c r="AL937" s="58"/>
      <c r="AM937" s="58"/>
      <c r="AN937" s="58"/>
      <c r="AO937" s="58"/>
      <c r="AP937" s="58"/>
      <c r="AQ937" s="58"/>
      <c r="AR937" s="58"/>
    </row>
    <row r="938" spans="1:44" ht="15.75" customHeight="1" x14ac:dyDescent="0.25">
      <c r="A938" s="64"/>
      <c r="B938" s="62"/>
      <c r="C938" s="62"/>
      <c r="D938" s="62"/>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c r="AE938" s="58"/>
      <c r="AF938" s="58"/>
      <c r="AG938" s="58"/>
      <c r="AH938" s="58"/>
      <c r="AI938" s="58"/>
      <c r="AJ938" s="58"/>
      <c r="AK938" s="58"/>
      <c r="AL938" s="58"/>
      <c r="AM938" s="58"/>
      <c r="AN938" s="58"/>
      <c r="AO938" s="58"/>
      <c r="AP938" s="58"/>
      <c r="AQ938" s="58"/>
      <c r="AR938" s="58"/>
    </row>
    <row r="939" spans="1:44" ht="15.75" customHeight="1" x14ac:dyDescent="0.25">
      <c r="A939" s="64"/>
      <c r="B939" s="62"/>
      <c r="C939" s="62"/>
      <c r="D939" s="62"/>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c r="AE939" s="58"/>
      <c r="AF939" s="58"/>
      <c r="AG939" s="58"/>
      <c r="AH939" s="58"/>
      <c r="AI939" s="58"/>
      <c r="AJ939" s="58"/>
      <c r="AK939" s="58"/>
      <c r="AL939" s="58"/>
      <c r="AM939" s="58"/>
      <c r="AN939" s="58"/>
      <c r="AO939" s="58"/>
      <c r="AP939" s="58"/>
      <c r="AQ939" s="58"/>
      <c r="AR939" s="58"/>
    </row>
    <row r="940" spans="1:44" ht="15.75" customHeight="1" x14ac:dyDescent="0.25">
      <c r="A940" s="64"/>
      <c r="B940" s="62"/>
      <c r="C940" s="62"/>
      <c r="D940" s="62"/>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c r="AE940" s="58"/>
      <c r="AF940" s="58"/>
      <c r="AG940" s="58"/>
      <c r="AH940" s="58"/>
      <c r="AI940" s="58"/>
      <c r="AJ940" s="58"/>
      <c r="AK940" s="58"/>
      <c r="AL940" s="58"/>
      <c r="AM940" s="58"/>
      <c r="AN940" s="58"/>
      <c r="AO940" s="58"/>
      <c r="AP940" s="58"/>
      <c r="AQ940" s="58"/>
      <c r="AR940" s="58"/>
    </row>
    <row r="941" spans="1:44" ht="15.75" customHeight="1" x14ac:dyDescent="0.25">
      <c r="A941" s="64"/>
      <c r="B941" s="62"/>
      <c r="C941" s="62"/>
      <c r="D941" s="62"/>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c r="AE941" s="58"/>
      <c r="AF941" s="58"/>
      <c r="AG941" s="58"/>
      <c r="AH941" s="58"/>
      <c r="AI941" s="58"/>
      <c r="AJ941" s="58"/>
      <c r="AK941" s="58"/>
      <c r="AL941" s="58"/>
      <c r="AM941" s="58"/>
      <c r="AN941" s="58"/>
      <c r="AO941" s="58"/>
      <c r="AP941" s="58"/>
      <c r="AQ941" s="58"/>
      <c r="AR941" s="58"/>
    </row>
    <row r="942" spans="1:44" ht="15.75" customHeight="1" x14ac:dyDescent="0.25">
      <c r="A942" s="64"/>
      <c r="B942" s="62"/>
      <c r="C942" s="62"/>
      <c r="D942" s="62"/>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c r="AE942" s="58"/>
      <c r="AF942" s="58"/>
      <c r="AG942" s="58"/>
      <c r="AH942" s="58"/>
      <c r="AI942" s="58"/>
      <c r="AJ942" s="58"/>
      <c r="AK942" s="58"/>
      <c r="AL942" s="58"/>
      <c r="AM942" s="58"/>
      <c r="AN942" s="58"/>
      <c r="AO942" s="58"/>
      <c r="AP942" s="58"/>
      <c r="AQ942" s="58"/>
      <c r="AR942" s="58"/>
    </row>
    <row r="943" spans="1:44" ht="15.75" customHeight="1" x14ac:dyDescent="0.25">
      <c r="A943" s="64"/>
      <c r="B943" s="62"/>
      <c r="C943" s="62"/>
      <c r="D943" s="62"/>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c r="AE943" s="58"/>
      <c r="AF943" s="58"/>
      <c r="AG943" s="58"/>
      <c r="AH943" s="58"/>
      <c r="AI943" s="58"/>
      <c r="AJ943" s="58"/>
      <c r="AK943" s="58"/>
      <c r="AL943" s="58"/>
      <c r="AM943" s="58"/>
      <c r="AN943" s="58"/>
      <c r="AO943" s="58"/>
      <c r="AP943" s="58"/>
      <c r="AQ943" s="58"/>
      <c r="AR943" s="58"/>
    </row>
    <row r="944" spans="1:44" ht="15.75" customHeight="1" x14ac:dyDescent="0.25">
      <c r="A944" s="64"/>
      <c r="B944" s="62"/>
      <c r="C944" s="62"/>
      <c r="D944" s="62"/>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c r="AE944" s="58"/>
      <c r="AF944" s="58"/>
      <c r="AG944" s="58"/>
      <c r="AH944" s="58"/>
      <c r="AI944" s="58"/>
      <c r="AJ944" s="58"/>
      <c r="AK944" s="58"/>
      <c r="AL944" s="58"/>
      <c r="AM944" s="58"/>
      <c r="AN944" s="58"/>
      <c r="AO944" s="58"/>
      <c r="AP944" s="58"/>
      <c r="AQ944" s="58"/>
      <c r="AR944" s="58"/>
    </row>
    <row r="945" spans="1:44" ht="15.75" customHeight="1" x14ac:dyDescent="0.25">
      <c r="A945" s="64"/>
      <c r="B945" s="62"/>
      <c r="C945" s="62"/>
      <c r="D945" s="62"/>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c r="AE945" s="58"/>
      <c r="AF945" s="58"/>
      <c r="AG945" s="58"/>
      <c r="AH945" s="58"/>
      <c r="AI945" s="58"/>
      <c r="AJ945" s="58"/>
      <c r="AK945" s="58"/>
      <c r="AL945" s="58"/>
      <c r="AM945" s="58"/>
      <c r="AN945" s="58"/>
      <c r="AO945" s="58"/>
      <c r="AP945" s="58"/>
      <c r="AQ945" s="58"/>
      <c r="AR945" s="58"/>
    </row>
    <row r="946" spans="1:44" ht="15.75" customHeight="1" x14ac:dyDescent="0.25">
      <c r="A946" s="64"/>
      <c r="B946" s="62"/>
      <c r="C946" s="62"/>
      <c r="D946" s="62"/>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c r="AE946" s="58"/>
      <c r="AF946" s="58"/>
      <c r="AG946" s="58"/>
      <c r="AH946" s="58"/>
      <c r="AI946" s="58"/>
      <c r="AJ946" s="58"/>
      <c r="AK946" s="58"/>
      <c r="AL946" s="58"/>
      <c r="AM946" s="58"/>
      <c r="AN946" s="58"/>
      <c r="AO946" s="58"/>
      <c r="AP946" s="58"/>
      <c r="AQ946" s="58"/>
      <c r="AR946" s="58"/>
    </row>
    <row r="947" spans="1:44" ht="15.75" customHeight="1" x14ac:dyDescent="0.25">
      <c r="A947" s="64"/>
      <c r="B947" s="62"/>
      <c r="C947" s="62"/>
      <c r="D947" s="62"/>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c r="AE947" s="58"/>
      <c r="AF947" s="58"/>
      <c r="AG947" s="58"/>
      <c r="AH947" s="58"/>
      <c r="AI947" s="58"/>
      <c r="AJ947" s="58"/>
      <c r="AK947" s="58"/>
      <c r="AL947" s="58"/>
      <c r="AM947" s="58"/>
      <c r="AN947" s="58"/>
      <c r="AO947" s="58"/>
      <c r="AP947" s="58"/>
      <c r="AQ947" s="58"/>
      <c r="AR947" s="58"/>
    </row>
    <row r="948" spans="1:44" ht="15.75" customHeight="1" x14ac:dyDescent="0.25">
      <c r="A948" s="64"/>
      <c r="B948" s="62"/>
      <c r="C948" s="62"/>
      <c r="D948" s="62"/>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c r="AE948" s="58"/>
      <c r="AF948" s="58"/>
      <c r="AG948" s="58"/>
      <c r="AH948" s="58"/>
      <c r="AI948" s="58"/>
      <c r="AJ948" s="58"/>
      <c r="AK948" s="58"/>
      <c r="AL948" s="58"/>
      <c r="AM948" s="58"/>
      <c r="AN948" s="58"/>
      <c r="AO948" s="58"/>
      <c r="AP948" s="58"/>
      <c r="AQ948" s="58"/>
      <c r="AR948" s="58"/>
    </row>
    <row r="949" spans="1:44" ht="15.75" customHeight="1" x14ac:dyDescent="0.25">
      <c r="A949" s="64"/>
      <c r="B949" s="62"/>
      <c r="C949" s="62"/>
      <c r="D949" s="62"/>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c r="AE949" s="58"/>
      <c r="AF949" s="58"/>
      <c r="AG949" s="58"/>
      <c r="AH949" s="58"/>
      <c r="AI949" s="58"/>
      <c r="AJ949" s="58"/>
      <c r="AK949" s="58"/>
      <c r="AL949" s="58"/>
      <c r="AM949" s="58"/>
      <c r="AN949" s="58"/>
      <c r="AO949" s="58"/>
      <c r="AP949" s="58"/>
      <c r="AQ949" s="58"/>
      <c r="AR949" s="58"/>
    </row>
    <row r="950" spans="1:44" ht="15.75" customHeight="1" x14ac:dyDescent="0.25">
      <c r="A950" s="64"/>
      <c r="B950" s="62"/>
      <c r="C950" s="62"/>
      <c r="D950" s="62"/>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c r="AE950" s="58"/>
      <c r="AF950" s="58"/>
      <c r="AG950" s="58"/>
      <c r="AH950" s="58"/>
      <c r="AI950" s="58"/>
      <c r="AJ950" s="58"/>
      <c r="AK950" s="58"/>
      <c r="AL950" s="58"/>
      <c r="AM950" s="58"/>
      <c r="AN950" s="58"/>
      <c r="AO950" s="58"/>
      <c r="AP950" s="58"/>
      <c r="AQ950" s="58"/>
      <c r="AR950" s="58"/>
    </row>
    <row r="951" spans="1:44" ht="15.75" customHeight="1" x14ac:dyDescent="0.25">
      <c r="A951" s="64"/>
      <c r="B951" s="62"/>
      <c r="C951" s="62"/>
      <c r="D951" s="62"/>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c r="AE951" s="58"/>
      <c r="AF951" s="58"/>
      <c r="AG951" s="58"/>
      <c r="AH951" s="58"/>
      <c r="AI951" s="58"/>
      <c r="AJ951" s="58"/>
      <c r="AK951" s="58"/>
      <c r="AL951" s="58"/>
      <c r="AM951" s="58"/>
      <c r="AN951" s="58"/>
      <c r="AO951" s="58"/>
      <c r="AP951" s="58"/>
      <c r="AQ951" s="58"/>
      <c r="AR951" s="58"/>
    </row>
    <row r="952" spans="1:44" ht="15.75" customHeight="1" x14ac:dyDescent="0.25">
      <c r="A952" s="64"/>
      <c r="B952" s="62"/>
      <c r="C952" s="62"/>
      <c r="D952" s="62"/>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c r="AE952" s="58"/>
      <c r="AF952" s="58"/>
      <c r="AG952" s="58"/>
      <c r="AH952" s="58"/>
      <c r="AI952" s="58"/>
      <c r="AJ952" s="58"/>
      <c r="AK952" s="58"/>
      <c r="AL952" s="58"/>
      <c r="AM952" s="58"/>
      <c r="AN952" s="58"/>
      <c r="AO952" s="58"/>
      <c r="AP952" s="58"/>
      <c r="AQ952" s="58"/>
      <c r="AR952" s="58"/>
    </row>
    <row r="953" spans="1:44" ht="15.75" customHeight="1" x14ac:dyDescent="0.25">
      <c r="A953" s="64"/>
      <c r="B953" s="62"/>
      <c r="C953" s="62"/>
      <c r="D953" s="62"/>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c r="AE953" s="58"/>
      <c r="AF953" s="58"/>
      <c r="AG953" s="58"/>
      <c r="AH953" s="58"/>
      <c r="AI953" s="58"/>
      <c r="AJ953" s="58"/>
      <c r="AK953" s="58"/>
      <c r="AL953" s="58"/>
      <c r="AM953" s="58"/>
      <c r="AN953" s="58"/>
      <c r="AO953" s="58"/>
      <c r="AP953" s="58"/>
      <c r="AQ953" s="58"/>
      <c r="AR953" s="58"/>
    </row>
    <row r="954" spans="1:44" ht="15.75" customHeight="1" x14ac:dyDescent="0.25">
      <c r="A954" s="64"/>
      <c r="B954" s="62"/>
      <c r="C954" s="62"/>
      <c r="D954" s="62"/>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c r="AE954" s="58"/>
      <c r="AF954" s="58"/>
      <c r="AG954" s="58"/>
      <c r="AH954" s="58"/>
      <c r="AI954" s="58"/>
      <c r="AJ954" s="58"/>
      <c r="AK954" s="58"/>
      <c r="AL954" s="58"/>
      <c r="AM954" s="58"/>
      <c r="AN954" s="58"/>
      <c r="AO954" s="58"/>
      <c r="AP954" s="58"/>
      <c r="AQ954" s="58"/>
      <c r="AR954" s="58"/>
    </row>
    <row r="955" spans="1:44" ht="15.75" customHeight="1" x14ac:dyDescent="0.25">
      <c r="A955" s="64"/>
      <c r="B955" s="62"/>
      <c r="C955" s="62"/>
      <c r="D955" s="62"/>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c r="AE955" s="58"/>
      <c r="AF955" s="58"/>
      <c r="AG955" s="58"/>
      <c r="AH955" s="58"/>
      <c r="AI955" s="58"/>
      <c r="AJ955" s="58"/>
      <c r="AK955" s="58"/>
      <c r="AL955" s="58"/>
      <c r="AM955" s="58"/>
      <c r="AN955" s="58"/>
      <c r="AO955" s="58"/>
      <c r="AP955" s="58"/>
      <c r="AQ955" s="58"/>
      <c r="AR955" s="58"/>
    </row>
    <row r="956" spans="1:44" ht="15.75" customHeight="1" x14ac:dyDescent="0.25">
      <c r="A956" s="64"/>
      <c r="B956" s="62"/>
      <c r="C956" s="62"/>
      <c r="D956" s="62"/>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c r="AE956" s="58"/>
      <c r="AF956" s="58"/>
      <c r="AG956" s="58"/>
      <c r="AH956" s="58"/>
      <c r="AI956" s="58"/>
      <c r="AJ956" s="58"/>
      <c r="AK956" s="58"/>
      <c r="AL956" s="58"/>
      <c r="AM956" s="58"/>
      <c r="AN956" s="58"/>
      <c r="AO956" s="58"/>
      <c r="AP956" s="58"/>
      <c r="AQ956" s="58"/>
      <c r="AR956" s="58"/>
    </row>
    <row r="957" spans="1:44" ht="15.75" customHeight="1" x14ac:dyDescent="0.25">
      <c r="A957" s="64"/>
      <c r="B957" s="62"/>
      <c r="C957" s="62"/>
      <c r="D957" s="62"/>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c r="AE957" s="58"/>
      <c r="AF957" s="58"/>
      <c r="AG957" s="58"/>
      <c r="AH957" s="58"/>
      <c r="AI957" s="58"/>
      <c r="AJ957" s="58"/>
      <c r="AK957" s="58"/>
      <c r="AL957" s="58"/>
      <c r="AM957" s="58"/>
      <c r="AN957" s="58"/>
      <c r="AO957" s="58"/>
      <c r="AP957" s="58"/>
      <c r="AQ957" s="58"/>
      <c r="AR957" s="58"/>
    </row>
    <row r="958" spans="1:44" ht="15.75" customHeight="1" x14ac:dyDescent="0.25">
      <c r="A958" s="64"/>
      <c r="B958" s="62"/>
      <c r="C958" s="62"/>
      <c r="D958" s="62"/>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c r="AE958" s="58"/>
      <c r="AF958" s="58"/>
      <c r="AG958" s="58"/>
      <c r="AH958" s="58"/>
      <c r="AI958" s="58"/>
      <c r="AJ958" s="58"/>
      <c r="AK958" s="58"/>
      <c r="AL958" s="58"/>
      <c r="AM958" s="58"/>
      <c r="AN958" s="58"/>
      <c r="AO958" s="58"/>
      <c r="AP958" s="58"/>
      <c r="AQ958" s="58"/>
      <c r="AR958" s="58"/>
    </row>
    <row r="959" spans="1:44" ht="15.75" customHeight="1" x14ac:dyDescent="0.25">
      <c r="A959" s="64"/>
      <c r="B959" s="62"/>
      <c r="C959" s="62"/>
      <c r="D959" s="62"/>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c r="AE959" s="58"/>
      <c r="AF959" s="58"/>
      <c r="AG959" s="58"/>
      <c r="AH959" s="58"/>
      <c r="AI959" s="58"/>
      <c r="AJ959" s="58"/>
      <c r="AK959" s="58"/>
      <c r="AL959" s="58"/>
      <c r="AM959" s="58"/>
      <c r="AN959" s="58"/>
      <c r="AO959" s="58"/>
      <c r="AP959" s="58"/>
      <c r="AQ959" s="58"/>
      <c r="AR959" s="58"/>
    </row>
    <row r="960" spans="1:44" ht="15.75" customHeight="1" x14ac:dyDescent="0.25">
      <c r="A960" s="64"/>
      <c r="B960" s="62"/>
      <c r="C960" s="62"/>
      <c r="D960" s="62"/>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c r="AE960" s="58"/>
      <c r="AF960" s="58"/>
      <c r="AG960" s="58"/>
      <c r="AH960" s="58"/>
      <c r="AI960" s="58"/>
      <c r="AJ960" s="58"/>
      <c r="AK960" s="58"/>
      <c r="AL960" s="58"/>
      <c r="AM960" s="58"/>
      <c r="AN960" s="58"/>
      <c r="AO960" s="58"/>
      <c r="AP960" s="58"/>
      <c r="AQ960" s="58"/>
      <c r="AR960" s="58"/>
    </row>
    <row r="961" spans="1:44" ht="15.75" customHeight="1" x14ac:dyDescent="0.25">
      <c r="A961" s="64"/>
      <c r="B961" s="62"/>
      <c r="C961" s="62"/>
      <c r="D961" s="62"/>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c r="AE961" s="58"/>
      <c r="AF961" s="58"/>
      <c r="AG961" s="58"/>
      <c r="AH961" s="58"/>
      <c r="AI961" s="58"/>
      <c r="AJ961" s="58"/>
      <c r="AK961" s="58"/>
      <c r="AL961" s="58"/>
      <c r="AM961" s="58"/>
      <c r="AN961" s="58"/>
      <c r="AO961" s="58"/>
      <c r="AP961" s="58"/>
      <c r="AQ961" s="58"/>
      <c r="AR961" s="58"/>
    </row>
    <row r="962" spans="1:44" ht="15.75" customHeight="1" x14ac:dyDescent="0.25">
      <c r="A962" s="64"/>
      <c r="B962" s="62"/>
      <c r="C962" s="62"/>
      <c r="D962" s="62"/>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c r="AE962" s="58"/>
      <c r="AF962" s="58"/>
      <c r="AG962" s="58"/>
      <c r="AH962" s="58"/>
      <c r="AI962" s="58"/>
      <c r="AJ962" s="58"/>
      <c r="AK962" s="58"/>
      <c r="AL962" s="58"/>
      <c r="AM962" s="58"/>
      <c r="AN962" s="58"/>
      <c r="AO962" s="58"/>
      <c r="AP962" s="58"/>
      <c r="AQ962" s="58"/>
      <c r="AR962" s="58"/>
    </row>
    <row r="963" spans="1:44" ht="15.75" customHeight="1" x14ac:dyDescent="0.25">
      <c r="A963" s="64"/>
      <c r="B963" s="62"/>
      <c r="C963" s="62"/>
      <c r="D963" s="62"/>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c r="AE963" s="58"/>
      <c r="AF963" s="58"/>
      <c r="AG963" s="58"/>
      <c r="AH963" s="58"/>
      <c r="AI963" s="58"/>
      <c r="AJ963" s="58"/>
      <c r="AK963" s="58"/>
      <c r="AL963" s="58"/>
      <c r="AM963" s="58"/>
      <c r="AN963" s="58"/>
      <c r="AO963" s="58"/>
      <c r="AP963" s="58"/>
      <c r="AQ963" s="58"/>
      <c r="AR963" s="58"/>
    </row>
    <row r="964" spans="1:44" ht="15.75" customHeight="1" x14ac:dyDescent="0.25">
      <c r="A964" s="64"/>
      <c r="B964" s="62"/>
      <c r="C964" s="62"/>
      <c r="D964" s="62"/>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c r="AE964" s="58"/>
      <c r="AF964" s="58"/>
      <c r="AG964" s="58"/>
      <c r="AH964" s="58"/>
      <c r="AI964" s="58"/>
      <c r="AJ964" s="58"/>
      <c r="AK964" s="58"/>
      <c r="AL964" s="58"/>
      <c r="AM964" s="58"/>
      <c r="AN964" s="58"/>
      <c r="AO964" s="58"/>
      <c r="AP964" s="58"/>
      <c r="AQ964" s="58"/>
      <c r="AR964" s="58"/>
    </row>
    <row r="965" spans="1:44" ht="15.75" customHeight="1" x14ac:dyDescent="0.25">
      <c r="A965" s="64"/>
      <c r="B965" s="62"/>
      <c r="C965" s="62"/>
      <c r="D965" s="62"/>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c r="AE965" s="58"/>
      <c r="AF965" s="58"/>
      <c r="AG965" s="58"/>
      <c r="AH965" s="58"/>
      <c r="AI965" s="58"/>
      <c r="AJ965" s="58"/>
      <c r="AK965" s="58"/>
      <c r="AL965" s="58"/>
      <c r="AM965" s="58"/>
      <c r="AN965" s="58"/>
      <c r="AO965" s="58"/>
      <c r="AP965" s="58"/>
      <c r="AQ965" s="58"/>
      <c r="AR965" s="58"/>
    </row>
    <row r="966" spans="1:44" ht="15.75" customHeight="1" x14ac:dyDescent="0.25">
      <c r="A966" s="64"/>
      <c r="B966" s="62"/>
      <c r="C966" s="62"/>
      <c r="D966" s="62"/>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c r="AE966" s="58"/>
      <c r="AF966" s="58"/>
      <c r="AG966" s="58"/>
      <c r="AH966" s="58"/>
      <c r="AI966" s="58"/>
      <c r="AJ966" s="58"/>
      <c r="AK966" s="58"/>
      <c r="AL966" s="58"/>
      <c r="AM966" s="58"/>
      <c r="AN966" s="58"/>
      <c r="AO966" s="58"/>
      <c r="AP966" s="58"/>
      <c r="AQ966" s="58"/>
      <c r="AR966" s="58"/>
    </row>
    <row r="967" spans="1:44" ht="15.75" customHeight="1" x14ac:dyDescent="0.25">
      <c r="A967" s="64"/>
      <c r="B967" s="62"/>
      <c r="C967" s="62"/>
      <c r="D967" s="62"/>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c r="AE967" s="58"/>
      <c r="AF967" s="58"/>
      <c r="AG967" s="58"/>
      <c r="AH967" s="58"/>
      <c r="AI967" s="58"/>
      <c r="AJ967" s="58"/>
      <c r="AK967" s="58"/>
      <c r="AL967" s="58"/>
      <c r="AM967" s="58"/>
      <c r="AN967" s="58"/>
      <c r="AO967" s="58"/>
      <c r="AP967" s="58"/>
      <c r="AQ967" s="58"/>
      <c r="AR967" s="58"/>
    </row>
    <row r="968" spans="1:44" ht="15.75" customHeight="1" x14ac:dyDescent="0.25">
      <c r="A968" s="64"/>
      <c r="B968" s="62"/>
      <c r="C968" s="62"/>
      <c r="D968" s="62"/>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c r="AE968" s="58"/>
      <c r="AF968" s="58"/>
      <c r="AG968" s="58"/>
      <c r="AH968" s="58"/>
      <c r="AI968" s="58"/>
      <c r="AJ968" s="58"/>
      <c r="AK968" s="58"/>
      <c r="AL968" s="58"/>
      <c r="AM968" s="58"/>
      <c r="AN968" s="58"/>
      <c r="AO968" s="58"/>
      <c r="AP968" s="58"/>
      <c r="AQ968" s="58"/>
      <c r="AR968" s="58"/>
    </row>
    <row r="969" spans="1:44" ht="15.75" customHeight="1" x14ac:dyDescent="0.25">
      <c r="A969" s="64"/>
      <c r="B969" s="62"/>
      <c r="C969" s="62"/>
      <c r="D969" s="62"/>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c r="AE969" s="58"/>
      <c r="AF969" s="58"/>
      <c r="AG969" s="58"/>
      <c r="AH969" s="58"/>
      <c r="AI969" s="58"/>
      <c r="AJ969" s="58"/>
      <c r="AK969" s="58"/>
      <c r="AL969" s="58"/>
      <c r="AM969" s="58"/>
      <c r="AN969" s="58"/>
      <c r="AO969" s="58"/>
      <c r="AP969" s="58"/>
      <c r="AQ969" s="58"/>
      <c r="AR969" s="58"/>
    </row>
    <row r="970" spans="1:44" ht="15.75" customHeight="1" x14ac:dyDescent="0.25">
      <c r="A970" s="64"/>
      <c r="B970" s="62"/>
      <c r="C970" s="62"/>
      <c r="D970" s="62"/>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c r="AE970" s="58"/>
      <c r="AF970" s="58"/>
      <c r="AG970" s="58"/>
      <c r="AH970" s="58"/>
      <c r="AI970" s="58"/>
      <c r="AJ970" s="58"/>
      <c r="AK970" s="58"/>
      <c r="AL970" s="58"/>
      <c r="AM970" s="58"/>
      <c r="AN970" s="58"/>
      <c r="AO970" s="58"/>
      <c r="AP970" s="58"/>
      <c r="AQ970" s="58"/>
      <c r="AR970" s="58"/>
    </row>
    <row r="971" spans="1:44" ht="15.75" customHeight="1" x14ac:dyDescent="0.25">
      <c r="A971" s="64"/>
      <c r="B971" s="62"/>
      <c r="C971" s="62"/>
      <c r="D971" s="62"/>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c r="AE971" s="58"/>
      <c r="AF971" s="58"/>
      <c r="AG971" s="58"/>
      <c r="AH971" s="58"/>
      <c r="AI971" s="58"/>
      <c r="AJ971" s="58"/>
      <c r="AK971" s="58"/>
      <c r="AL971" s="58"/>
      <c r="AM971" s="58"/>
      <c r="AN971" s="58"/>
      <c r="AO971" s="58"/>
      <c r="AP971" s="58"/>
      <c r="AQ971" s="58"/>
      <c r="AR971" s="58"/>
    </row>
    <row r="972" spans="1:44" ht="15.75" customHeight="1" x14ac:dyDescent="0.25">
      <c r="A972" s="64"/>
      <c r="B972" s="62"/>
      <c r="C972" s="62"/>
      <c r="D972" s="62"/>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c r="AE972" s="58"/>
      <c r="AF972" s="58"/>
      <c r="AG972" s="58"/>
      <c r="AH972" s="58"/>
      <c r="AI972" s="58"/>
      <c r="AJ972" s="58"/>
      <c r="AK972" s="58"/>
      <c r="AL972" s="58"/>
      <c r="AM972" s="58"/>
      <c r="AN972" s="58"/>
      <c r="AO972" s="58"/>
      <c r="AP972" s="58"/>
      <c r="AQ972" s="58"/>
      <c r="AR972" s="58"/>
    </row>
    <row r="973" spans="1:44" ht="15.75" customHeight="1" x14ac:dyDescent="0.25">
      <c r="A973" s="64"/>
      <c r="B973" s="62"/>
      <c r="C973" s="62"/>
      <c r="D973" s="62"/>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c r="AE973" s="58"/>
      <c r="AF973" s="58"/>
      <c r="AG973" s="58"/>
      <c r="AH973" s="58"/>
      <c r="AI973" s="58"/>
      <c r="AJ973" s="58"/>
      <c r="AK973" s="58"/>
      <c r="AL973" s="58"/>
      <c r="AM973" s="58"/>
      <c r="AN973" s="58"/>
      <c r="AO973" s="58"/>
      <c r="AP973" s="58"/>
      <c r="AQ973" s="58"/>
      <c r="AR973" s="58"/>
    </row>
    <row r="974" spans="1:44" ht="15.75" customHeight="1" x14ac:dyDescent="0.25">
      <c r="A974" s="64"/>
      <c r="B974" s="62"/>
      <c r="C974" s="62"/>
      <c r="D974" s="62"/>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c r="AE974" s="58"/>
      <c r="AF974" s="58"/>
      <c r="AG974" s="58"/>
      <c r="AH974" s="58"/>
      <c r="AI974" s="58"/>
      <c r="AJ974" s="58"/>
      <c r="AK974" s="58"/>
      <c r="AL974" s="58"/>
      <c r="AM974" s="58"/>
      <c r="AN974" s="58"/>
      <c r="AO974" s="58"/>
      <c r="AP974" s="58"/>
      <c r="AQ974" s="58"/>
      <c r="AR974" s="58"/>
    </row>
    <row r="975" spans="1:44" ht="15.75" customHeight="1" x14ac:dyDescent="0.25">
      <c r="A975" s="64"/>
      <c r="B975" s="62"/>
      <c r="C975" s="62"/>
      <c r="D975" s="62"/>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c r="AE975" s="58"/>
      <c r="AF975" s="58"/>
      <c r="AG975" s="58"/>
      <c r="AH975" s="58"/>
      <c r="AI975" s="58"/>
      <c r="AJ975" s="58"/>
      <c r="AK975" s="58"/>
      <c r="AL975" s="58"/>
      <c r="AM975" s="58"/>
      <c r="AN975" s="58"/>
      <c r="AO975" s="58"/>
      <c r="AP975" s="58"/>
      <c r="AQ975" s="58"/>
      <c r="AR975" s="58"/>
    </row>
    <row r="976" spans="1:44" ht="15.75" customHeight="1" x14ac:dyDescent="0.25">
      <c r="A976" s="64"/>
      <c r="B976" s="62"/>
      <c r="C976" s="62"/>
      <c r="D976" s="62"/>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c r="AE976" s="58"/>
      <c r="AF976" s="58"/>
      <c r="AG976" s="58"/>
      <c r="AH976" s="58"/>
      <c r="AI976" s="58"/>
      <c r="AJ976" s="58"/>
      <c r="AK976" s="58"/>
      <c r="AL976" s="58"/>
      <c r="AM976" s="58"/>
      <c r="AN976" s="58"/>
      <c r="AO976" s="58"/>
      <c r="AP976" s="58"/>
      <c r="AQ976" s="58"/>
      <c r="AR976" s="58"/>
    </row>
    <row r="977" spans="1:44" ht="15.75" customHeight="1" x14ac:dyDescent="0.25">
      <c r="A977" s="64"/>
      <c r="B977" s="62"/>
      <c r="C977" s="62"/>
      <c r="D977" s="62"/>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c r="AE977" s="58"/>
      <c r="AF977" s="58"/>
      <c r="AG977" s="58"/>
      <c r="AH977" s="58"/>
      <c r="AI977" s="58"/>
      <c r="AJ977" s="58"/>
      <c r="AK977" s="58"/>
      <c r="AL977" s="58"/>
      <c r="AM977" s="58"/>
      <c r="AN977" s="58"/>
      <c r="AO977" s="58"/>
      <c r="AP977" s="58"/>
      <c r="AQ977" s="58"/>
      <c r="AR977" s="58"/>
    </row>
    <row r="978" spans="1:44" ht="15.75" customHeight="1" x14ac:dyDescent="0.25">
      <c r="A978" s="64"/>
      <c r="B978" s="62"/>
      <c r="C978" s="62"/>
      <c r="D978" s="62"/>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c r="AE978" s="58"/>
      <c r="AF978" s="58"/>
      <c r="AG978" s="58"/>
      <c r="AH978" s="58"/>
      <c r="AI978" s="58"/>
      <c r="AJ978" s="58"/>
      <c r="AK978" s="58"/>
      <c r="AL978" s="58"/>
      <c r="AM978" s="58"/>
      <c r="AN978" s="58"/>
      <c r="AO978" s="58"/>
      <c r="AP978" s="58"/>
      <c r="AQ978" s="58"/>
      <c r="AR978" s="58"/>
    </row>
    <row r="979" spans="1:44" ht="15.75" customHeight="1" x14ac:dyDescent="0.25">
      <c r="A979" s="64"/>
      <c r="B979" s="62"/>
      <c r="C979" s="62"/>
      <c r="D979" s="62"/>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c r="AE979" s="58"/>
      <c r="AF979" s="58"/>
      <c r="AG979" s="58"/>
      <c r="AH979" s="58"/>
      <c r="AI979" s="58"/>
      <c r="AJ979" s="58"/>
      <c r="AK979" s="58"/>
      <c r="AL979" s="58"/>
      <c r="AM979" s="58"/>
      <c r="AN979" s="58"/>
      <c r="AO979" s="58"/>
      <c r="AP979" s="58"/>
      <c r="AQ979" s="58"/>
      <c r="AR979" s="58"/>
    </row>
    <row r="980" spans="1:44" ht="15.75" customHeight="1" x14ac:dyDescent="0.25">
      <c r="A980" s="64"/>
      <c r="B980" s="62"/>
      <c r="C980" s="62"/>
      <c r="D980" s="62"/>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c r="AE980" s="58"/>
      <c r="AF980" s="58"/>
      <c r="AG980" s="58"/>
      <c r="AH980" s="58"/>
      <c r="AI980" s="58"/>
      <c r="AJ980" s="58"/>
      <c r="AK980" s="58"/>
      <c r="AL980" s="58"/>
      <c r="AM980" s="58"/>
      <c r="AN980" s="58"/>
      <c r="AO980" s="58"/>
      <c r="AP980" s="58"/>
      <c r="AQ980" s="58"/>
      <c r="AR980" s="58"/>
    </row>
    <row r="981" spans="1:44" ht="15.75" customHeight="1" x14ac:dyDescent="0.25">
      <c r="A981" s="64"/>
      <c r="B981" s="62"/>
      <c r="C981" s="62"/>
      <c r="D981" s="62"/>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c r="AE981" s="58"/>
      <c r="AF981" s="58"/>
      <c r="AG981" s="58"/>
      <c r="AH981" s="58"/>
      <c r="AI981" s="58"/>
      <c r="AJ981" s="58"/>
      <c r="AK981" s="58"/>
      <c r="AL981" s="58"/>
      <c r="AM981" s="58"/>
      <c r="AN981" s="58"/>
      <c r="AO981" s="58"/>
      <c r="AP981" s="58"/>
      <c r="AQ981" s="58"/>
      <c r="AR981" s="58"/>
    </row>
    <row r="982" spans="1:44" ht="15.75" customHeight="1" x14ac:dyDescent="0.25">
      <c r="A982" s="64"/>
      <c r="B982" s="62"/>
      <c r="C982" s="62"/>
      <c r="D982" s="62"/>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c r="AE982" s="58"/>
      <c r="AF982" s="58"/>
      <c r="AG982" s="58"/>
      <c r="AH982" s="58"/>
      <c r="AI982" s="58"/>
      <c r="AJ982" s="58"/>
      <c r="AK982" s="58"/>
      <c r="AL982" s="58"/>
      <c r="AM982" s="58"/>
      <c r="AN982" s="58"/>
      <c r="AO982" s="58"/>
      <c r="AP982" s="58"/>
      <c r="AQ982" s="58"/>
      <c r="AR982" s="58"/>
    </row>
    <row r="983" spans="1:44" ht="15.75" customHeight="1" x14ac:dyDescent="0.25">
      <c r="A983" s="64"/>
      <c r="B983" s="62"/>
      <c r="C983" s="62"/>
      <c r="D983" s="62"/>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c r="AE983" s="58"/>
      <c r="AF983" s="58"/>
      <c r="AG983" s="58"/>
      <c r="AH983" s="58"/>
      <c r="AI983" s="58"/>
      <c r="AJ983" s="58"/>
      <c r="AK983" s="58"/>
      <c r="AL983" s="58"/>
      <c r="AM983" s="58"/>
      <c r="AN983" s="58"/>
      <c r="AO983" s="58"/>
      <c r="AP983" s="58"/>
      <c r="AQ983" s="58"/>
      <c r="AR983" s="58"/>
    </row>
    <row r="984" spans="1:44" ht="15.75" customHeight="1" x14ac:dyDescent="0.25">
      <c r="A984" s="64"/>
      <c r="B984" s="62"/>
      <c r="C984" s="62"/>
      <c r="D984" s="62"/>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c r="AE984" s="58"/>
      <c r="AF984" s="58"/>
      <c r="AG984" s="58"/>
      <c r="AH984" s="58"/>
      <c r="AI984" s="58"/>
      <c r="AJ984" s="58"/>
      <c r="AK984" s="58"/>
      <c r="AL984" s="58"/>
      <c r="AM984" s="58"/>
      <c r="AN984" s="58"/>
      <c r="AO984" s="58"/>
      <c r="AP984" s="58"/>
      <c r="AQ984" s="58"/>
      <c r="AR984" s="58"/>
    </row>
    <row r="985" spans="1:44" ht="15.75" customHeight="1" x14ac:dyDescent="0.25">
      <c r="A985" s="64"/>
      <c r="B985" s="62"/>
      <c r="C985" s="62"/>
      <c r="D985" s="62"/>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c r="AE985" s="58"/>
      <c r="AF985" s="58"/>
      <c r="AG985" s="58"/>
      <c r="AH985" s="58"/>
      <c r="AI985" s="58"/>
      <c r="AJ985" s="58"/>
      <c r="AK985" s="58"/>
      <c r="AL985" s="58"/>
      <c r="AM985" s="58"/>
      <c r="AN985" s="58"/>
      <c r="AO985" s="58"/>
      <c r="AP985" s="58"/>
      <c r="AQ985" s="58"/>
      <c r="AR985" s="58"/>
    </row>
    <row r="986" spans="1:44" ht="15.75" customHeight="1" x14ac:dyDescent="0.25">
      <c r="A986" s="64"/>
      <c r="B986" s="62"/>
      <c r="C986" s="62"/>
      <c r="D986" s="62"/>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c r="AE986" s="58"/>
      <c r="AF986" s="58"/>
      <c r="AG986" s="58"/>
      <c r="AH986" s="58"/>
      <c r="AI986" s="58"/>
      <c r="AJ986" s="58"/>
      <c r="AK986" s="58"/>
      <c r="AL986" s="58"/>
      <c r="AM986" s="58"/>
      <c r="AN986" s="58"/>
      <c r="AO986" s="58"/>
      <c r="AP986" s="58"/>
      <c r="AQ986" s="58"/>
      <c r="AR986" s="58"/>
    </row>
    <row r="987" spans="1:44" ht="15.75" customHeight="1" x14ac:dyDescent="0.25">
      <c r="A987" s="64"/>
      <c r="B987" s="62"/>
      <c r="C987" s="62"/>
      <c r="D987" s="62"/>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c r="AE987" s="58"/>
      <c r="AF987" s="58"/>
      <c r="AG987" s="58"/>
      <c r="AH987" s="58"/>
      <c r="AI987" s="58"/>
      <c r="AJ987" s="58"/>
      <c r="AK987" s="58"/>
      <c r="AL987" s="58"/>
      <c r="AM987" s="58"/>
      <c r="AN987" s="58"/>
      <c r="AO987" s="58"/>
      <c r="AP987" s="58"/>
      <c r="AQ987" s="58"/>
      <c r="AR987" s="58"/>
    </row>
    <row r="988" spans="1:44" ht="15.75" customHeight="1" x14ac:dyDescent="0.25">
      <c r="A988" s="64"/>
      <c r="B988" s="62"/>
      <c r="C988" s="62"/>
      <c r="D988" s="62"/>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c r="AE988" s="58"/>
      <c r="AF988" s="58"/>
      <c r="AG988" s="58"/>
      <c r="AH988" s="58"/>
      <c r="AI988" s="58"/>
      <c r="AJ988" s="58"/>
      <c r="AK988" s="58"/>
      <c r="AL988" s="58"/>
      <c r="AM988" s="58"/>
      <c r="AN988" s="58"/>
      <c r="AO988" s="58"/>
      <c r="AP988" s="58"/>
      <c r="AQ988" s="58"/>
      <c r="AR988" s="58"/>
    </row>
    <row r="989" spans="1:44" ht="15.75" customHeight="1" x14ac:dyDescent="0.25">
      <c r="A989" s="64"/>
      <c r="B989" s="62"/>
      <c r="C989" s="62"/>
      <c r="D989" s="62"/>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c r="AE989" s="58"/>
      <c r="AF989" s="58"/>
      <c r="AG989" s="58"/>
      <c r="AH989" s="58"/>
      <c r="AI989" s="58"/>
      <c r="AJ989" s="58"/>
      <c r="AK989" s="58"/>
      <c r="AL989" s="58"/>
      <c r="AM989" s="58"/>
      <c r="AN989" s="58"/>
      <c r="AO989" s="58"/>
      <c r="AP989" s="58"/>
      <c r="AQ989" s="58"/>
      <c r="AR989" s="58"/>
    </row>
    <row r="990" spans="1:44" ht="15.75" customHeight="1" x14ac:dyDescent="0.25">
      <c r="A990" s="64"/>
      <c r="B990" s="62"/>
      <c r="C990" s="62"/>
      <c r="D990" s="62"/>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c r="AE990" s="58"/>
      <c r="AF990" s="58"/>
      <c r="AG990" s="58"/>
      <c r="AH990" s="58"/>
      <c r="AI990" s="58"/>
      <c r="AJ990" s="58"/>
      <c r="AK990" s="58"/>
      <c r="AL990" s="58"/>
      <c r="AM990" s="58"/>
      <c r="AN990" s="58"/>
      <c r="AO990" s="58"/>
      <c r="AP990" s="58"/>
      <c r="AQ990" s="58"/>
      <c r="AR990" s="58"/>
    </row>
    <row r="991" spans="1:44" ht="15.75" customHeight="1" x14ac:dyDescent="0.25">
      <c r="A991" s="64"/>
      <c r="B991" s="62"/>
      <c r="C991" s="62"/>
      <c r="D991" s="62"/>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c r="AE991" s="58"/>
      <c r="AF991" s="58"/>
      <c r="AG991" s="58"/>
      <c r="AH991" s="58"/>
      <c r="AI991" s="58"/>
      <c r="AJ991" s="58"/>
      <c r="AK991" s="58"/>
      <c r="AL991" s="58"/>
      <c r="AM991" s="58"/>
      <c r="AN991" s="58"/>
      <c r="AO991" s="58"/>
      <c r="AP991" s="58"/>
      <c r="AQ991" s="58"/>
      <c r="AR991" s="58"/>
    </row>
    <row r="992" spans="1:44" ht="15.75" customHeight="1" x14ac:dyDescent="0.25">
      <c r="A992" s="64"/>
      <c r="B992" s="62"/>
      <c r="C992" s="62"/>
      <c r="D992" s="62"/>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c r="AE992" s="58"/>
      <c r="AF992" s="58"/>
      <c r="AG992" s="58"/>
      <c r="AH992" s="58"/>
      <c r="AI992" s="58"/>
      <c r="AJ992" s="58"/>
      <c r="AK992" s="58"/>
      <c r="AL992" s="58"/>
      <c r="AM992" s="58"/>
      <c r="AN992" s="58"/>
      <c r="AO992" s="58"/>
      <c r="AP992" s="58"/>
      <c r="AQ992" s="58"/>
      <c r="AR992" s="58"/>
    </row>
    <row r="993" spans="1:44" ht="15.75" customHeight="1" x14ac:dyDescent="0.25">
      <c r="A993" s="64"/>
      <c r="B993" s="62"/>
      <c r="C993" s="62"/>
      <c r="D993" s="62"/>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c r="AE993" s="58"/>
      <c r="AF993" s="58"/>
      <c r="AG993" s="58"/>
      <c r="AH993" s="58"/>
      <c r="AI993" s="58"/>
      <c r="AJ993" s="58"/>
      <c r="AK993" s="58"/>
      <c r="AL993" s="58"/>
      <c r="AM993" s="58"/>
      <c r="AN993" s="58"/>
      <c r="AO993" s="58"/>
      <c r="AP993" s="58"/>
      <c r="AQ993" s="58"/>
      <c r="AR993" s="58"/>
    </row>
    <row r="994" spans="1:44" ht="15.75" customHeight="1" x14ac:dyDescent="0.25">
      <c r="A994" s="64"/>
      <c r="B994" s="62"/>
      <c r="C994" s="62"/>
      <c r="D994" s="62"/>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c r="AE994" s="58"/>
      <c r="AF994" s="58"/>
      <c r="AG994" s="58"/>
      <c r="AH994" s="58"/>
      <c r="AI994" s="58"/>
      <c r="AJ994" s="58"/>
      <c r="AK994" s="58"/>
      <c r="AL994" s="58"/>
      <c r="AM994" s="58"/>
      <c r="AN994" s="58"/>
      <c r="AO994" s="58"/>
      <c r="AP994" s="58"/>
      <c r="AQ994" s="58"/>
      <c r="AR994" s="58"/>
    </row>
    <row r="995" spans="1:44" ht="15.75" customHeight="1" x14ac:dyDescent="0.25">
      <c r="A995" s="64"/>
      <c r="B995" s="62"/>
      <c r="C995" s="62"/>
      <c r="D995" s="62"/>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58"/>
      <c r="AD995" s="58"/>
      <c r="AE995" s="58"/>
      <c r="AF995" s="58"/>
      <c r="AG995" s="58"/>
      <c r="AH995" s="58"/>
      <c r="AI995" s="58"/>
      <c r="AJ995" s="58"/>
      <c r="AK995" s="58"/>
      <c r="AL995" s="58"/>
      <c r="AM995" s="58"/>
      <c r="AN995" s="58"/>
      <c r="AO995" s="58"/>
      <c r="AP995" s="58"/>
      <c r="AQ995" s="58"/>
      <c r="AR995" s="58"/>
    </row>
    <row r="996" spans="1:44" ht="15.75" customHeight="1" x14ac:dyDescent="0.25">
      <c r="A996" s="64"/>
      <c r="B996" s="62"/>
      <c r="C996" s="62"/>
      <c r="D996" s="62"/>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58"/>
      <c r="AD996" s="58"/>
      <c r="AE996" s="58"/>
      <c r="AF996" s="58"/>
      <c r="AG996" s="58"/>
      <c r="AH996" s="58"/>
      <c r="AI996" s="58"/>
      <c r="AJ996" s="58"/>
      <c r="AK996" s="58"/>
      <c r="AL996" s="58"/>
      <c r="AM996" s="58"/>
      <c r="AN996" s="58"/>
      <c r="AO996" s="58"/>
      <c r="AP996" s="58"/>
      <c r="AQ996" s="58"/>
      <c r="AR996" s="58"/>
    </row>
    <row r="997" spans="1:44" ht="15.75" customHeight="1" x14ac:dyDescent="0.25">
      <c r="A997" s="64"/>
      <c r="B997" s="62"/>
      <c r="C997" s="62"/>
      <c r="D997" s="62"/>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58"/>
      <c r="AD997" s="58"/>
      <c r="AE997" s="58"/>
      <c r="AF997" s="58"/>
      <c r="AG997" s="58"/>
      <c r="AH997" s="58"/>
      <c r="AI997" s="58"/>
      <c r="AJ997" s="58"/>
      <c r="AK997" s="58"/>
      <c r="AL997" s="58"/>
      <c r="AM997" s="58"/>
      <c r="AN997" s="58"/>
      <c r="AO997" s="58"/>
      <c r="AP997" s="58"/>
      <c r="AQ997" s="58"/>
      <c r="AR997" s="58"/>
    </row>
    <row r="998" spans="1:44" ht="15.75" customHeight="1" x14ac:dyDescent="0.25">
      <c r="A998" s="64"/>
      <c r="B998" s="62"/>
      <c r="C998" s="62"/>
      <c r="D998" s="62"/>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c r="AC998" s="58"/>
      <c r="AD998" s="58"/>
      <c r="AE998" s="58"/>
      <c r="AF998" s="58"/>
      <c r="AG998" s="58"/>
      <c r="AH998" s="58"/>
      <c r="AI998" s="58"/>
      <c r="AJ998" s="58"/>
      <c r="AK998" s="58"/>
      <c r="AL998" s="58"/>
      <c r="AM998" s="58"/>
      <c r="AN998" s="58"/>
      <c r="AO998" s="58"/>
      <c r="AP998" s="58"/>
      <c r="AQ998" s="58"/>
      <c r="AR998" s="58"/>
    </row>
    <row r="999" spans="1:44" ht="15.75" customHeight="1" x14ac:dyDescent="0.25">
      <c r="A999" s="64"/>
      <c r="B999" s="62"/>
      <c r="C999" s="62"/>
      <c r="D999" s="62"/>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c r="AC999" s="58"/>
      <c r="AD999" s="58"/>
      <c r="AE999" s="58"/>
      <c r="AF999" s="58"/>
      <c r="AG999" s="58"/>
      <c r="AH999" s="58"/>
      <c r="AI999" s="58"/>
      <c r="AJ999" s="58"/>
      <c r="AK999" s="58"/>
      <c r="AL999" s="58"/>
      <c r="AM999" s="58"/>
      <c r="AN999" s="58"/>
      <c r="AO999" s="58"/>
      <c r="AP999" s="58"/>
      <c r="AQ999" s="58"/>
      <c r="AR999" s="58"/>
    </row>
    <row r="1000" spans="1:44" ht="15.75" customHeight="1" x14ac:dyDescent="0.25">
      <c r="A1000" s="64"/>
      <c r="B1000" s="62"/>
      <c r="C1000" s="62"/>
      <c r="D1000" s="62"/>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c r="AC1000" s="58"/>
      <c r="AD1000" s="58"/>
      <c r="AE1000" s="58"/>
      <c r="AF1000" s="58"/>
      <c r="AG1000" s="58"/>
      <c r="AH1000" s="58"/>
      <c r="AI1000" s="58"/>
      <c r="AJ1000" s="58"/>
      <c r="AK1000" s="58"/>
      <c r="AL1000" s="58"/>
      <c r="AM1000" s="58"/>
      <c r="AN1000" s="58"/>
      <c r="AO1000" s="58"/>
      <c r="AP1000" s="58"/>
      <c r="AQ1000" s="58"/>
      <c r="AR1000" s="58"/>
    </row>
    <row r="1001" spans="1:44" ht="15.75" customHeight="1" x14ac:dyDescent="0.25">
      <c r="A1001" s="64"/>
      <c r="B1001" s="62"/>
      <c r="C1001" s="62"/>
      <c r="D1001" s="62"/>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c r="AC1001" s="58"/>
      <c r="AD1001" s="58"/>
      <c r="AE1001" s="58"/>
      <c r="AF1001" s="58"/>
      <c r="AG1001" s="58"/>
      <c r="AH1001" s="58"/>
      <c r="AI1001" s="58"/>
      <c r="AJ1001" s="58"/>
      <c r="AK1001" s="58"/>
      <c r="AL1001" s="58"/>
      <c r="AM1001" s="58"/>
      <c r="AN1001" s="58"/>
      <c r="AO1001" s="58"/>
      <c r="AP1001" s="58"/>
      <c r="AQ1001" s="58"/>
      <c r="AR1001" s="58"/>
    </row>
    <row r="1002" spans="1:44" ht="15.75" customHeight="1" x14ac:dyDescent="0.25">
      <c r="A1002" s="64"/>
      <c r="B1002" s="62"/>
      <c r="C1002" s="62"/>
      <c r="D1002" s="62"/>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c r="AC1002" s="58"/>
      <c r="AD1002" s="58"/>
      <c r="AE1002" s="58"/>
      <c r="AF1002" s="58"/>
      <c r="AG1002" s="58"/>
      <c r="AH1002" s="58"/>
      <c r="AI1002" s="58"/>
      <c r="AJ1002" s="58"/>
      <c r="AK1002" s="58"/>
      <c r="AL1002" s="58"/>
      <c r="AM1002" s="58"/>
      <c r="AN1002" s="58"/>
      <c r="AO1002" s="58"/>
      <c r="AP1002" s="58"/>
      <c r="AQ1002" s="58"/>
      <c r="AR1002" s="58"/>
    </row>
    <row r="1003" spans="1:44" ht="15.75" customHeight="1" x14ac:dyDescent="0.25">
      <c r="A1003" s="64"/>
      <c r="B1003" s="62"/>
      <c r="C1003" s="62"/>
      <c r="D1003" s="62"/>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c r="AC1003" s="58"/>
      <c r="AD1003" s="58"/>
      <c r="AE1003" s="58"/>
      <c r="AF1003" s="58"/>
      <c r="AG1003" s="58"/>
      <c r="AH1003" s="58"/>
      <c r="AI1003" s="58"/>
      <c r="AJ1003" s="58"/>
      <c r="AK1003" s="58"/>
      <c r="AL1003" s="58"/>
      <c r="AM1003" s="58"/>
      <c r="AN1003" s="58"/>
      <c r="AO1003" s="58"/>
      <c r="AP1003" s="58"/>
      <c r="AQ1003" s="58"/>
      <c r="AR1003" s="58"/>
    </row>
  </sheetData>
  <mergeCells count="247">
    <mergeCell ref="A113:O113"/>
    <mergeCell ref="P113:AD113"/>
    <mergeCell ref="AE113:AR113"/>
    <mergeCell ref="B45:M45"/>
    <mergeCell ref="A106:O111"/>
    <mergeCell ref="P106:AD111"/>
    <mergeCell ref="AE106:AR111"/>
    <mergeCell ref="A112:O112"/>
    <mergeCell ref="P112:AD112"/>
    <mergeCell ref="AE112:AR112"/>
    <mergeCell ref="AH99:AO101"/>
    <mergeCell ref="A100:J100"/>
    <mergeCell ref="N100:U101"/>
    <mergeCell ref="B103:AR103"/>
    <mergeCell ref="A105:O105"/>
    <mergeCell ref="P105:AD105"/>
    <mergeCell ref="AE105:AR105"/>
    <mergeCell ref="A90:O90"/>
    <mergeCell ref="P90:AD90"/>
    <mergeCell ref="AE90:AR90"/>
    <mergeCell ref="A92:AR92"/>
    <mergeCell ref="B94:AR94"/>
    <mergeCell ref="A96:K96"/>
    <mergeCell ref="N96:U97"/>
    <mergeCell ref="AH96:AO98"/>
    <mergeCell ref="A98:J98"/>
    <mergeCell ref="N98:U99"/>
    <mergeCell ref="A83:O88"/>
    <mergeCell ref="P83:AD88"/>
    <mergeCell ref="AE83:AR88"/>
    <mergeCell ref="A89:O89"/>
    <mergeCell ref="P89:AD89"/>
    <mergeCell ref="AE89:AR89"/>
    <mergeCell ref="A77:M78"/>
    <mergeCell ref="N77:O78"/>
    <mergeCell ref="P77:AJ78"/>
    <mergeCell ref="AK77:AR78"/>
    <mergeCell ref="A82:O82"/>
    <mergeCell ref="P82:AD82"/>
    <mergeCell ref="AE82:AR82"/>
    <mergeCell ref="A75:A76"/>
    <mergeCell ref="B75:K76"/>
    <mergeCell ref="L75:M76"/>
    <mergeCell ref="N75:O76"/>
    <mergeCell ref="P75:AJ76"/>
    <mergeCell ref="AK75:AR76"/>
    <mergeCell ref="A73:A74"/>
    <mergeCell ref="B73:K74"/>
    <mergeCell ref="L73:M74"/>
    <mergeCell ref="N73:O74"/>
    <mergeCell ref="P73:AJ74"/>
    <mergeCell ref="AK73:AR74"/>
    <mergeCell ref="A71:A72"/>
    <mergeCell ref="B71:K72"/>
    <mergeCell ref="L71:M72"/>
    <mergeCell ref="N71:O72"/>
    <mergeCell ref="P71:AJ72"/>
    <mergeCell ref="AK71:AR72"/>
    <mergeCell ref="A69:A70"/>
    <mergeCell ref="B69:K70"/>
    <mergeCell ref="L69:M70"/>
    <mergeCell ref="N69:O70"/>
    <mergeCell ref="P69:AJ70"/>
    <mergeCell ref="AK69:AR70"/>
    <mergeCell ref="A61:AR61"/>
    <mergeCell ref="A66:A68"/>
    <mergeCell ref="B66:K68"/>
    <mergeCell ref="L66:M68"/>
    <mergeCell ref="N66:O68"/>
    <mergeCell ref="P66:AJ68"/>
    <mergeCell ref="AK66:AR68"/>
    <mergeCell ref="AC56:AF57"/>
    <mergeCell ref="AG56:AJ57"/>
    <mergeCell ref="AK56:AN57"/>
    <mergeCell ref="AO56:AR57"/>
    <mergeCell ref="AC58:AF59"/>
    <mergeCell ref="AG58:AJ59"/>
    <mergeCell ref="AK58:AN59"/>
    <mergeCell ref="AO58:AR59"/>
    <mergeCell ref="AO52:AP53"/>
    <mergeCell ref="AQ52:AR53"/>
    <mergeCell ref="AC54:AD55"/>
    <mergeCell ref="AE54:AF55"/>
    <mergeCell ref="AG54:AH55"/>
    <mergeCell ref="AI54:AJ55"/>
    <mergeCell ref="AK54:AL55"/>
    <mergeCell ref="AM54:AN55"/>
    <mergeCell ref="AO54:AP55"/>
    <mergeCell ref="AQ54:AR55"/>
    <mergeCell ref="AC52:AD53"/>
    <mergeCell ref="AE52:AF53"/>
    <mergeCell ref="AG52:AH53"/>
    <mergeCell ref="AI52:AJ53"/>
    <mergeCell ref="AK52:AL53"/>
    <mergeCell ref="AM52:AN53"/>
    <mergeCell ref="AI47:AJ48"/>
    <mergeCell ref="AK47:AL48"/>
    <mergeCell ref="AM47:AN48"/>
    <mergeCell ref="AO47:AP48"/>
    <mergeCell ref="AQ47:AR48"/>
    <mergeCell ref="A50:Z50"/>
    <mergeCell ref="AC50:AF50"/>
    <mergeCell ref="AG50:AJ50"/>
    <mergeCell ref="AK50:AN50"/>
    <mergeCell ref="AO50:AR50"/>
    <mergeCell ref="AQ43:AR43"/>
    <mergeCell ref="B44:M44"/>
    <mergeCell ref="N44:X44"/>
    <mergeCell ref="B46:M46"/>
    <mergeCell ref="N46:X46"/>
    <mergeCell ref="A47:Z48"/>
    <mergeCell ref="AA47:AB48"/>
    <mergeCell ref="AC47:AD48"/>
    <mergeCell ref="AE47:AF48"/>
    <mergeCell ref="AG47:AH48"/>
    <mergeCell ref="AE43:AF43"/>
    <mergeCell ref="AG43:AH43"/>
    <mergeCell ref="AI43:AJ43"/>
    <mergeCell ref="AK43:AL43"/>
    <mergeCell ref="AM43:AN43"/>
    <mergeCell ref="AO43:AP43"/>
    <mergeCell ref="B42:M42"/>
    <mergeCell ref="N42:Z42"/>
    <mergeCell ref="B43:M43"/>
    <mergeCell ref="N43:X43"/>
    <mergeCell ref="AA43:AB43"/>
    <mergeCell ref="AC43:AD43"/>
    <mergeCell ref="AG41:AH41"/>
    <mergeCell ref="AI41:AJ41"/>
    <mergeCell ref="AK41:AL41"/>
    <mergeCell ref="AM41:AN41"/>
    <mergeCell ref="AO41:AP41"/>
    <mergeCell ref="AQ41:AR41"/>
    <mergeCell ref="AI40:AJ40"/>
    <mergeCell ref="AK40:AL40"/>
    <mergeCell ref="AM40:AN40"/>
    <mergeCell ref="AO40:AP40"/>
    <mergeCell ref="AQ40:AR40"/>
    <mergeCell ref="B41:M41"/>
    <mergeCell ref="N41:Z41"/>
    <mergeCell ref="AA41:AB41"/>
    <mergeCell ref="AC41:AD41"/>
    <mergeCell ref="AE41:AF41"/>
    <mergeCell ref="B40:M40"/>
    <mergeCell ref="N40:Z40"/>
    <mergeCell ref="AA40:AB40"/>
    <mergeCell ref="AC40:AD40"/>
    <mergeCell ref="AE40:AF40"/>
    <mergeCell ref="AG40:AH40"/>
    <mergeCell ref="AI38:AJ38"/>
    <mergeCell ref="AK38:AL38"/>
    <mergeCell ref="AM38:AN38"/>
    <mergeCell ref="AO38:AP38"/>
    <mergeCell ref="AQ38:AR38"/>
    <mergeCell ref="B39:M39"/>
    <mergeCell ref="N39:Z39"/>
    <mergeCell ref="B38:M38"/>
    <mergeCell ref="N38:Z38"/>
    <mergeCell ref="AA38:AB38"/>
    <mergeCell ref="AC38:AD38"/>
    <mergeCell ref="AE38:AF38"/>
    <mergeCell ref="AG38:AH38"/>
    <mergeCell ref="AO35:AR35"/>
    <mergeCell ref="AC36:AD37"/>
    <mergeCell ref="AE36:AF37"/>
    <mergeCell ref="AG36:AH37"/>
    <mergeCell ref="AI36:AJ37"/>
    <mergeCell ref="AK36:AL37"/>
    <mergeCell ref="AM36:AN37"/>
    <mergeCell ref="AO36:AP37"/>
    <mergeCell ref="AQ36:AR37"/>
    <mergeCell ref="AO30:AP31"/>
    <mergeCell ref="AQ30:AR31"/>
    <mergeCell ref="A33:AR33"/>
    <mergeCell ref="A35:A37"/>
    <mergeCell ref="B35:M37"/>
    <mergeCell ref="N35:Z37"/>
    <mergeCell ref="AA35:AB37"/>
    <mergeCell ref="AC35:AF35"/>
    <mergeCell ref="AG35:AJ35"/>
    <mergeCell ref="AK35:AN35"/>
    <mergeCell ref="AO27:AP29"/>
    <mergeCell ref="AQ27:AR29"/>
    <mergeCell ref="A30:Z31"/>
    <mergeCell ref="AA30:AB31"/>
    <mergeCell ref="AC30:AD31"/>
    <mergeCell ref="AE30:AF31"/>
    <mergeCell ref="AG30:AH31"/>
    <mergeCell ref="AI30:AJ31"/>
    <mergeCell ref="AK30:AL31"/>
    <mergeCell ref="AM30:AN31"/>
    <mergeCell ref="AO24:AP26"/>
    <mergeCell ref="AQ24:AR26"/>
    <mergeCell ref="A27:Z29"/>
    <mergeCell ref="AA27:AB29"/>
    <mergeCell ref="AC27:AD29"/>
    <mergeCell ref="AE27:AF29"/>
    <mergeCell ref="AG27:AH29"/>
    <mergeCell ref="AI27:AJ29"/>
    <mergeCell ref="AK27:AL29"/>
    <mergeCell ref="AM27:AN29"/>
    <mergeCell ref="AO21:AP23"/>
    <mergeCell ref="AQ21:AR23"/>
    <mergeCell ref="A24:Z26"/>
    <mergeCell ref="AA24:AB26"/>
    <mergeCell ref="AC24:AD26"/>
    <mergeCell ref="AE24:AF26"/>
    <mergeCell ref="AG24:AH26"/>
    <mergeCell ref="AI24:AJ26"/>
    <mergeCell ref="AK24:AL26"/>
    <mergeCell ref="AM24:AN26"/>
    <mergeCell ref="AO18:AP20"/>
    <mergeCell ref="AQ18:AR20"/>
    <mergeCell ref="A21:Z23"/>
    <mergeCell ref="AA21:AB23"/>
    <mergeCell ref="AC21:AD23"/>
    <mergeCell ref="AE21:AF23"/>
    <mergeCell ref="AG21:AH23"/>
    <mergeCell ref="AI21:AJ23"/>
    <mergeCell ref="AK21:AL23"/>
    <mergeCell ref="AM21:AN23"/>
    <mergeCell ref="AO16:AP17"/>
    <mergeCell ref="AQ16:AR17"/>
    <mergeCell ref="A18:Z20"/>
    <mergeCell ref="AA18:AB20"/>
    <mergeCell ref="AC18:AD20"/>
    <mergeCell ref="AE18:AF20"/>
    <mergeCell ref="AG18:AH20"/>
    <mergeCell ref="AI18:AJ20"/>
    <mergeCell ref="AK18:AL20"/>
    <mergeCell ref="AM18:AN20"/>
    <mergeCell ref="AC16:AD17"/>
    <mergeCell ref="AE16:AF17"/>
    <mergeCell ref="AG16:AH17"/>
    <mergeCell ref="AI16:AJ17"/>
    <mergeCell ref="AK16:AL17"/>
    <mergeCell ref="AM16:AN17"/>
    <mergeCell ref="A1:AR2"/>
    <mergeCell ref="A4:N4"/>
    <mergeCell ref="AF11:AG11"/>
    <mergeCell ref="A13:AR13"/>
    <mergeCell ref="A15:Z17"/>
    <mergeCell ref="AA15:AB17"/>
    <mergeCell ref="AC15:AF15"/>
    <mergeCell ref="AG15:AJ15"/>
    <mergeCell ref="AK15:AN15"/>
    <mergeCell ref="AO15:AR15"/>
  </mergeCells>
  <pageMargins left="5.9055118110236227E-2" right="5.9055118110236227E-2" top="5.9055118110236227E-2" bottom="5.9055118110236227E-2" header="0" footer="0"/>
  <pageSetup paperSize="9" orientation="landscape"/>
  <rowBreaks count="1" manualBreakCount="1">
    <brk id="7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25941-1D06-4440-9408-783F3DCF5334}">
  <sheetPr>
    <tabColor rgb="FFFF0000"/>
  </sheetPr>
  <dimension ref="A1:AR1003"/>
  <sheetViews>
    <sheetView showGridLines="0" topLeftCell="A31" workbookViewId="0">
      <selection activeCell="AJ39" sqref="AJ39"/>
    </sheetView>
  </sheetViews>
  <sheetFormatPr defaultColWidth="14.42578125" defaultRowHeight="15" customHeight="1" x14ac:dyDescent="0.25"/>
  <cols>
    <col min="1" max="1" width="5.140625" style="54" customWidth="1"/>
    <col min="2" max="11" width="3.28515625" style="54" customWidth="1"/>
    <col min="12" max="12" width="2.42578125" style="54" customWidth="1"/>
    <col min="13" max="13" width="4.28515625" style="54" customWidth="1"/>
    <col min="14" max="20" width="3.28515625" style="54" customWidth="1"/>
    <col min="21" max="21" width="4.42578125" style="54" customWidth="1"/>
    <col min="22" max="23" width="3.28515625" style="54" customWidth="1"/>
    <col min="24" max="24" width="0.85546875" style="54" customWidth="1"/>
    <col min="25" max="25" width="0.7109375" style="54" hidden="1" customWidth="1"/>
    <col min="26" max="26" width="0.5703125" style="54" hidden="1" customWidth="1"/>
    <col min="27" max="27" width="3.28515625" style="54" customWidth="1"/>
    <col min="28" max="28" width="6" style="54" customWidth="1"/>
    <col min="29" max="29" width="4.28515625" style="54" customWidth="1"/>
    <col min="30" max="30" width="7.5703125" style="54" customWidth="1"/>
    <col min="31" max="44" width="4.28515625" style="54" customWidth="1"/>
    <col min="45" max="16384" width="14.42578125" style="54"/>
  </cols>
  <sheetData>
    <row r="1" spans="1:44" x14ac:dyDescent="0.25">
      <c r="A1" s="138" t="s">
        <v>133</v>
      </c>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row>
    <row r="2" spans="1:44" x14ac:dyDescent="0.25">
      <c r="A2" s="112"/>
      <c r="B2" s="112"/>
      <c r="C2" s="112"/>
      <c r="D2" s="112"/>
      <c r="E2" s="112"/>
      <c r="F2" s="112"/>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2"/>
      <c r="AP2" s="112"/>
      <c r="AQ2" s="112"/>
      <c r="AR2" s="112"/>
    </row>
    <row r="3" spans="1:44" x14ac:dyDescent="0.25">
      <c r="A3" s="55"/>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row>
    <row r="4" spans="1:44" x14ac:dyDescent="0.25">
      <c r="A4" s="139" t="s">
        <v>71</v>
      </c>
      <c r="B4" s="103"/>
      <c r="C4" s="103"/>
      <c r="D4" s="103"/>
      <c r="E4" s="103"/>
      <c r="F4" s="103"/>
      <c r="G4" s="103"/>
      <c r="H4" s="103"/>
      <c r="I4" s="103"/>
      <c r="J4" s="103"/>
      <c r="K4" s="103"/>
      <c r="L4" s="103"/>
      <c r="M4" s="103"/>
      <c r="N4" s="103"/>
      <c r="O4" s="58"/>
      <c r="P4" s="58"/>
      <c r="Q4" s="58"/>
      <c r="R4" s="58"/>
      <c r="S4" s="59"/>
      <c r="T4" s="58"/>
      <c r="U4" s="58"/>
      <c r="V4" s="58"/>
      <c r="W4" s="58"/>
      <c r="X4" s="58"/>
      <c r="Y4" s="58"/>
      <c r="Z4" s="58"/>
      <c r="AA4" s="60" t="s">
        <v>72</v>
      </c>
      <c r="AB4" s="58"/>
      <c r="AC4" s="58"/>
      <c r="AD4" s="58"/>
      <c r="AE4" s="58"/>
      <c r="AF4" s="58"/>
      <c r="AG4" s="58"/>
      <c r="AH4" s="58"/>
      <c r="AI4" s="58"/>
      <c r="AJ4" s="58"/>
      <c r="AK4" s="58"/>
      <c r="AL4" s="58"/>
      <c r="AM4" s="58"/>
      <c r="AN4" s="58"/>
      <c r="AO4" s="58"/>
      <c r="AP4" s="58"/>
      <c r="AQ4" s="58"/>
      <c r="AR4" s="58"/>
    </row>
    <row r="5" spans="1:44" x14ac:dyDescent="0.25">
      <c r="A5" s="61"/>
      <c r="B5" s="62"/>
      <c r="C5" s="62"/>
      <c r="D5" s="62"/>
      <c r="E5" s="58"/>
      <c r="F5" s="58"/>
      <c r="G5" s="58"/>
      <c r="H5" s="58"/>
      <c r="I5" s="58"/>
      <c r="J5" s="58"/>
      <c r="K5" s="58"/>
      <c r="L5" s="58"/>
      <c r="M5" s="58"/>
      <c r="N5" s="58"/>
      <c r="O5" s="58"/>
      <c r="P5" s="58"/>
      <c r="Q5" s="58"/>
      <c r="R5" s="58"/>
      <c r="S5" s="59"/>
      <c r="T5" s="58"/>
      <c r="U5" s="58"/>
      <c r="V5" s="58"/>
      <c r="W5" s="58"/>
      <c r="X5" s="58"/>
      <c r="Y5" s="58"/>
      <c r="Z5" s="58"/>
      <c r="AA5" s="60"/>
      <c r="AB5" s="58"/>
      <c r="AC5" s="58"/>
      <c r="AD5" s="58"/>
      <c r="AE5" s="58"/>
      <c r="AF5" s="58"/>
      <c r="AG5" s="58"/>
      <c r="AH5" s="58"/>
      <c r="AI5" s="58"/>
      <c r="AJ5" s="58"/>
      <c r="AK5" s="58"/>
      <c r="AL5" s="58"/>
      <c r="AM5" s="58"/>
      <c r="AN5" s="58"/>
      <c r="AO5" s="58"/>
      <c r="AP5" s="58"/>
      <c r="AQ5" s="58"/>
      <c r="AR5" s="58"/>
    </row>
    <row r="6" spans="1:44" ht="16.5" customHeight="1" x14ac:dyDescent="0.25">
      <c r="A6" s="63" t="s">
        <v>73</v>
      </c>
      <c r="B6" s="62"/>
      <c r="C6" s="62"/>
      <c r="D6" s="62"/>
      <c r="E6" s="58" t="s">
        <v>137</v>
      </c>
      <c r="F6" s="58"/>
      <c r="G6" s="58"/>
      <c r="H6" s="58"/>
      <c r="I6" s="58"/>
      <c r="J6" s="58"/>
      <c r="K6" s="58"/>
      <c r="L6" s="58"/>
      <c r="M6" s="58"/>
      <c r="N6" s="58"/>
      <c r="O6" s="58"/>
      <c r="P6" s="58"/>
      <c r="Q6" s="58"/>
      <c r="R6" s="58"/>
      <c r="S6" s="58"/>
      <c r="T6" s="58"/>
      <c r="U6" s="58"/>
      <c r="V6" s="58"/>
      <c r="W6" s="58"/>
      <c r="X6" s="58"/>
      <c r="Y6" s="58"/>
      <c r="Z6" s="58"/>
      <c r="AA6" s="58" t="s">
        <v>73</v>
      </c>
      <c r="AB6" s="58"/>
      <c r="AC6" s="58"/>
      <c r="AD6" s="58"/>
      <c r="AE6" s="58" t="s">
        <v>74</v>
      </c>
      <c r="AF6" s="58"/>
      <c r="AG6" s="58"/>
      <c r="AH6" s="58"/>
      <c r="AI6" s="58"/>
      <c r="AJ6" s="58"/>
      <c r="AK6" s="58"/>
      <c r="AL6" s="58"/>
      <c r="AM6" s="58"/>
      <c r="AN6" s="58"/>
      <c r="AO6" s="58"/>
      <c r="AP6" s="58"/>
      <c r="AQ6" s="58"/>
      <c r="AR6" s="58"/>
    </row>
    <row r="7" spans="1:44" ht="16.5" customHeight="1" x14ac:dyDescent="0.25">
      <c r="A7" s="63" t="s">
        <v>76</v>
      </c>
      <c r="B7" s="62"/>
      <c r="C7" s="62"/>
      <c r="D7" s="62"/>
      <c r="E7" s="58" t="s">
        <v>135</v>
      </c>
      <c r="F7" s="58"/>
      <c r="G7" s="58"/>
      <c r="H7" s="58"/>
      <c r="I7" s="58"/>
      <c r="J7" s="58"/>
      <c r="K7" s="58"/>
      <c r="L7" s="58"/>
      <c r="M7" s="58"/>
      <c r="N7" s="58"/>
      <c r="O7" s="58"/>
      <c r="P7" s="58"/>
      <c r="Q7" s="58"/>
      <c r="R7" s="58"/>
      <c r="S7" s="58"/>
      <c r="T7" s="58"/>
      <c r="U7" s="58"/>
      <c r="V7" s="58"/>
      <c r="W7" s="58"/>
      <c r="X7" s="58"/>
      <c r="Y7" s="58"/>
      <c r="Z7" s="58"/>
      <c r="AA7" s="58" t="s">
        <v>76</v>
      </c>
      <c r="AB7" s="58"/>
      <c r="AC7" s="58"/>
      <c r="AD7" s="58"/>
      <c r="AE7" s="58" t="s">
        <v>140</v>
      </c>
      <c r="AF7" s="58"/>
      <c r="AG7" s="58"/>
      <c r="AH7" s="58"/>
      <c r="AI7" s="58"/>
      <c r="AJ7" s="58"/>
      <c r="AK7" s="58"/>
      <c r="AL7" s="58"/>
      <c r="AM7" s="58"/>
      <c r="AN7" s="58"/>
      <c r="AO7" s="58"/>
      <c r="AP7" s="58"/>
      <c r="AQ7" s="58"/>
      <c r="AR7" s="58"/>
    </row>
    <row r="8" spans="1:44" ht="16.5" customHeight="1" x14ac:dyDescent="0.25">
      <c r="A8" s="63" t="s">
        <v>77</v>
      </c>
      <c r="B8" s="62"/>
      <c r="C8" s="62"/>
      <c r="D8" s="62"/>
      <c r="E8" s="58" t="s">
        <v>136</v>
      </c>
      <c r="F8" s="58"/>
      <c r="G8" s="58"/>
      <c r="H8" s="58"/>
      <c r="I8" s="58"/>
      <c r="J8" s="58"/>
      <c r="K8" s="58"/>
      <c r="L8" s="58"/>
      <c r="M8" s="58"/>
      <c r="N8" s="58"/>
      <c r="O8" s="58"/>
      <c r="P8" s="58"/>
      <c r="Q8" s="58"/>
      <c r="R8" s="58"/>
      <c r="S8" s="58"/>
      <c r="T8" s="58"/>
      <c r="U8" s="58"/>
      <c r="V8" s="58"/>
      <c r="W8" s="58"/>
      <c r="X8" s="58"/>
      <c r="Y8" s="58"/>
      <c r="Z8" s="58"/>
      <c r="AA8" s="58" t="s">
        <v>77</v>
      </c>
      <c r="AB8" s="58"/>
      <c r="AC8" s="58"/>
      <c r="AD8" s="58"/>
      <c r="AE8" s="58" t="s">
        <v>141</v>
      </c>
      <c r="AF8" s="58"/>
      <c r="AG8" s="58"/>
      <c r="AH8" s="58"/>
      <c r="AI8" s="58"/>
      <c r="AJ8" s="58"/>
      <c r="AK8" s="58"/>
      <c r="AL8" s="58"/>
      <c r="AM8" s="58"/>
      <c r="AN8" s="58"/>
      <c r="AO8" s="58"/>
      <c r="AP8" s="58"/>
      <c r="AQ8" s="58"/>
      <c r="AR8" s="58"/>
    </row>
    <row r="9" spans="1:44" ht="16.5" customHeight="1" x14ac:dyDescent="0.25">
      <c r="A9" s="63" t="s">
        <v>134</v>
      </c>
      <c r="B9" s="62"/>
      <c r="C9" s="62"/>
      <c r="D9" s="62"/>
      <c r="E9" s="58" t="s">
        <v>79</v>
      </c>
      <c r="F9" s="58"/>
      <c r="G9" s="58"/>
      <c r="H9" s="58"/>
      <c r="I9" s="58"/>
      <c r="J9" s="58"/>
      <c r="K9" s="58"/>
      <c r="L9" s="58"/>
      <c r="M9" s="58"/>
      <c r="N9" s="58"/>
      <c r="O9" s="58"/>
      <c r="P9" s="58"/>
      <c r="Q9" s="58"/>
      <c r="R9" s="58"/>
      <c r="S9" s="58"/>
      <c r="T9" s="58"/>
      <c r="U9" s="58"/>
      <c r="V9" s="58"/>
      <c r="W9" s="58"/>
      <c r="X9" s="58"/>
      <c r="Y9" s="58"/>
      <c r="Z9" s="58"/>
      <c r="AA9" s="58" t="s">
        <v>78</v>
      </c>
      <c r="AB9" s="58"/>
      <c r="AC9" s="58"/>
      <c r="AD9" s="58"/>
      <c r="AE9" s="58" t="s">
        <v>137</v>
      </c>
      <c r="AF9" s="58"/>
      <c r="AG9" s="58"/>
      <c r="AH9" s="58"/>
      <c r="AI9" s="58"/>
      <c r="AJ9" s="58"/>
      <c r="AK9" s="58"/>
      <c r="AL9" s="58"/>
      <c r="AM9" s="58"/>
      <c r="AN9" s="58"/>
      <c r="AO9" s="58"/>
      <c r="AP9" s="58"/>
      <c r="AQ9" s="58"/>
      <c r="AR9" s="58"/>
    </row>
    <row r="10" spans="1:44" ht="16.5" customHeight="1" x14ac:dyDescent="0.25">
      <c r="A10" s="63" t="s">
        <v>138</v>
      </c>
      <c r="B10" s="62"/>
      <c r="C10" s="62"/>
      <c r="D10" s="62"/>
      <c r="E10" s="58" t="s">
        <v>139</v>
      </c>
      <c r="F10" s="58"/>
      <c r="G10" s="58"/>
      <c r="H10" s="58"/>
      <c r="I10" s="58"/>
      <c r="J10" s="58"/>
      <c r="K10" s="58"/>
      <c r="L10" s="58"/>
      <c r="M10" s="58"/>
      <c r="N10" s="58"/>
      <c r="O10" s="58"/>
      <c r="P10" s="58"/>
      <c r="Q10" s="58"/>
      <c r="R10" s="58"/>
      <c r="S10" s="58"/>
      <c r="T10" s="58"/>
      <c r="U10" s="58"/>
      <c r="V10" s="58"/>
      <c r="W10" s="58"/>
      <c r="X10" s="58"/>
      <c r="Y10" s="58"/>
      <c r="Z10" s="58"/>
      <c r="AA10" s="58" t="s">
        <v>80</v>
      </c>
      <c r="AB10" s="58"/>
      <c r="AC10" s="58"/>
      <c r="AD10" s="58"/>
      <c r="AE10" s="58" t="s">
        <v>139</v>
      </c>
      <c r="AF10" s="58"/>
      <c r="AG10" s="58"/>
      <c r="AH10" s="58"/>
      <c r="AI10" s="58"/>
      <c r="AJ10" s="58"/>
      <c r="AK10" s="58"/>
      <c r="AL10" s="58"/>
      <c r="AM10" s="58"/>
      <c r="AN10" s="58"/>
      <c r="AO10" s="58"/>
      <c r="AP10" s="58"/>
      <c r="AQ10" s="58"/>
      <c r="AR10" s="58"/>
    </row>
    <row r="11" spans="1:44" ht="16.5" customHeight="1" x14ac:dyDescent="0.25">
      <c r="A11" s="63" t="s">
        <v>81</v>
      </c>
      <c r="B11" s="62"/>
      <c r="C11" s="62"/>
      <c r="D11" s="62"/>
      <c r="E11" s="58" t="s">
        <v>137</v>
      </c>
      <c r="F11" s="58"/>
      <c r="G11" s="58"/>
      <c r="H11" s="58"/>
      <c r="I11" s="58"/>
      <c r="J11" s="58"/>
      <c r="K11" s="58"/>
      <c r="L11" s="58"/>
      <c r="M11" s="58"/>
      <c r="N11" s="58"/>
      <c r="O11" s="58"/>
      <c r="P11" s="58"/>
      <c r="Q11" s="58"/>
      <c r="R11" s="58"/>
      <c r="S11" s="58"/>
      <c r="T11" s="58"/>
      <c r="U11" s="58"/>
      <c r="V11" s="58"/>
      <c r="W11" s="58"/>
      <c r="X11" s="58"/>
      <c r="Y11" s="58"/>
      <c r="Z11" s="58"/>
      <c r="AA11" s="58" t="s">
        <v>81</v>
      </c>
      <c r="AB11" s="58"/>
      <c r="AC11" s="58"/>
      <c r="AD11" s="58"/>
      <c r="AE11" s="58" t="s">
        <v>75</v>
      </c>
      <c r="AF11" s="140"/>
      <c r="AG11" s="103"/>
      <c r="AH11" s="58"/>
      <c r="AI11" s="58"/>
      <c r="AJ11" s="58"/>
      <c r="AK11" s="58"/>
      <c r="AL11" s="58"/>
      <c r="AM11" s="58"/>
      <c r="AN11" s="58"/>
      <c r="AO11" s="58"/>
      <c r="AP11" s="58"/>
      <c r="AQ11" s="58"/>
      <c r="AR11" s="58"/>
    </row>
    <row r="12" spans="1:44" x14ac:dyDescent="0.25">
      <c r="A12" s="63"/>
      <c r="B12" s="62"/>
      <c r="C12" s="62"/>
      <c r="D12" s="62"/>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row>
    <row r="13" spans="1:44" x14ac:dyDescent="0.25">
      <c r="A13" s="121" t="s">
        <v>82</v>
      </c>
      <c r="B13" s="112"/>
      <c r="C13" s="112"/>
      <c r="D13" s="112"/>
      <c r="E13" s="112"/>
      <c r="F13" s="112"/>
      <c r="G13" s="112"/>
      <c r="H13" s="112"/>
      <c r="I13" s="112"/>
      <c r="J13" s="112"/>
      <c r="K13" s="112"/>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c r="AI13" s="112"/>
      <c r="AJ13" s="112"/>
      <c r="AK13" s="112"/>
      <c r="AL13" s="112"/>
      <c r="AM13" s="112"/>
      <c r="AN13" s="112"/>
      <c r="AO13" s="112"/>
      <c r="AP13" s="112"/>
      <c r="AQ13" s="112"/>
      <c r="AR13" s="112"/>
    </row>
    <row r="14" spans="1:44" ht="8.25" customHeight="1" x14ac:dyDescent="0.25">
      <c r="A14" s="63"/>
      <c r="B14" s="62"/>
      <c r="C14" s="62"/>
      <c r="D14" s="62"/>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row>
    <row r="15" spans="1:44" x14ac:dyDescent="0.25">
      <c r="A15" s="124" t="s">
        <v>83</v>
      </c>
      <c r="B15" s="100"/>
      <c r="C15" s="100"/>
      <c r="D15" s="100"/>
      <c r="E15" s="100"/>
      <c r="F15" s="100"/>
      <c r="G15" s="100"/>
      <c r="H15" s="100"/>
      <c r="I15" s="100"/>
      <c r="J15" s="100"/>
      <c r="K15" s="100"/>
      <c r="L15" s="100"/>
      <c r="M15" s="100"/>
      <c r="N15" s="100"/>
      <c r="O15" s="100"/>
      <c r="P15" s="100"/>
      <c r="Q15" s="100"/>
      <c r="R15" s="100"/>
      <c r="S15" s="100"/>
      <c r="T15" s="100"/>
      <c r="U15" s="100"/>
      <c r="V15" s="100"/>
      <c r="W15" s="100"/>
      <c r="X15" s="100"/>
      <c r="Y15" s="100"/>
      <c r="Z15" s="101"/>
      <c r="AA15" s="125" t="s">
        <v>84</v>
      </c>
      <c r="AB15" s="101"/>
      <c r="AC15" s="135" t="s">
        <v>85</v>
      </c>
      <c r="AD15" s="97"/>
      <c r="AE15" s="97"/>
      <c r="AF15" s="98"/>
      <c r="AG15" s="135" t="s">
        <v>86</v>
      </c>
      <c r="AH15" s="97"/>
      <c r="AI15" s="97"/>
      <c r="AJ15" s="98"/>
      <c r="AK15" s="135" t="s">
        <v>87</v>
      </c>
      <c r="AL15" s="97"/>
      <c r="AM15" s="97"/>
      <c r="AN15" s="98"/>
      <c r="AO15" s="135" t="s">
        <v>88</v>
      </c>
      <c r="AP15" s="97"/>
      <c r="AQ15" s="97"/>
      <c r="AR15" s="98"/>
    </row>
    <row r="16" spans="1:44" ht="15" customHeight="1" x14ac:dyDescent="0.25">
      <c r="A16" s="102"/>
      <c r="B16" s="103"/>
      <c r="C16" s="103"/>
      <c r="D16" s="103"/>
      <c r="E16" s="103"/>
      <c r="F16" s="103"/>
      <c r="G16" s="103"/>
      <c r="H16" s="103"/>
      <c r="I16" s="103"/>
      <c r="J16" s="103"/>
      <c r="K16" s="103"/>
      <c r="L16" s="103"/>
      <c r="M16" s="103"/>
      <c r="N16" s="103"/>
      <c r="O16" s="103"/>
      <c r="P16" s="103"/>
      <c r="Q16" s="103"/>
      <c r="R16" s="103"/>
      <c r="S16" s="103"/>
      <c r="T16" s="103"/>
      <c r="U16" s="103"/>
      <c r="V16" s="103"/>
      <c r="W16" s="103"/>
      <c r="X16" s="103"/>
      <c r="Y16" s="103"/>
      <c r="Z16" s="104"/>
      <c r="AA16" s="102"/>
      <c r="AB16" s="104"/>
      <c r="AC16" s="125" t="s">
        <v>89</v>
      </c>
      <c r="AD16" s="101"/>
      <c r="AE16" s="125" t="s">
        <v>90</v>
      </c>
      <c r="AF16" s="101"/>
      <c r="AG16" s="125" t="s">
        <v>89</v>
      </c>
      <c r="AH16" s="101"/>
      <c r="AI16" s="125" t="s">
        <v>90</v>
      </c>
      <c r="AJ16" s="101"/>
      <c r="AK16" s="125" t="s">
        <v>89</v>
      </c>
      <c r="AL16" s="101"/>
      <c r="AM16" s="125" t="s">
        <v>90</v>
      </c>
      <c r="AN16" s="101"/>
      <c r="AO16" s="125" t="s">
        <v>89</v>
      </c>
      <c r="AP16" s="101"/>
      <c r="AQ16" s="125" t="s">
        <v>90</v>
      </c>
      <c r="AR16" s="101"/>
    </row>
    <row r="17" spans="1:44" x14ac:dyDescent="0.25">
      <c r="A17" s="105"/>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7"/>
      <c r="AA17" s="105"/>
      <c r="AB17" s="107"/>
      <c r="AC17" s="105"/>
      <c r="AD17" s="107"/>
      <c r="AE17" s="105"/>
      <c r="AF17" s="107"/>
      <c r="AG17" s="105"/>
      <c r="AH17" s="107"/>
      <c r="AI17" s="105"/>
      <c r="AJ17" s="107"/>
      <c r="AK17" s="105"/>
      <c r="AL17" s="107"/>
      <c r="AM17" s="105"/>
      <c r="AN17" s="107"/>
      <c r="AO17" s="105"/>
      <c r="AP17" s="107"/>
      <c r="AQ17" s="105"/>
      <c r="AR17" s="107"/>
    </row>
    <row r="18" spans="1:44" ht="15" customHeight="1" x14ac:dyDescent="0.25">
      <c r="A18" s="99" t="s">
        <v>142</v>
      </c>
      <c r="B18" s="100"/>
      <c r="C18" s="100"/>
      <c r="D18" s="100"/>
      <c r="E18" s="100"/>
      <c r="F18" s="100"/>
      <c r="G18" s="100"/>
      <c r="H18" s="100"/>
      <c r="I18" s="100"/>
      <c r="J18" s="100"/>
      <c r="K18" s="100"/>
      <c r="L18" s="100"/>
      <c r="M18" s="100"/>
      <c r="N18" s="100"/>
      <c r="O18" s="100"/>
      <c r="P18" s="100"/>
      <c r="Q18" s="100"/>
      <c r="R18" s="100"/>
      <c r="S18" s="100"/>
      <c r="T18" s="100"/>
      <c r="U18" s="100"/>
      <c r="V18" s="100"/>
      <c r="W18" s="100"/>
      <c r="X18" s="100"/>
      <c r="Y18" s="100"/>
      <c r="Z18" s="101"/>
      <c r="AA18" s="137">
        <v>0.25</v>
      </c>
      <c r="AB18" s="101"/>
      <c r="AC18" s="108"/>
      <c r="AD18" s="101"/>
      <c r="AE18" s="108"/>
      <c r="AF18" s="101"/>
      <c r="AG18" s="108"/>
      <c r="AH18" s="101"/>
      <c r="AI18" s="108"/>
      <c r="AJ18" s="101"/>
      <c r="AK18" s="108">
        <v>5</v>
      </c>
      <c r="AL18" s="101"/>
      <c r="AM18" s="108">
        <v>4</v>
      </c>
      <c r="AN18" s="101"/>
      <c r="AO18" s="108">
        <v>4</v>
      </c>
      <c r="AP18" s="101"/>
      <c r="AQ18" s="108">
        <v>4</v>
      </c>
      <c r="AR18" s="101"/>
    </row>
    <row r="19" spans="1:44" ht="15" customHeight="1" x14ac:dyDescent="0.25">
      <c r="A19" s="102"/>
      <c r="B19" s="103"/>
      <c r="C19" s="103"/>
      <c r="D19" s="103"/>
      <c r="E19" s="103"/>
      <c r="F19" s="103"/>
      <c r="G19" s="103"/>
      <c r="H19" s="103"/>
      <c r="I19" s="103"/>
      <c r="J19" s="103"/>
      <c r="K19" s="103"/>
      <c r="L19" s="103"/>
      <c r="M19" s="103"/>
      <c r="N19" s="103"/>
      <c r="O19" s="103"/>
      <c r="P19" s="103"/>
      <c r="Q19" s="103"/>
      <c r="R19" s="103"/>
      <c r="S19" s="103"/>
      <c r="T19" s="103"/>
      <c r="U19" s="103"/>
      <c r="V19" s="103"/>
      <c r="W19" s="103"/>
      <c r="X19" s="103"/>
      <c r="Y19" s="103"/>
      <c r="Z19" s="104"/>
      <c r="AA19" s="102"/>
      <c r="AB19" s="104"/>
      <c r="AC19" s="102"/>
      <c r="AD19" s="104"/>
      <c r="AE19" s="102"/>
      <c r="AF19" s="104"/>
      <c r="AG19" s="102"/>
      <c r="AH19" s="104"/>
      <c r="AI19" s="102"/>
      <c r="AJ19" s="104"/>
      <c r="AK19" s="102"/>
      <c r="AL19" s="104"/>
      <c r="AM19" s="102"/>
      <c r="AN19" s="104"/>
      <c r="AO19" s="102"/>
      <c r="AP19" s="104"/>
      <c r="AQ19" s="102"/>
      <c r="AR19" s="104"/>
    </row>
    <row r="20" spans="1:44" x14ac:dyDescent="0.25">
      <c r="A20" s="105"/>
      <c r="B20" s="106"/>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7"/>
      <c r="AA20" s="105"/>
      <c r="AB20" s="107"/>
      <c r="AC20" s="105"/>
      <c r="AD20" s="107"/>
      <c r="AE20" s="105"/>
      <c r="AF20" s="107"/>
      <c r="AG20" s="105"/>
      <c r="AH20" s="107"/>
      <c r="AI20" s="105"/>
      <c r="AJ20" s="107"/>
      <c r="AK20" s="105"/>
      <c r="AL20" s="107"/>
      <c r="AM20" s="105"/>
      <c r="AN20" s="107"/>
      <c r="AO20" s="105"/>
      <c r="AP20" s="107"/>
      <c r="AQ20" s="105"/>
      <c r="AR20" s="107"/>
    </row>
    <row r="21" spans="1:44" ht="15.75" customHeight="1" x14ac:dyDescent="0.25">
      <c r="A21" s="99" t="s">
        <v>143</v>
      </c>
      <c r="B21" s="100"/>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1"/>
      <c r="AA21" s="137">
        <v>0.25</v>
      </c>
      <c r="AB21" s="101"/>
      <c r="AC21" s="108"/>
      <c r="AD21" s="101"/>
      <c r="AE21" s="108"/>
      <c r="AF21" s="101"/>
      <c r="AG21" s="108"/>
      <c r="AH21" s="101"/>
      <c r="AI21" s="108"/>
      <c r="AJ21" s="101"/>
      <c r="AK21" s="108">
        <v>5</v>
      </c>
      <c r="AL21" s="101"/>
      <c r="AM21" s="108">
        <v>4</v>
      </c>
      <c r="AN21" s="101"/>
      <c r="AO21" s="108">
        <v>5</v>
      </c>
      <c r="AP21" s="101"/>
      <c r="AQ21" s="108">
        <v>4</v>
      </c>
      <c r="AR21" s="101"/>
    </row>
    <row r="22" spans="1:44" ht="15.75" customHeight="1" x14ac:dyDescent="0.25">
      <c r="A22" s="102"/>
      <c r="B22" s="103"/>
      <c r="C22" s="103"/>
      <c r="D22" s="103"/>
      <c r="E22" s="103"/>
      <c r="F22" s="103"/>
      <c r="G22" s="103"/>
      <c r="H22" s="103"/>
      <c r="I22" s="103"/>
      <c r="J22" s="103"/>
      <c r="K22" s="103"/>
      <c r="L22" s="103"/>
      <c r="M22" s="103"/>
      <c r="N22" s="103"/>
      <c r="O22" s="103"/>
      <c r="P22" s="103"/>
      <c r="Q22" s="103"/>
      <c r="R22" s="103"/>
      <c r="S22" s="103"/>
      <c r="T22" s="103"/>
      <c r="U22" s="103"/>
      <c r="V22" s="103"/>
      <c r="W22" s="103"/>
      <c r="X22" s="103"/>
      <c r="Y22" s="103"/>
      <c r="Z22" s="104"/>
      <c r="AA22" s="102"/>
      <c r="AB22" s="104"/>
      <c r="AC22" s="102"/>
      <c r="AD22" s="104"/>
      <c r="AE22" s="102"/>
      <c r="AF22" s="104"/>
      <c r="AG22" s="102"/>
      <c r="AH22" s="104"/>
      <c r="AI22" s="102"/>
      <c r="AJ22" s="104"/>
      <c r="AK22" s="102"/>
      <c r="AL22" s="104"/>
      <c r="AM22" s="102"/>
      <c r="AN22" s="104"/>
      <c r="AO22" s="102"/>
      <c r="AP22" s="104"/>
      <c r="AQ22" s="102"/>
      <c r="AR22" s="104"/>
    </row>
    <row r="23" spans="1:44" ht="15.75" customHeight="1" x14ac:dyDescent="0.25">
      <c r="A23" s="105"/>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7"/>
      <c r="AA23" s="105"/>
      <c r="AB23" s="107"/>
      <c r="AC23" s="105"/>
      <c r="AD23" s="107"/>
      <c r="AE23" s="105"/>
      <c r="AF23" s="107"/>
      <c r="AG23" s="105"/>
      <c r="AH23" s="107"/>
      <c r="AI23" s="105"/>
      <c r="AJ23" s="107"/>
      <c r="AK23" s="105"/>
      <c r="AL23" s="107"/>
      <c r="AM23" s="105"/>
      <c r="AN23" s="107"/>
      <c r="AO23" s="105"/>
      <c r="AP23" s="107"/>
      <c r="AQ23" s="105"/>
      <c r="AR23" s="107"/>
    </row>
    <row r="24" spans="1:44" ht="15.75" customHeight="1" x14ac:dyDescent="0.25">
      <c r="A24" s="99" t="s">
        <v>144</v>
      </c>
      <c r="B24" s="100"/>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Z24" s="101"/>
      <c r="AA24" s="137">
        <v>0.25</v>
      </c>
      <c r="AB24" s="101"/>
      <c r="AC24" s="108"/>
      <c r="AD24" s="101"/>
      <c r="AE24" s="108"/>
      <c r="AF24" s="101"/>
      <c r="AG24" s="108"/>
      <c r="AH24" s="101"/>
      <c r="AI24" s="108"/>
      <c r="AJ24" s="101"/>
      <c r="AK24" s="108">
        <v>5</v>
      </c>
      <c r="AL24" s="101"/>
      <c r="AM24" s="108">
        <v>4</v>
      </c>
      <c r="AN24" s="101"/>
      <c r="AO24" s="108">
        <v>5</v>
      </c>
      <c r="AP24" s="101"/>
      <c r="AQ24" s="108">
        <v>4</v>
      </c>
      <c r="AR24" s="101"/>
    </row>
    <row r="25" spans="1:44" ht="15.75" customHeight="1" x14ac:dyDescent="0.25">
      <c r="A25" s="102"/>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c r="Z25" s="104"/>
      <c r="AA25" s="102"/>
      <c r="AB25" s="104"/>
      <c r="AC25" s="102"/>
      <c r="AD25" s="104"/>
      <c r="AE25" s="102"/>
      <c r="AF25" s="104"/>
      <c r="AG25" s="102"/>
      <c r="AH25" s="104"/>
      <c r="AI25" s="102"/>
      <c r="AJ25" s="104"/>
      <c r="AK25" s="102"/>
      <c r="AL25" s="104"/>
      <c r="AM25" s="102"/>
      <c r="AN25" s="104"/>
      <c r="AO25" s="102"/>
      <c r="AP25" s="104"/>
      <c r="AQ25" s="102"/>
      <c r="AR25" s="104"/>
    </row>
    <row r="26" spans="1:44" ht="15.75" customHeight="1" x14ac:dyDescent="0.25">
      <c r="A26" s="105"/>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7"/>
      <c r="AA26" s="105"/>
      <c r="AB26" s="107"/>
      <c r="AC26" s="105"/>
      <c r="AD26" s="107"/>
      <c r="AE26" s="105"/>
      <c r="AF26" s="107"/>
      <c r="AG26" s="105"/>
      <c r="AH26" s="107"/>
      <c r="AI26" s="105"/>
      <c r="AJ26" s="107"/>
      <c r="AK26" s="105"/>
      <c r="AL26" s="107"/>
      <c r="AM26" s="105"/>
      <c r="AN26" s="107"/>
      <c r="AO26" s="105"/>
      <c r="AP26" s="107"/>
      <c r="AQ26" s="105"/>
      <c r="AR26" s="107"/>
    </row>
    <row r="27" spans="1:44" ht="15.75" customHeight="1" x14ac:dyDescent="0.25">
      <c r="A27" s="99" t="s">
        <v>152</v>
      </c>
      <c r="B27" s="100"/>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1"/>
      <c r="AA27" s="137">
        <v>0.25</v>
      </c>
      <c r="AB27" s="101"/>
      <c r="AC27" s="108"/>
      <c r="AD27" s="101"/>
      <c r="AE27" s="108"/>
      <c r="AF27" s="101"/>
      <c r="AG27" s="108"/>
      <c r="AH27" s="101"/>
      <c r="AI27" s="108"/>
      <c r="AJ27" s="101"/>
      <c r="AK27" s="108">
        <v>4</v>
      </c>
      <c r="AL27" s="101"/>
      <c r="AM27" s="108">
        <v>4</v>
      </c>
      <c r="AN27" s="101"/>
      <c r="AO27" s="108">
        <v>5</v>
      </c>
      <c r="AP27" s="101"/>
      <c r="AQ27" s="108">
        <v>4</v>
      </c>
      <c r="AR27" s="101"/>
    </row>
    <row r="28" spans="1:44" ht="15.75" customHeight="1" x14ac:dyDescent="0.25">
      <c r="A28" s="102"/>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4"/>
      <c r="AA28" s="102"/>
      <c r="AB28" s="104"/>
      <c r="AC28" s="102"/>
      <c r="AD28" s="104"/>
      <c r="AE28" s="102"/>
      <c r="AF28" s="104"/>
      <c r="AG28" s="102"/>
      <c r="AH28" s="104"/>
      <c r="AI28" s="102"/>
      <c r="AJ28" s="104"/>
      <c r="AK28" s="102"/>
      <c r="AL28" s="104"/>
      <c r="AM28" s="102"/>
      <c r="AN28" s="104"/>
      <c r="AO28" s="102"/>
      <c r="AP28" s="104"/>
      <c r="AQ28" s="102"/>
      <c r="AR28" s="104"/>
    </row>
    <row r="29" spans="1:44" ht="15.75" customHeight="1" x14ac:dyDescent="0.25">
      <c r="A29" s="105"/>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7"/>
      <c r="AA29" s="105"/>
      <c r="AB29" s="107"/>
      <c r="AC29" s="105"/>
      <c r="AD29" s="107"/>
      <c r="AE29" s="105"/>
      <c r="AF29" s="107"/>
      <c r="AG29" s="105"/>
      <c r="AH29" s="107"/>
      <c r="AI29" s="105"/>
      <c r="AJ29" s="107"/>
      <c r="AK29" s="105"/>
      <c r="AL29" s="107"/>
      <c r="AM29" s="105"/>
      <c r="AN29" s="107"/>
      <c r="AO29" s="105"/>
      <c r="AP29" s="107"/>
      <c r="AQ29" s="105"/>
      <c r="AR29" s="107"/>
    </row>
    <row r="30" spans="1:44" ht="15.75" customHeight="1" x14ac:dyDescent="0.25">
      <c r="A30" s="129" t="s">
        <v>91</v>
      </c>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1"/>
      <c r="AA30" s="127">
        <f>SUM(AA18:AB29)</f>
        <v>1</v>
      </c>
      <c r="AB30" s="101"/>
      <c r="AC30" s="127">
        <f>SUMPRODUCT($AA$18:$AB$29,AC18:AD29)/($AA$30*5)</f>
        <v>0</v>
      </c>
      <c r="AD30" s="101"/>
      <c r="AE30" s="127">
        <f>SUMPRODUCT($AA$18:$AB$29,AE18:AF29)/($AA$30*5)</f>
        <v>0</v>
      </c>
      <c r="AF30" s="101"/>
      <c r="AG30" s="127">
        <f>SUMPRODUCT($AA$18:$AB$29,AG18:AH29)/($AA$30*5)</f>
        <v>0</v>
      </c>
      <c r="AH30" s="101"/>
      <c r="AI30" s="127">
        <f>SUMPRODUCT($AA$18:$AB$29,AI18:AJ29)/($AA$30*5)</f>
        <v>0</v>
      </c>
      <c r="AJ30" s="101"/>
      <c r="AK30" s="127">
        <f>SUMPRODUCT($AA$18:$AB$29,AK18:AL29)/($AA$30*5)</f>
        <v>0.95</v>
      </c>
      <c r="AL30" s="101"/>
      <c r="AM30" s="127">
        <f>SUMPRODUCT($AA$18:$AB$29,AM18:AN29)/($AA$30*5)</f>
        <v>0.8</v>
      </c>
      <c r="AN30" s="101"/>
      <c r="AO30" s="127">
        <f>SUMPRODUCT($AA$18:$AB$29,AO18:AP29)/($AA$30*5)</f>
        <v>0.95</v>
      </c>
      <c r="AP30" s="101"/>
      <c r="AQ30" s="127">
        <f>SUMPRODUCT($AA$18:$AB$29,AQ18:AR29)/($AA$30*5)</f>
        <v>0.8</v>
      </c>
      <c r="AR30" s="101"/>
    </row>
    <row r="31" spans="1:44" ht="15.75" customHeight="1" x14ac:dyDescent="0.25">
      <c r="A31" s="105"/>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7"/>
      <c r="AA31" s="105"/>
      <c r="AB31" s="107"/>
      <c r="AC31" s="105"/>
      <c r="AD31" s="107"/>
      <c r="AE31" s="105"/>
      <c r="AF31" s="107"/>
      <c r="AG31" s="105"/>
      <c r="AH31" s="107"/>
      <c r="AI31" s="105"/>
      <c r="AJ31" s="107"/>
      <c r="AK31" s="105"/>
      <c r="AL31" s="107"/>
      <c r="AM31" s="105"/>
      <c r="AN31" s="107"/>
      <c r="AO31" s="105"/>
      <c r="AP31" s="107"/>
      <c r="AQ31" s="105"/>
      <c r="AR31" s="107"/>
    </row>
    <row r="32" spans="1:44" ht="8.25" customHeight="1" x14ac:dyDescent="0.25">
      <c r="A32" s="63"/>
      <c r="B32" s="62"/>
      <c r="C32" s="62"/>
      <c r="D32" s="62"/>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row>
    <row r="33" spans="1:44" ht="15.75" customHeight="1" x14ac:dyDescent="0.25">
      <c r="A33" s="121" t="s">
        <v>146</v>
      </c>
      <c r="B33" s="112"/>
      <c r="C33" s="112"/>
      <c r="D33" s="112"/>
      <c r="E33" s="112"/>
      <c r="F33" s="112"/>
      <c r="G33" s="112"/>
      <c r="H33" s="112"/>
      <c r="I33" s="112"/>
      <c r="J33" s="112"/>
      <c r="K33" s="112"/>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row>
    <row r="34" spans="1:44" ht="8.25" customHeight="1" x14ac:dyDescent="0.25">
      <c r="A34" s="63"/>
      <c r="B34" s="62"/>
      <c r="C34" s="62"/>
      <c r="D34" s="62"/>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row>
    <row r="35" spans="1:44" ht="15.75" customHeight="1" x14ac:dyDescent="0.25">
      <c r="A35" s="136" t="s">
        <v>92</v>
      </c>
      <c r="B35" s="124" t="s">
        <v>145</v>
      </c>
      <c r="C35" s="100"/>
      <c r="D35" s="100"/>
      <c r="E35" s="100"/>
      <c r="F35" s="100"/>
      <c r="G35" s="100"/>
      <c r="H35" s="100"/>
      <c r="I35" s="100"/>
      <c r="J35" s="100"/>
      <c r="K35" s="100"/>
      <c r="L35" s="100"/>
      <c r="M35" s="101"/>
      <c r="N35" s="125" t="s">
        <v>147</v>
      </c>
      <c r="O35" s="100"/>
      <c r="P35" s="100"/>
      <c r="Q35" s="100"/>
      <c r="R35" s="100"/>
      <c r="S35" s="100"/>
      <c r="T35" s="100"/>
      <c r="U35" s="100"/>
      <c r="V35" s="100"/>
      <c r="W35" s="100"/>
      <c r="X35" s="100"/>
      <c r="Y35" s="100"/>
      <c r="Z35" s="101"/>
      <c r="AA35" s="125" t="s">
        <v>84</v>
      </c>
      <c r="AB35" s="101"/>
      <c r="AC35" s="135" t="s">
        <v>85</v>
      </c>
      <c r="AD35" s="97"/>
      <c r="AE35" s="97"/>
      <c r="AF35" s="98"/>
      <c r="AG35" s="135" t="s">
        <v>86</v>
      </c>
      <c r="AH35" s="97"/>
      <c r="AI35" s="97"/>
      <c r="AJ35" s="98"/>
      <c r="AK35" s="135" t="s">
        <v>87</v>
      </c>
      <c r="AL35" s="97"/>
      <c r="AM35" s="97"/>
      <c r="AN35" s="98"/>
      <c r="AO35" s="135" t="s">
        <v>88</v>
      </c>
      <c r="AP35" s="97"/>
      <c r="AQ35" s="97"/>
      <c r="AR35" s="98"/>
    </row>
    <row r="36" spans="1:44" ht="15" customHeight="1" x14ac:dyDescent="0.25">
      <c r="A36" s="123"/>
      <c r="B36" s="102"/>
      <c r="C36" s="103"/>
      <c r="D36" s="103"/>
      <c r="E36" s="103"/>
      <c r="F36" s="103"/>
      <c r="G36" s="103"/>
      <c r="H36" s="103"/>
      <c r="I36" s="103"/>
      <c r="J36" s="103"/>
      <c r="K36" s="103"/>
      <c r="L36" s="103"/>
      <c r="M36" s="104"/>
      <c r="N36" s="102"/>
      <c r="O36" s="103"/>
      <c r="P36" s="103"/>
      <c r="Q36" s="103"/>
      <c r="R36" s="103"/>
      <c r="S36" s="103"/>
      <c r="T36" s="103"/>
      <c r="U36" s="103"/>
      <c r="V36" s="103"/>
      <c r="W36" s="103"/>
      <c r="X36" s="103"/>
      <c r="Y36" s="103"/>
      <c r="Z36" s="104"/>
      <c r="AA36" s="102"/>
      <c r="AB36" s="104"/>
      <c r="AC36" s="125" t="s">
        <v>89</v>
      </c>
      <c r="AD36" s="101"/>
      <c r="AE36" s="125" t="s">
        <v>90</v>
      </c>
      <c r="AF36" s="101"/>
      <c r="AG36" s="125" t="s">
        <v>89</v>
      </c>
      <c r="AH36" s="101"/>
      <c r="AI36" s="125" t="s">
        <v>90</v>
      </c>
      <c r="AJ36" s="101"/>
      <c r="AK36" s="125" t="s">
        <v>89</v>
      </c>
      <c r="AL36" s="101"/>
      <c r="AM36" s="125" t="s">
        <v>90</v>
      </c>
      <c r="AN36" s="101"/>
      <c r="AO36" s="125" t="s">
        <v>89</v>
      </c>
      <c r="AP36" s="101"/>
      <c r="AQ36" s="125" t="s">
        <v>90</v>
      </c>
      <c r="AR36" s="101"/>
    </row>
    <row r="37" spans="1:44" ht="15.75" customHeight="1" x14ac:dyDescent="0.25">
      <c r="A37" s="119"/>
      <c r="B37" s="105"/>
      <c r="C37" s="106"/>
      <c r="D37" s="106"/>
      <c r="E37" s="106"/>
      <c r="F37" s="106"/>
      <c r="G37" s="106"/>
      <c r="H37" s="106"/>
      <c r="I37" s="106"/>
      <c r="J37" s="106"/>
      <c r="K37" s="106"/>
      <c r="L37" s="106"/>
      <c r="M37" s="107"/>
      <c r="N37" s="105"/>
      <c r="O37" s="106"/>
      <c r="P37" s="106"/>
      <c r="Q37" s="106"/>
      <c r="R37" s="106"/>
      <c r="S37" s="106"/>
      <c r="T37" s="106"/>
      <c r="U37" s="106"/>
      <c r="V37" s="106"/>
      <c r="W37" s="106"/>
      <c r="X37" s="106"/>
      <c r="Y37" s="106"/>
      <c r="Z37" s="107"/>
      <c r="AA37" s="105"/>
      <c r="AB37" s="107"/>
      <c r="AC37" s="105"/>
      <c r="AD37" s="107"/>
      <c r="AE37" s="105"/>
      <c r="AF37" s="107"/>
      <c r="AG37" s="105"/>
      <c r="AH37" s="107"/>
      <c r="AI37" s="105"/>
      <c r="AJ37" s="107"/>
      <c r="AK37" s="105"/>
      <c r="AL37" s="107"/>
      <c r="AM37" s="105"/>
      <c r="AN37" s="107"/>
      <c r="AO37" s="105"/>
      <c r="AP37" s="107"/>
      <c r="AQ37" s="105"/>
      <c r="AR37" s="107"/>
    </row>
    <row r="38" spans="1:44" ht="59.25" customHeight="1" x14ac:dyDescent="0.25">
      <c r="A38" s="70">
        <v>1</v>
      </c>
      <c r="B38" s="131" t="s">
        <v>414</v>
      </c>
      <c r="C38" s="97"/>
      <c r="D38" s="97"/>
      <c r="E38" s="97"/>
      <c r="F38" s="97"/>
      <c r="G38" s="97"/>
      <c r="H38" s="97"/>
      <c r="I38" s="97"/>
      <c r="J38" s="97"/>
      <c r="K38" s="97"/>
      <c r="L38" s="97"/>
      <c r="M38" s="98"/>
      <c r="N38" s="131" t="s">
        <v>149</v>
      </c>
      <c r="O38" s="97"/>
      <c r="P38" s="97"/>
      <c r="Q38" s="97"/>
      <c r="R38" s="97"/>
      <c r="S38" s="97"/>
      <c r="T38" s="97"/>
      <c r="U38" s="97"/>
      <c r="V38" s="97"/>
      <c r="W38" s="97"/>
      <c r="X38" s="97"/>
      <c r="Y38" s="97"/>
      <c r="Z38" s="98"/>
      <c r="AA38" s="132"/>
      <c r="AB38" s="98"/>
      <c r="AC38" s="133"/>
      <c r="AD38" s="98"/>
      <c r="AE38" s="96"/>
      <c r="AF38" s="98"/>
      <c r="AG38" s="96"/>
      <c r="AH38" s="98"/>
      <c r="AI38" s="96"/>
      <c r="AJ38" s="98"/>
      <c r="AK38" s="96">
        <v>4</v>
      </c>
      <c r="AL38" s="98"/>
      <c r="AM38" s="96">
        <v>4</v>
      </c>
      <c r="AN38" s="98"/>
      <c r="AO38" s="96">
        <v>4</v>
      </c>
      <c r="AP38" s="98"/>
      <c r="AQ38" s="96">
        <v>4</v>
      </c>
      <c r="AR38" s="98"/>
    </row>
    <row r="39" spans="1:44" s="57" customFormat="1" ht="59.25" customHeight="1" x14ac:dyDescent="0.25">
      <c r="A39" s="74">
        <v>2</v>
      </c>
      <c r="B39" s="131" t="s">
        <v>397</v>
      </c>
      <c r="C39" s="97"/>
      <c r="D39" s="97"/>
      <c r="E39" s="97"/>
      <c r="F39" s="97"/>
      <c r="G39" s="97"/>
      <c r="H39" s="97"/>
      <c r="I39" s="97"/>
      <c r="J39" s="97"/>
      <c r="K39" s="97"/>
      <c r="L39" s="97"/>
      <c r="M39" s="98"/>
      <c r="N39" s="131" t="s">
        <v>400</v>
      </c>
      <c r="O39" s="97"/>
      <c r="P39" s="97"/>
      <c r="Q39" s="97"/>
      <c r="R39" s="97"/>
      <c r="S39" s="97"/>
      <c r="T39" s="97"/>
      <c r="U39" s="97"/>
      <c r="V39" s="97"/>
      <c r="W39" s="97"/>
      <c r="X39" s="97"/>
      <c r="Y39" s="97"/>
      <c r="Z39" s="98"/>
      <c r="AA39" s="71"/>
      <c r="AB39" s="67"/>
      <c r="AC39" s="72"/>
      <c r="AD39" s="67"/>
      <c r="AE39" s="73"/>
      <c r="AF39" s="67"/>
      <c r="AG39" s="73"/>
      <c r="AH39" s="67"/>
      <c r="AI39" s="73"/>
      <c r="AJ39" s="67"/>
      <c r="AK39" s="73"/>
      <c r="AL39" s="67"/>
      <c r="AM39" s="73"/>
      <c r="AN39" s="67"/>
      <c r="AO39" s="73"/>
      <c r="AP39" s="67"/>
      <c r="AQ39" s="73"/>
      <c r="AR39" s="67"/>
    </row>
    <row r="40" spans="1:44" ht="60.75" customHeight="1" x14ac:dyDescent="0.25">
      <c r="A40" s="70">
        <v>3</v>
      </c>
      <c r="B40" s="130" t="s">
        <v>396</v>
      </c>
      <c r="C40" s="97"/>
      <c r="D40" s="97"/>
      <c r="E40" s="97"/>
      <c r="F40" s="97"/>
      <c r="G40" s="97"/>
      <c r="H40" s="97"/>
      <c r="I40" s="97"/>
      <c r="J40" s="97"/>
      <c r="K40" s="97"/>
      <c r="L40" s="97"/>
      <c r="M40" s="98"/>
      <c r="N40" s="131" t="s">
        <v>401</v>
      </c>
      <c r="O40" s="97"/>
      <c r="P40" s="97"/>
      <c r="Q40" s="97"/>
      <c r="R40" s="97"/>
      <c r="S40" s="97"/>
      <c r="T40" s="97"/>
      <c r="U40" s="97"/>
      <c r="V40" s="97"/>
      <c r="W40" s="97"/>
      <c r="X40" s="97"/>
      <c r="Y40" s="97"/>
      <c r="Z40" s="98"/>
      <c r="AA40" s="132"/>
      <c r="AB40" s="98"/>
      <c r="AC40" s="133"/>
      <c r="AD40" s="98"/>
      <c r="AE40" s="96"/>
      <c r="AF40" s="98"/>
      <c r="AG40" s="96"/>
      <c r="AH40" s="98"/>
      <c r="AI40" s="96"/>
      <c r="AJ40" s="98"/>
      <c r="AK40" s="96">
        <v>5</v>
      </c>
      <c r="AL40" s="98"/>
      <c r="AM40" s="96">
        <v>5</v>
      </c>
      <c r="AN40" s="98"/>
      <c r="AO40" s="96">
        <v>5</v>
      </c>
      <c r="AP40" s="98"/>
      <c r="AQ40" s="96">
        <v>5</v>
      </c>
      <c r="AR40" s="98"/>
    </row>
    <row r="41" spans="1:44" ht="69" customHeight="1" x14ac:dyDescent="0.25">
      <c r="A41" s="74">
        <v>4</v>
      </c>
      <c r="B41" s="134" t="s">
        <v>398</v>
      </c>
      <c r="C41" s="97"/>
      <c r="D41" s="97"/>
      <c r="E41" s="97"/>
      <c r="F41" s="97"/>
      <c r="G41" s="97"/>
      <c r="H41" s="97"/>
      <c r="I41" s="97"/>
      <c r="J41" s="97"/>
      <c r="K41" s="97"/>
      <c r="L41" s="97"/>
      <c r="M41" s="98"/>
      <c r="N41" s="131" t="s">
        <v>402</v>
      </c>
      <c r="O41" s="97"/>
      <c r="P41" s="97"/>
      <c r="Q41" s="97"/>
      <c r="R41" s="97"/>
      <c r="S41" s="97"/>
      <c r="T41" s="97"/>
      <c r="U41" s="97"/>
      <c r="V41" s="97"/>
      <c r="W41" s="97"/>
      <c r="X41" s="97"/>
      <c r="Y41" s="97"/>
      <c r="Z41" s="98"/>
      <c r="AA41" s="132"/>
      <c r="AB41" s="98"/>
      <c r="AC41" s="133"/>
      <c r="AD41" s="98"/>
      <c r="AE41" s="96"/>
      <c r="AF41" s="98"/>
      <c r="AG41" s="96"/>
      <c r="AH41" s="98"/>
      <c r="AI41" s="96"/>
      <c r="AJ41" s="98"/>
      <c r="AK41" s="96">
        <v>5</v>
      </c>
      <c r="AL41" s="98"/>
      <c r="AM41" s="96">
        <v>5</v>
      </c>
      <c r="AN41" s="98"/>
      <c r="AO41" s="96">
        <v>5</v>
      </c>
      <c r="AP41" s="98"/>
      <c r="AQ41" s="96">
        <v>5</v>
      </c>
      <c r="AR41" s="98"/>
    </row>
    <row r="42" spans="1:44" s="57" customFormat="1" ht="69" customHeight="1" x14ac:dyDescent="0.25">
      <c r="A42" s="70">
        <v>5</v>
      </c>
      <c r="B42" s="134" t="s">
        <v>399</v>
      </c>
      <c r="C42" s="97"/>
      <c r="D42" s="97"/>
      <c r="E42" s="97"/>
      <c r="F42" s="97"/>
      <c r="G42" s="97"/>
      <c r="H42" s="97"/>
      <c r="I42" s="97"/>
      <c r="J42" s="97"/>
      <c r="K42" s="97"/>
      <c r="L42" s="97"/>
      <c r="M42" s="98"/>
      <c r="N42" s="131" t="s">
        <v>403</v>
      </c>
      <c r="O42" s="97"/>
      <c r="P42" s="97"/>
      <c r="Q42" s="97"/>
      <c r="R42" s="97"/>
      <c r="S42" s="97"/>
      <c r="T42" s="97"/>
      <c r="U42" s="97"/>
      <c r="V42" s="97"/>
      <c r="W42" s="97"/>
      <c r="X42" s="97"/>
      <c r="Y42" s="97"/>
      <c r="Z42" s="98"/>
      <c r="AA42" s="71"/>
      <c r="AB42" s="67"/>
      <c r="AC42" s="72"/>
      <c r="AD42" s="67"/>
      <c r="AE42" s="73"/>
      <c r="AF42" s="67"/>
      <c r="AG42" s="73"/>
      <c r="AH42" s="67"/>
      <c r="AI42" s="73"/>
      <c r="AJ42" s="67"/>
      <c r="AK42" s="73"/>
      <c r="AL42" s="67"/>
      <c r="AM42" s="73"/>
      <c r="AN42" s="67"/>
      <c r="AO42" s="73"/>
      <c r="AP42" s="67"/>
      <c r="AQ42" s="73"/>
      <c r="AR42" s="67"/>
    </row>
    <row r="43" spans="1:44" ht="54" customHeight="1" x14ac:dyDescent="0.25">
      <c r="A43" s="74">
        <v>6</v>
      </c>
      <c r="B43" s="134" t="s">
        <v>64</v>
      </c>
      <c r="C43" s="97"/>
      <c r="D43" s="97"/>
      <c r="E43" s="97"/>
      <c r="F43" s="97"/>
      <c r="G43" s="97"/>
      <c r="H43" s="97"/>
      <c r="I43" s="97"/>
      <c r="J43" s="97"/>
      <c r="K43" s="97"/>
      <c r="L43" s="97"/>
      <c r="M43" s="98"/>
      <c r="N43" s="130" t="s">
        <v>150</v>
      </c>
      <c r="O43" s="97"/>
      <c r="P43" s="97"/>
      <c r="Q43" s="97"/>
      <c r="R43" s="97"/>
      <c r="S43" s="97"/>
      <c r="T43" s="97"/>
      <c r="U43" s="97"/>
      <c r="V43" s="97"/>
      <c r="W43" s="97"/>
      <c r="X43" s="98"/>
      <c r="Y43" s="76"/>
      <c r="Z43" s="76"/>
      <c r="AA43" s="132"/>
      <c r="AB43" s="98"/>
      <c r="AC43" s="133"/>
      <c r="AD43" s="98"/>
      <c r="AE43" s="96"/>
      <c r="AF43" s="98"/>
      <c r="AG43" s="96"/>
      <c r="AH43" s="98"/>
      <c r="AI43" s="96"/>
      <c r="AJ43" s="98"/>
      <c r="AK43" s="96">
        <v>5</v>
      </c>
      <c r="AL43" s="98"/>
      <c r="AM43" s="96">
        <v>3</v>
      </c>
      <c r="AN43" s="98"/>
      <c r="AO43" s="96">
        <v>5</v>
      </c>
      <c r="AP43" s="98"/>
      <c r="AQ43" s="96">
        <v>3</v>
      </c>
      <c r="AR43" s="98"/>
    </row>
    <row r="44" spans="1:44" s="57" customFormat="1" ht="54" customHeight="1" x14ac:dyDescent="0.25">
      <c r="A44" s="70">
        <v>7</v>
      </c>
      <c r="B44" s="134" t="s">
        <v>411</v>
      </c>
      <c r="C44" s="97"/>
      <c r="D44" s="97"/>
      <c r="E44" s="97"/>
      <c r="F44" s="97"/>
      <c r="G44" s="97"/>
      <c r="H44" s="97"/>
      <c r="I44" s="97"/>
      <c r="J44" s="97"/>
      <c r="K44" s="97"/>
      <c r="L44" s="97"/>
      <c r="M44" s="98"/>
      <c r="N44" s="130" t="s">
        <v>405</v>
      </c>
      <c r="O44" s="97"/>
      <c r="P44" s="97"/>
      <c r="Q44" s="97"/>
      <c r="R44" s="97"/>
      <c r="S44" s="97"/>
      <c r="T44" s="97"/>
      <c r="U44" s="97"/>
      <c r="V44" s="97"/>
      <c r="W44" s="97"/>
      <c r="X44" s="98"/>
      <c r="Y44" s="202"/>
      <c r="Z44" s="203"/>
      <c r="AA44" s="71"/>
      <c r="AB44" s="67"/>
      <c r="AC44" s="72"/>
      <c r="AD44" s="67"/>
      <c r="AE44" s="73"/>
      <c r="AF44" s="67"/>
      <c r="AG44" s="73"/>
      <c r="AH44" s="67"/>
      <c r="AI44" s="73"/>
      <c r="AJ44" s="67"/>
      <c r="AK44" s="73"/>
      <c r="AL44" s="67"/>
      <c r="AM44" s="73"/>
      <c r="AN44" s="67"/>
      <c r="AO44" s="73"/>
      <c r="AP44" s="67"/>
      <c r="AQ44" s="73"/>
      <c r="AR44" s="67"/>
    </row>
    <row r="45" spans="1:44" s="57" customFormat="1" ht="54" customHeight="1" x14ac:dyDescent="0.25">
      <c r="A45" s="74">
        <v>8</v>
      </c>
      <c r="B45" s="134" t="s">
        <v>404</v>
      </c>
      <c r="C45" s="97"/>
      <c r="D45" s="97"/>
      <c r="E45" s="97"/>
      <c r="F45" s="97"/>
      <c r="G45" s="97"/>
      <c r="H45" s="97"/>
      <c r="I45" s="97"/>
      <c r="J45" s="97"/>
      <c r="K45" s="97"/>
      <c r="L45" s="97"/>
      <c r="M45" s="98"/>
      <c r="N45" s="130"/>
      <c r="O45" s="97"/>
      <c r="P45" s="97"/>
      <c r="Q45" s="97"/>
      <c r="R45" s="97"/>
      <c r="S45" s="97"/>
      <c r="T45" s="97"/>
      <c r="U45" s="97"/>
      <c r="V45" s="97"/>
      <c r="W45" s="97"/>
      <c r="X45" s="98"/>
      <c r="Y45" s="202"/>
      <c r="Z45" s="203"/>
      <c r="AA45" s="71"/>
      <c r="AB45" s="67"/>
      <c r="AC45" s="72"/>
      <c r="AD45" s="67"/>
      <c r="AE45" s="73"/>
      <c r="AF45" s="67"/>
      <c r="AG45" s="73"/>
      <c r="AH45" s="67"/>
      <c r="AI45" s="73"/>
      <c r="AJ45" s="67"/>
      <c r="AK45" s="73"/>
      <c r="AL45" s="67"/>
      <c r="AM45" s="73"/>
      <c r="AN45" s="67"/>
      <c r="AO45" s="73"/>
      <c r="AP45" s="67"/>
      <c r="AQ45" s="73"/>
      <c r="AR45" s="67"/>
    </row>
    <row r="46" spans="1:44" s="57" customFormat="1" ht="54" customHeight="1" x14ac:dyDescent="0.25">
      <c r="A46" s="70">
        <v>9</v>
      </c>
      <c r="B46" s="134" t="s">
        <v>436</v>
      </c>
      <c r="C46" s="97"/>
      <c r="D46" s="97"/>
      <c r="E46" s="97"/>
      <c r="F46" s="97"/>
      <c r="G46" s="97"/>
      <c r="H46" s="97"/>
      <c r="I46" s="97"/>
      <c r="J46" s="97"/>
      <c r="K46" s="97"/>
      <c r="L46" s="97"/>
      <c r="M46" s="98"/>
      <c r="N46" s="130" t="s">
        <v>437</v>
      </c>
      <c r="O46" s="97"/>
      <c r="P46" s="97"/>
      <c r="Q46" s="97"/>
      <c r="R46" s="97"/>
      <c r="S46" s="97"/>
      <c r="T46" s="97"/>
      <c r="U46" s="97"/>
      <c r="V46" s="97"/>
      <c r="W46" s="97"/>
      <c r="X46" s="98"/>
      <c r="Y46" s="204"/>
      <c r="Z46" s="205"/>
      <c r="AA46" s="68"/>
      <c r="AB46" s="65"/>
      <c r="AC46" s="206"/>
      <c r="AD46" s="65"/>
      <c r="AE46" s="69"/>
      <c r="AF46" s="65"/>
      <c r="AG46" s="69"/>
      <c r="AH46" s="65"/>
      <c r="AI46" s="69"/>
      <c r="AJ46" s="65"/>
      <c r="AK46" s="69"/>
      <c r="AL46" s="65"/>
      <c r="AM46" s="69"/>
      <c r="AN46" s="65"/>
      <c r="AO46" s="69"/>
      <c r="AP46" s="65"/>
      <c r="AQ46" s="69"/>
      <c r="AR46" s="65"/>
    </row>
    <row r="47" spans="1:44" ht="15.75" customHeight="1" x14ac:dyDescent="0.25">
      <c r="A47" s="129" t="s">
        <v>93</v>
      </c>
      <c r="B47" s="100"/>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1"/>
      <c r="AA47" s="127">
        <f>SUM(AA38:AB45)</f>
        <v>0</v>
      </c>
      <c r="AB47" s="101"/>
      <c r="AC47" s="127" t="e">
        <f>SUMPRODUCT($AA$38:$AB$45,AC38:AD45)/(SUM($AA$38:$AB$45)*5)</f>
        <v>#DIV/0!</v>
      </c>
      <c r="AD47" s="101"/>
      <c r="AE47" s="127" t="e">
        <f>SUMPRODUCT($AA$38:$AB$45,AE38:AF45)/(SUM($AA$38:$AB$45)*5)</f>
        <v>#DIV/0!</v>
      </c>
      <c r="AF47" s="101"/>
      <c r="AG47" s="127" t="e">
        <f>SUMPRODUCT($AA$38:$AB$45,AG38:AH45)/(SUM($AA$38:$AB$45)*5)</f>
        <v>#DIV/0!</v>
      </c>
      <c r="AH47" s="101"/>
      <c r="AI47" s="127" t="e">
        <f>SUMPRODUCT($AA$38:$AB$45,AI38:AJ45)/(SUM($AA$38:$AB$45)*5)</f>
        <v>#DIV/0!</v>
      </c>
      <c r="AJ47" s="101"/>
      <c r="AK47" s="127" t="e">
        <f>SUMPRODUCT($AA$38:$AB$45,AK38:AL45)/(SUM($AA$38:$AB$45)*5)</f>
        <v>#DIV/0!</v>
      </c>
      <c r="AL47" s="101"/>
      <c r="AM47" s="127" t="e">
        <f>SUMPRODUCT($AA$38:$AB$45,AM38:AN45)/(SUM($AA$38:$AB$45)*5)</f>
        <v>#DIV/0!</v>
      </c>
      <c r="AN47" s="101"/>
      <c r="AO47" s="127" t="e">
        <f>SUMPRODUCT($AA$38:$AB$45,AO38:AP45)/(SUM($AA$38:$AB$45)*5)</f>
        <v>#DIV/0!</v>
      </c>
      <c r="AP47" s="101"/>
      <c r="AQ47" s="127" t="e">
        <f>SUMPRODUCT($AA$38:$AB$45,AQ38:AR45)/(SUM($AA$38:$AB$45)*5)</f>
        <v>#DIV/0!</v>
      </c>
      <c r="AR47" s="101"/>
    </row>
    <row r="48" spans="1:44" ht="15.75" customHeight="1" x14ac:dyDescent="0.25">
      <c r="A48" s="105"/>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7"/>
      <c r="AA48" s="105"/>
      <c r="AB48" s="107"/>
      <c r="AC48" s="105"/>
      <c r="AD48" s="107"/>
      <c r="AE48" s="105"/>
      <c r="AF48" s="107"/>
      <c r="AG48" s="105"/>
      <c r="AH48" s="107"/>
      <c r="AI48" s="105"/>
      <c r="AJ48" s="107"/>
      <c r="AK48" s="105"/>
      <c r="AL48" s="107"/>
      <c r="AM48" s="105"/>
      <c r="AN48" s="107"/>
      <c r="AO48" s="105"/>
      <c r="AP48" s="107"/>
      <c r="AQ48" s="105"/>
      <c r="AR48" s="107"/>
    </row>
    <row r="49" spans="1:44" ht="8.25" customHeight="1" x14ac:dyDescent="0.25">
      <c r="A49" s="63"/>
      <c r="B49" s="62"/>
      <c r="C49" s="62"/>
      <c r="D49" s="62"/>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row>
    <row r="50" spans="1:44" ht="15.75" customHeight="1" x14ac:dyDescent="0.25">
      <c r="A50" s="114" t="s">
        <v>94</v>
      </c>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c r="AA50" s="77"/>
      <c r="AB50" s="77"/>
      <c r="AC50" s="128" t="s">
        <v>85</v>
      </c>
      <c r="AD50" s="112"/>
      <c r="AE50" s="112"/>
      <c r="AF50" s="112"/>
      <c r="AG50" s="128" t="s">
        <v>86</v>
      </c>
      <c r="AH50" s="112"/>
      <c r="AI50" s="112"/>
      <c r="AJ50" s="112"/>
      <c r="AK50" s="128" t="s">
        <v>87</v>
      </c>
      <c r="AL50" s="112"/>
      <c r="AM50" s="112"/>
      <c r="AN50" s="112"/>
      <c r="AO50" s="128" t="s">
        <v>88</v>
      </c>
      <c r="AP50" s="112"/>
      <c r="AQ50" s="112"/>
      <c r="AR50" s="112"/>
    </row>
    <row r="51" spans="1:44" ht="8.25" customHeight="1" x14ac:dyDescent="0.25">
      <c r="A51" s="63"/>
      <c r="B51" s="62"/>
      <c r="C51" s="62"/>
      <c r="D51" s="62"/>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row>
    <row r="52" spans="1:44" ht="15.75" customHeight="1" x14ac:dyDescent="0.25">
      <c r="A52" s="63"/>
      <c r="B52" s="62"/>
      <c r="C52" s="62"/>
      <c r="D52" s="62"/>
      <c r="E52" s="58"/>
      <c r="F52" s="58"/>
      <c r="G52" s="58"/>
      <c r="H52" s="58"/>
      <c r="I52" s="58"/>
      <c r="J52" s="58"/>
      <c r="K52" s="58"/>
      <c r="L52" s="58"/>
      <c r="M52" s="58"/>
      <c r="N52" s="58"/>
      <c r="O52" s="58"/>
      <c r="P52" s="58"/>
      <c r="Q52" s="58"/>
      <c r="R52" s="58"/>
      <c r="S52" s="58"/>
      <c r="T52" s="58"/>
      <c r="U52" s="58"/>
      <c r="V52" s="58"/>
      <c r="W52" s="58"/>
      <c r="X52" s="58"/>
      <c r="Y52" s="58"/>
      <c r="Z52" s="78" t="s">
        <v>95</v>
      </c>
      <c r="AA52" s="58"/>
      <c r="AB52" s="79"/>
      <c r="AC52" s="110" t="e">
        <f>AC30*20%+AC47*80%</f>
        <v>#DIV/0!</v>
      </c>
      <c r="AD52" s="101"/>
      <c r="AE52" s="110" t="e">
        <f>AE30*20%+AE47*80%</f>
        <v>#DIV/0!</v>
      </c>
      <c r="AF52" s="101"/>
      <c r="AG52" s="110" t="e">
        <f>AG30*20%+AG47*80%</f>
        <v>#DIV/0!</v>
      </c>
      <c r="AH52" s="101"/>
      <c r="AI52" s="110" t="e">
        <f>AI30*20%+AI47*80%</f>
        <v>#DIV/0!</v>
      </c>
      <c r="AJ52" s="101"/>
      <c r="AK52" s="110" t="e">
        <f>AK30*20%+AK47*80%</f>
        <v>#DIV/0!</v>
      </c>
      <c r="AL52" s="101"/>
      <c r="AM52" s="110" t="e">
        <f>AM30*20%+AM47*80%</f>
        <v>#DIV/0!</v>
      </c>
      <c r="AN52" s="101"/>
      <c r="AO52" s="110" t="e">
        <f>AO30*20%+AO47*80%</f>
        <v>#DIV/0!</v>
      </c>
      <c r="AP52" s="101"/>
      <c r="AQ52" s="110" t="e">
        <f>AQ30*20%+AQ47*80%</f>
        <v>#DIV/0!</v>
      </c>
      <c r="AR52" s="101"/>
    </row>
    <row r="53" spans="1:44" ht="15.75" customHeight="1" x14ac:dyDescent="0.25">
      <c r="A53" s="63"/>
      <c r="B53" s="62"/>
      <c r="C53" s="62"/>
      <c r="D53" s="62"/>
      <c r="E53" s="58"/>
      <c r="F53" s="58"/>
      <c r="G53" s="58"/>
      <c r="H53" s="58"/>
      <c r="I53" s="58"/>
      <c r="J53" s="58"/>
      <c r="K53" s="58"/>
      <c r="L53" s="58"/>
      <c r="M53" s="58"/>
      <c r="N53" s="58"/>
      <c r="O53" s="58"/>
      <c r="P53" s="58"/>
      <c r="Q53" s="58"/>
      <c r="R53" s="58"/>
      <c r="S53" s="58"/>
      <c r="T53" s="58"/>
      <c r="U53" s="58"/>
      <c r="V53" s="58"/>
      <c r="W53" s="58"/>
      <c r="X53" s="58"/>
      <c r="Y53" s="58"/>
      <c r="Z53" s="78"/>
      <c r="AA53" s="78" t="s">
        <v>96</v>
      </c>
      <c r="AB53" s="79"/>
      <c r="AC53" s="105"/>
      <c r="AD53" s="107"/>
      <c r="AE53" s="105"/>
      <c r="AF53" s="107"/>
      <c r="AG53" s="105"/>
      <c r="AH53" s="107"/>
      <c r="AI53" s="105"/>
      <c r="AJ53" s="107"/>
      <c r="AK53" s="105"/>
      <c r="AL53" s="107"/>
      <c r="AM53" s="105"/>
      <c r="AN53" s="107"/>
      <c r="AO53" s="105"/>
      <c r="AP53" s="107"/>
      <c r="AQ53" s="105"/>
      <c r="AR53" s="107"/>
    </row>
    <row r="54" spans="1:44" ht="15.75" customHeight="1" x14ac:dyDescent="0.25">
      <c r="A54" s="63"/>
      <c r="B54" s="62"/>
      <c r="C54" s="62"/>
      <c r="D54" s="62"/>
      <c r="E54" s="58"/>
      <c r="F54" s="58"/>
      <c r="G54" s="58"/>
      <c r="H54" s="58"/>
      <c r="I54" s="58"/>
      <c r="J54" s="58"/>
      <c r="K54" s="58"/>
      <c r="L54" s="58"/>
      <c r="M54" s="58"/>
      <c r="N54" s="58"/>
      <c r="O54" s="58"/>
      <c r="P54" s="58"/>
      <c r="Q54" s="58"/>
      <c r="R54" s="58"/>
      <c r="S54" s="58"/>
      <c r="T54" s="58"/>
      <c r="U54" s="58"/>
      <c r="V54" s="58"/>
      <c r="W54" s="58"/>
      <c r="X54" s="58"/>
      <c r="Y54" s="58"/>
      <c r="Z54" s="78" t="s">
        <v>97</v>
      </c>
      <c r="AA54" s="78"/>
      <c r="AB54" s="79"/>
      <c r="AC54" s="126" t="e">
        <f>IF(AC52&lt;55%,"D",IF(AC52&lt;80%,"C",IF(AC52&lt;90%,"B","A")))</f>
        <v>#DIV/0!</v>
      </c>
      <c r="AD54" s="101"/>
      <c r="AE54" s="126" t="e">
        <f>IF(AE52&lt;55%,"D",IF(AE52&lt;80%,"C",IF(AE52&lt;90%,"B","A")))</f>
        <v>#DIV/0!</v>
      </c>
      <c r="AF54" s="101"/>
      <c r="AG54" s="126" t="e">
        <f>IF(AG52&lt;55%,"D",IF(AG52&lt;80%,"C",IF(AG52&lt;90%,"B","A")))</f>
        <v>#DIV/0!</v>
      </c>
      <c r="AH54" s="101"/>
      <c r="AI54" s="126" t="e">
        <f>IF(AI52&lt;55%,"D",IF(AI52&lt;80%,"C",IF(AI52&lt;90%,"B","A")))</f>
        <v>#DIV/0!</v>
      </c>
      <c r="AJ54" s="101"/>
      <c r="AK54" s="126" t="e">
        <f>IF(AK52&lt;55%,"D",IF(AK52&lt;80%,"C",IF(AK52&lt;90%,"B","A")))</f>
        <v>#DIV/0!</v>
      </c>
      <c r="AL54" s="101"/>
      <c r="AM54" s="126" t="e">
        <f>IF(AM52&lt;55%,"D",IF(AM52&lt;80%,"C",IF(AM52&lt;90%,"B","A")))</f>
        <v>#DIV/0!</v>
      </c>
      <c r="AN54" s="101"/>
      <c r="AO54" s="126" t="e">
        <f>IF(AO52&lt;55%,"D",IF(AO52&lt;80%,"C",IF(AO52&lt;90%,"B","A")))</f>
        <v>#DIV/0!</v>
      </c>
      <c r="AP54" s="101"/>
      <c r="AQ54" s="126" t="e">
        <f>IF(AQ52&lt;55%,"D",IF(AQ52&lt;80%,"C",IF(AQ52&lt;90%,"B","A")))</f>
        <v>#DIV/0!</v>
      </c>
      <c r="AR54" s="101"/>
    </row>
    <row r="55" spans="1:44" ht="15.75" customHeight="1" x14ac:dyDescent="0.25">
      <c r="A55" s="63"/>
      <c r="B55" s="62"/>
      <c r="C55" s="62"/>
      <c r="D55" s="62"/>
      <c r="E55" s="58"/>
      <c r="F55" s="58"/>
      <c r="G55" s="58"/>
      <c r="H55" s="58"/>
      <c r="I55" s="58"/>
      <c r="J55" s="58"/>
      <c r="K55" s="58"/>
      <c r="L55" s="58"/>
      <c r="M55" s="58"/>
      <c r="N55" s="58"/>
      <c r="O55" s="58"/>
      <c r="P55" s="58"/>
      <c r="Q55" s="58"/>
      <c r="R55" s="58"/>
      <c r="S55" s="58"/>
      <c r="T55" s="58"/>
      <c r="U55" s="58"/>
      <c r="V55" s="58"/>
      <c r="W55" s="58"/>
      <c r="X55" s="58"/>
      <c r="Y55" s="58"/>
      <c r="Z55" s="78"/>
      <c r="AA55" s="78" t="s">
        <v>98</v>
      </c>
      <c r="AB55" s="79"/>
      <c r="AC55" s="105"/>
      <c r="AD55" s="107"/>
      <c r="AE55" s="105"/>
      <c r="AF55" s="107"/>
      <c r="AG55" s="105"/>
      <c r="AH55" s="107"/>
      <c r="AI55" s="105"/>
      <c r="AJ55" s="107"/>
      <c r="AK55" s="105"/>
      <c r="AL55" s="107"/>
      <c r="AM55" s="105"/>
      <c r="AN55" s="107"/>
      <c r="AO55" s="105"/>
      <c r="AP55" s="107"/>
      <c r="AQ55" s="105"/>
      <c r="AR55" s="107"/>
    </row>
    <row r="56" spans="1:44" ht="15.75" customHeight="1" x14ac:dyDescent="0.25">
      <c r="A56" s="63"/>
      <c r="B56" s="62"/>
      <c r="C56" s="62"/>
      <c r="D56" s="62"/>
      <c r="E56" s="58"/>
      <c r="F56" s="58"/>
      <c r="G56" s="58"/>
      <c r="H56" s="58"/>
      <c r="I56" s="58"/>
      <c r="J56" s="58"/>
      <c r="K56" s="58"/>
      <c r="L56" s="58"/>
      <c r="M56" s="58"/>
      <c r="N56" s="58"/>
      <c r="O56" s="58"/>
      <c r="P56" s="58"/>
      <c r="Q56" s="58"/>
      <c r="R56" s="58"/>
      <c r="S56" s="58"/>
      <c r="T56" s="58"/>
      <c r="U56" s="58"/>
      <c r="V56" s="58"/>
      <c r="W56" s="58"/>
      <c r="X56" s="58"/>
      <c r="Y56" s="58"/>
      <c r="Z56" s="78" t="s">
        <v>99</v>
      </c>
      <c r="AA56" s="78"/>
      <c r="AB56" s="79"/>
      <c r="AC56" s="126"/>
      <c r="AD56" s="100"/>
      <c r="AE56" s="100"/>
      <c r="AF56" s="101"/>
      <c r="AG56" s="126"/>
      <c r="AH56" s="100"/>
      <c r="AI56" s="100"/>
      <c r="AJ56" s="101"/>
      <c r="AK56" s="126"/>
      <c r="AL56" s="100"/>
      <c r="AM56" s="100"/>
      <c r="AN56" s="101"/>
      <c r="AO56" s="126"/>
      <c r="AP56" s="100"/>
      <c r="AQ56" s="100"/>
      <c r="AR56" s="101"/>
    </row>
    <row r="57" spans="1:44" ht="15.75" customHeight="1" x14ac:dyDescent="0.25">
      <c r="A57" s="63"/>
      <c r="B57" s="62"/>
      <c r="C57" s="62"/>
      <c r="D57" s="62"/>
      <c r="E57" s="58"/>
      <c r="F57" s="58"/>
      <c r="G57" s="58"/>
      <c r="H57" s="58"/>
      <c r="I57" s="58"/>
      <c r="J57" s="58"/>
      <c r="K57" s="58"/>
      <c r="L57" s="58"/>
      <c r="M57" s="58"/>
      <c r="N57" s="58"/>
      <c r="O57" s="58"/>
      <c r="P57" s="58"/>
      <c r="Q57" s="58"/>
      <c r="R57" s="58"/>
      <c r="S57" s="58"/>
      <c r="T57" s="58"/>
      <c r="U57" s="58"/>
      <c r="V57" s="58"/>
      <c r="W57" s="58"/>
      <c r="X57" s="58"/>
      <c r="Y57" s="58"/>
      <c r="Z57" s="78"/>
      <c r="AA57" s="78" t="s">
        <v>100</v>
      </c>
      <c r="AB57" s="79"/>
      <c r="AC57" s="105"/>
      <c r="AD57" s="106"/>
      <c r="AE57" s="106"/>
      <c r="AF57" s="107"/>
      <c r="AG57" s="105"/>
      <c r="AH57" s="106"/>
      <c r="AI57" s="106"/>
      <c r="AJ57" s="107"/>
      <c r="AK57" s="105"/>
      <c r="AL57" s="106"/>
      <c r="AM57" s="106"/>
      <c r="AN57" s="107"/>
      <c r="AO57" s="105"/>
      <c r="AP57" s="106"/>
      <c r="AQ57" s="106"/>
      <c r="AR57" s="107"/>
    </row>
    <row r="58" spans="1:44" ht="15.75" customHeight="1" x14ac:dyDescent="0.25">
      <c r="A58" s="63"/>
      <c r="B58" s="62"/>
      <c r="C58" s="62"/>
      <c r="D58" s="62"/>
      <c r="E58" s="58"/>
      <c r="F58" s="58"/>
      <c r="G58" s="58"/>
      <c r="H58" s="58"/>
      <c r="I58" s="58"/>
      <c r="J58" s="58"/>
      <c r="K58" s="58"/>
      <c r="L58" s="58"/>
      <c r="M58" s="58"/>
      <c r="N58" s="58"/>
      <c r="O58" s="58"/>
      <c r="P58" s="58"/>
      <c r="Q58" s="58"/>
      <c r="R58" s="58"/>
      <c r="S58" s="58"/>
      <c r="T58" s="58"/>
      <c r="U58" s="58"/>
      <c r="V58" s="58"/>
      <c r="W58" s="58"/>
      <c r="X58" s="58"/>
      <c r="Y58" s="58"/>
      <c r="Z58" s="78" t="s">
        <v>101</v>
      </c>
      <c r="AA58" s="78"/>
      <c r="AB58" s="79"/>
      <c r="AC58" s="126"/>
      <c r="AD58" s="100"/>
      <c r="AE58" s="100"/>
      <c r="AF58" s="101"/>
      <c r="AG58" s="126"/>
      <c r="AH58" s="100"/>
      <c r="AI58" s="100"/>
      <c r="AJ58" s="101"/>
      <c r="AK58" s="126"/>
      <c r="AL58" s="100"/>
      <c r="AM58" s="100"/>
      <c r="AN58" s="101"/>
      <c r="AO58" s="126"/>
      <c r="AP58" s="100"/>
      <c r="AQ58" s="100"/>
      <c r="AR58" s="101"/>
    </row>
    <row r="59" spans="1:44" ht="15.75" customHeight="1" x14ac:dyDescent="0.25">
      <c r="A59" s="63"/>
      <c r="B59" s="62"/>
      <c r="C59" s="62"/>
      <c r="D59" s="62"/>
      <c r="E59" s="58"/>
      <c r="F59" s="58"/>
      <c r="G59" s="58"/>
      <c r="H59" s="58"/>
      <c r="I59" s="58"/>
      <c r="J59" s="58"/>
      <c r="K59" s="58"/>
      <c r="L59" s="58"/>
      <c r="M59" s="58"/>
      <c r="N59" s="58"/>
      <c r="O59" s="58"/>
      <c r="P59" s="58"/>
      <c r="Q59" s="58"/>
      <c r="R59" s="58"/>
      <c r="S59" s="58"/>
      <c r="T59" s="58"/>
      <c r="U59" s="58"/>
      <c r="V59" s="58"/>
      <c r="W59" s="58"/>
      <c r="X59" s="58"/>
      <c r="Y59" s="58"/>
      <c r="Z59" s="58"/>
      <c r="AA59" s="78" t="s">
        <v>102</v>
      </c>
      <c r="AB59" s="58"/>
      <c r="AC59" s="105"/>
      <c r="AD59" s="106"/>
      <c r="AE59" s="106"/>
      <c r="AF59" s="107"/>
      <c r="AG59" s="105"/>
      <c r="AH59" s="106"/>
      <c r="AI59" s="106"/>
      <c r="AJ59" s="107"/>
      <c r="AK59" s="105"/>
      <c r="AL59" s="106"/>
      <c r="AM59" s="106"/>
      <c r="AN59" s="107"/>
      <c r="AO59" s="105"/>
      <c r="AP59" s="106"/>
      <c r="AQ59" s="106"/>
      <c r="AR59" s="107"/>
    </row>
    <row r="60" spans="1:44" ht="8.25" customHeight="1" x14ac:dyDescent="0.25">
      <c r="A60" s="63"/>
      <c r="B60" s="62"/>
      <c r="C60" s="62"/>
      <c r="D60" s="62"/>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row>
    <row r="61" spans="1:44" ht="15.75" hidden="1" customHeight="1" x14ac:dyDescent="0.25">
      <c r="A61" s="121" t="s">
        <v>103</v>
      </c>
      <c r="B61" s="112"/>
      <c r="C61" s="112"/>
      <c r="D61" s="112"/>
      <c r="E61" s="112"/>
      <c r="F61" s="112"/>
      <c r="G61" s="112"/>
      <c r="H61" s="112"/>
      <c r="I61" s="112"/>
      <c r="J61" s="112"/>
      <c r="K61" s="112"/>
      <c r="L61" s="112"/>
      <c r="M61" s="112"/>
      <c r="N61" s="112"/>
      <c r="O61" s="112"/>
      <c r="P61" s="112"/>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2"/>
      <c r="AP61" s="112"/>
      <c r="AQ61" s="112"/>
      <c r="AR61" s="112"/>
    </row>
    <row r="62" spans="1:44" ht="8.25" hidden="1" customHeight="1" x14ac:dyDescent="0.25">
      <c r="A62" s="63"/>
      <c r="B62" s="62"/>
      <c r="C62" s="62"/>
      <c r="D62" s="62"/>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row>
    <row r="63" spans="1:44" ht="8.25" hidden="1" customHeight="1" x14ac:dyDescent="0.25">
      <c r="A63" s="63"/>
      <c r="B63" s="62"/>
      <c r="C63" s="62"/>
      <c r="D63" s="62"/>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row>
    <row r="64" spans="1:44" ht="15.75" hidden="1" customHeight="1" x14ac:dyDescent="0.25">
      <c r="A64" s="80"/>
      <c r="B64" s="81"/>
      <c r="C64" s="81"/>
      <c r="D64" s="81" t="s">
        <v>104</v>
      </c>
      <c r="E64" s="82"/>
      <c r="F64" s="82"/>
      <c r="G64" s="82"/>
      <c r="H64" s="82"/>
      <c r="I64" s="82"/>
      <c r="J64" s="82"/>
      <c r="K64" s="82"/>
      <c r="L64" s="82"/>
      <c r="M64" s="82"/>
      <c r="N64" s="82"/>
      <c r="O64" s="82"/>
      <c r="P64" s="82"/>
      <c r="Q64" s="82"/>
      <c r="R64" s="82"/>
      <c r="S64" s="82"/>
      <c r="T64" s="82"/>
      <c r="U64" s="82"/>
      <c r="V64" s="82"/>
      <c r="W64" s="82"/>
      <c r="X64" s="82"/>
      <c r="Y64" s="82"/>
      <c r="Z64" s="82"/>
      <c r="AA64" s="82"/>
      <c r="AB64" s="82"/>
      <c r="AC64" s="82"/>
      <c r="AD64" s="82"/>
      <c r="AE64" s="82"/>
      <c r="AF64" s="82"/>
      <c r="AG64" s="82"/>
      <c r="AH64" s="82"/>
      <c r="AI64" s="82"/>
      <c r="AJ64" s="82"/>
      <c r="AK64" s="82"/>
      <c r="AL64" s="82"/>
      <c r="AM64" s="82"/>
      <c r="AN64" s="82"/>
      <c r="AO64" s="82"/>
      <c r="AP64" s="82"/>
      <c r="AQ64" s="82"/>
      <c r="AR64" s="82"/>
    </row>
    <row r="65" spans="1:44" ht="8.25" hidden="1" customHeight="1" x14ac:dyDescent="0.25">
      <c r="A65" s="63"/>
      <c r="B65" s="62"/>
      <c r="C65" s="62"/>
      <c r="D65" s="62"/>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row>
    <row r="66" spans="1:44" ht="14.25" hidden="1" customHeight="1" x14ac:dyDescent="0.25">
      <c r="A66" s="122" t="s">
        <v>105</v>
      </c>
      <c r="B66" s="124" t="s">
        <v>106</v>
      </c>
      <c r="C66" s="100"/>
      <c r="D66" s="100"/>
      <c r="E66" s="100"/>
      <c r="F66" s="100"/>
      <c r="G66" s="100"/>
      <c r="H66" s="100"/>
      <c r="I66" s="100"/>
      <c r="J66" s="100"/>
      <c r="K66" s="101"/>
      <c r="L66" s="125" t="s">
        <v>107</v>
      </c>
      <c r="M66" s="101"/>
      <c r="N66" s="125" t="s">
        <v>108</v>
      </c>
      <c r="O66" s="101"/>
      <c r="P66" s="124" t="s">
        <v>109</v>
      </c>
      <c r="Q66" s="100"/>
      <c r="R66" s="100"/>
      <c r="S66" s="100"/>
      <c r="T66" s="100"/>
      <c r="U66" s="100"/>
      <c r="V66" s="100"/>
      <c r="W66" s="100"/>
      <c r="X66" s="100"/>
      <c r="Y66" s="100"/>
      <c r="Z66" s="100"/>
      <c r="AA66" s="100"/>
      <c r="AB66" s="100"/>
      <c r="AC66" s="100"/>
      <c r="AD66" s="100"/>
      <c r="AE66" s="100"/>
      <c r="AF66" s="100"/>
      <c r="AG66" s="100"/>
      <c r="AH66" s="100"/>
      <c r="AI66" s="100"/>
      <c r="AJ66" s="101"/>
      <c r="AK66" s="124" t="s">
        <v>110</v>
      </c>
      <c r="AL66" s="100"/>
      <c r="AM66" s="100"/>
      <c r="AN66" s="100"/>
      <c r="AO66" s="100"/>
      <c r="AP66" s="100"/>
      <c r="AQ66" s="100"/>
      <c r="AR66" s="101"/>
    </row>
    <row r="67" spans="1:44" ht="15" hidden="1" customHeight="1" x14ac:dyDescent="0.25">
      <c r="A67" s="123"/>
      <c r="B67" s="102"/>
      <c r="C67" s="103"/>
      <c r="D67" s="103"/>
      <c r="E67" s="103"/>
      <c r="F67" s="103"/>
      <c r="G67" s="103"/>
      <c r="H67" s="103"/>
      <c r="I67" s="103"/>
      <c r="J67" s="103"/>
      <c r="K67" s="104"/>
      <c r="L67" s="102"/>
      <c r="M67" s="104"/>
      <c r="N67" s="102"/>
      <c r="O67" s="104"/>
      <c r="P67" s="102"/>
      <c r="Q67" s="103"/>
      <c r="R67" s="103"/>
      <c r="S67" s="103"/>
      <c r="T67" s="103"/>
      <c r="U67" s="103"/>
      <c r="V67" s="103"/>
      <c r="W67" s="103"/>
      <c r="X67" s="103"/>
      <c r="Y67" s="103"/>
      <c r="Z67" s="103"/>
      <c r="AA67" s="103"/>
      <c r="AB67" s="103"/>
      <c r="AC67" s="103"/>
      <c r="AD67" s="103"/>
      <c r="AE67" s="103"/>
      <c r="AF67" s="103"/>
      <c r="AG67" s="103"/>
      <c r="AH67" s="103"/>
      <c r="AI67" s="103"/>
      <c r="AJ67" s="104"/>
      <c r="AK67" s="102"/>
      <c r="AL67" s="103"/>
      <c r="AM67" s="103"/>
      <c r="AN67" s="103"/>
      <c r="AO67" s="103"/>
      <c r="AP67" s="103"/>
      <c r="AQ67" s="103"/>
      <c r="AR67" s="104"/>
    </row>
    <row r="68" spans="1:44" ht="15.75" hidden="1" customHeight="1" x14ac:dyDescent="0.25">
      <c r="A68" s="119"/>
      <c r="B68" s="105"/>
      <c r="C68" s="106"/>
      <c r="D68" s="106"/>
      <c r="E68" s="106"/>
      <c r="F68" s="106"/>
      <c r="G68" s="106"/>
      <c r="H68" s="106"/>
      <c r="I68" s="106"/>
      <c r="J68" s="106"/>
      <c r="K68" s="107"/>
      <c r="L68" s="105"/>
      <c r="M68" s="107"/>
      <c r="N68" s="105"/>
      <c r="O68" s="107"/>
      <c r="P68" s="105"/>
      <c r="Q68" s="106"/>
      <c r="R68" s="106"/>
      <c r="S68" s="106"/>
      <c r="T68" s="106"/>
      <c r="U68" s="106"/>
      <c r="V68" s="106"/>
      <c r="W68" s="106"/>
      <c r="X68" s="106"/>
      <c r="Y68" s="106"/>
      <c r="Z68" s="106"/>
      <c r="AA68" s="106"/>
      <c r="AB68" s="106"/>
      <c r="AC68" s="106"/>
      <c r="AD68" s="106"/>
      <c r="AE68" s="106"/>
      <c r="AF68" s="106"/>
      <c r="AG68" s="106"/>
      <c r="AH68" s="106"/>
      <c r="AI68" s="106"/>
      <c r="AJ68" s="107"/>
      <c r="AK68" s="105"/>
      <c r="AL68" s="106"/>
      <c r="AM68" s="106"/>
      <c r="AN68" s="106"/>
      <c r="AO68" s="106"/>
      <c r="AP68" s="106"/>
      <c r="AQ68" s="106"/>
      <c r="AR68" s="107"/>
    </row>
    <row r="69" spans="1:44" ht="15.75" hidden="1" customHeight="1" x14ac:dyDescent="0.25">
      <c r="A69" s="118">
        <v>1</v>
      </c>
      <c r="B69" s="99" t="s">
        <v>111</v>
      </c>
      <c r="C69" s="100"/>
      <c r="D69" s="100"/>
      <c r="E69" s="100"/>
      <c r="F69" s="100"/>
      <c r="G69" s="100"/>
      <c r="H69" s="100"/>
      <c r="I69" s="100"/>
      <c r="J69" s="100"/>
      <c r="K69" s="101"/>
      <c r="L69" s="120">
        <v>2</v>
      </c>
      <c r="M69" s="101"/>
      <c r="N69" s="120"/>
      <c r="O69" s="101"/>
      <c r="P69" s="99"/>
      <c r="Q69" s="100"/>
      <c r="R69" s="100"/>
      <c r="S69" s="100"/>
      <c r="T69" s="100"/>
      <c r="U69" s="100"/>
      <c r="V69" s="100"/>
      <c r="W69" s="100"/>
      <c r="X69" s="100"/>
      <c r="Y69" s="100"/>
      <c r="Z69" s="100"/>
      <c r="AA69" s="100"/>
      <c r="AB69" s="100"/>
      <c r="AC69" s="100"/>
      <c r="AD69" s="100"/>
      <c r="AE69" s="100"/>
      <c r="AF69" s="100"/>
      <c r="AG69" s="100"/>
      <c r="AH69" s="100"/>
      <c r="AI69" s="100"/>
      <c r="AJ69" s="101"/>
      <c r="AK69" s="99"/>
      <c r="AL69" s="100"/>
      <c r="AM69" s="100"/>
      <c r="AN69" s="100"/>
      <c r="AO69" s="100"/>
      <c r="AP69" s="100"/>
      <c r="AQ69" s="100"/>
      <c r="AR69" s="101"/>
    </row>
    <row r="70" spans="1:44" ht="15.75" hidden="1" customHeight="1" x14ac:dyDescent="0.25">
      <c r="A70" s="119"/>
      <c r="B70" s="105"/>
      <c r="C70" s="106"/>
      <c r="D70" s="106"/>
      <c r="E70" s="106"/>
      <c r="F70" s="106"/>
      <c r="G70" s="106"/>
      <c r="H70" s="106"/>
      <c r="I70" s="106"/>
      <c r="J70" s="106"/>
      <c r="K70" s="107"/>
      <c r="L70" s="105"/>
      <c r="M70" s="107"/>
      <c r="N70" s="105"/>
      <c r="O70" s="107"/>
      <c r="P70" s="105"/>
      <c r="Q70" s="106"/>
      <c r="R70" s="106"/>
      <c r="S70" s="106"/>
      <c r="T70" s="106"/>
      <c r="U70" s="106"/>
      <c r="V70" s="106"/>
      <c r="W70" s="106"/>
      <c r="X70" s="106"/>
      <c r="Y70" s="106"/>
      <c r="Z70" s="106"/>
      <c r="AA70" s="106"/>
      <c r="AB70" s="106"/>
      <c r="AC70" s="106"/>
      <c r="AD70" s="106"/>
      <c r="AE70" s="106"/>
      <c r="AF70" s="106"/>
      <c r="AG70" s="106"/>
      <c r="AH70" s="106"/>
      <c r="AI70" s="106"/>
      <c r="AJ70" s="107"/>
      <c r="AK70" s="105"/>
      <c r="AL70" s="106"/>
      <c r="AM70" s="106"/>
      <c r="AN70" s="106"/>
      <c r="AO70" s="106"/>
      <c r="AP70" s="106"/>
      <c r="AQ70" s="106"/>
      <c r="AR70" s="107"/>
    </row>
    <row r="71" spans="1:44" ht="15.75" hidden="1" customHeight="1" x14ac:dyDescent="0.25">
      <c r="A71" s="118">
        <v>2</v>
      </c>
      <c r="B71" s="99" t="s">
        <v>112</v>
      </c>
      <c r="C71" s="100"/>
      <c r="D71" s="100"/>
      <c r="E71" s="100"/>
      <c r="F71" s="100"/>
      <c r="G71" s="100"/>
      <c r="H71" s="100"/>
      <c r="I71" s="100"/>
      <c r="J71" s="100"/>
      <c r="K71" s="101"/>
      <c r="L71" s="120">
        <v>1</v>
      </c>
      <c r="M71" s="101"/>
      <c r="N71" s="120"/>
      <c r="O71" s="101"/>
      <c r="P71" s="99"/>
      <c r="Q71" s="100"/>
      <c r="R71" s="100"/>
      <c r="S71" s="100"/>
      <c r="T71" s="100"/>
      <c r="U71" s="100"/>
      <c r="V71" s="100"/>
      <c r="W71" s="100"/>
      <c r="X71" s="100"/>
      <c r="Y71" s="100"/>
      <c r="Z71" s="100"/>
      <c r="AA71" s="100"/>
      <c r="AB71" s="100"/>
      <c r="AC71" s="100"/>
      <c r="AD71" s="100"/>
      <c r="AE71" s="100"/>
      <c r="AF71" s="100"/>
      <c r="AG71" s="100"/>
      <c r="AH71" s="100"/>
      <c r="AI71" s="100"/>
      <c r="AJ71" s="101"/>
      <c r="AK71" s="99"/>
      <c r="AL71" s="100"/>
      <c r="AM71" s="100"/>
      <c r="AN71" s="100"/>
      <c r="AO71" s="100"/>
      <c r="AP71" s="100"/>
      <c r="AQ71" s="100"/>
      <c r="AR71" s="101"/>
    </row>
    <row r="72" spans="1:44" ht="15.75" hidden="1" customHeight="1" x14ac:dyDescent="0.25">
      <c r="A72" s="119"/>
      <c r="B72" s="105"/>
      <c r="C72" s="106"/>
      <c r="D72" s="106"/>
      <c r="E72" s="106"/>
      <c r="F72" s="106"/>
      <c r="G72" s="106"/>
      <c r="H72" s="106"/>
      <c r="I72" s="106"/>
      <c r="J72" s="106"/>
      <c r="K72" s="107"/>
      <c r="L72" s="105"/>
      <c r="M72" s="107"/>
      <c r="N72" s="105"/>
      <c r="O72" s="107"/>
      <c r="P72" s="105"/>
      <c r="Q72" s="106"/>
      <c r="R72" s="106"/>
      <c r="S72" s="106"/>
      <c r="T72" s="106"/>
      <c r="U72" s="106"/>
      <c r="V72" s="106"/>
      <c r="W72" s="106"/>
      <c r="X72" s="106"/>
      <c r="Y72" s="106"/>
      <c r="Z72" s="106"/>
      <c r="AA72" s="106"/>
      <c r="AB72" s="106"/>
      <c r="AC72" s="106"/>
      <c r="AD72" s="106"/>
      <c r="AE72" s="106"/>
      <c r="AF72" s="106"/>
      <c r="AG72" s="106"/>
      <c r="AH72" s="106"/>
      <c r="AI72" s="106"/>
      <c r="AJ72" s="107"/>
      <c r="AK72" s="105"/>
      <c r="AL72" s="106"/>
      <c r="AM72" s="106"/>
      <c r="AN72" s="106"/>
      <c r="AO72" s="106"/>
      <c r="AP72" s="106"/>
      <c r="AQ72" s="106"/>
      <c r="AR72" s="107"/>
    </row>
    <row r="73" spans="1:44" ht="15.75" hidden="1" customHeight="1" x14ac:dyDescent="0.25">
      <c r="A73" s="118">
        <v>3</v>
      </c>
      <c r="B73" s="99" t="s">
        <v>113</v>
      </c>
      <c r="C73" s="100"/>
      <c r="D73" s="100"/>
      <c r="E73" s="100"/>
      <c r="F73" s="100"/>
      <c r="G73" s="100"/>
      <c r="H73" s="100"/>
      <c r="I73" s="100"/>
      <c r="J73" s="100"/>
      <c r="K73" s="101"/>
      <c r="L73" s="120">
        <v>1</v>
      </c>
      <c r="M73" s="101"/>
      <c r="N73" s="120"/>
      <c r="O73" s="101"/>
      <c r="P73" s="99"/>
      <c r="Q73" s="100"/>
      <c r="R73" s="100"/>
      <c r="S73" s="100"/>
      <c r="T73" s="100"/>
      <c r="U73" s="100"/>
      <c r="V73" s="100"/>
      <c r="W73" s="100"/>
      <c r="X73" s="100"/>
      <c r="Y73" s="100"/>
      <c r="Z73" s="100"/>
      <c r="AA73" s="100"/>
      <c r="AB73" s="100"/>
      <c r="AC73" s="100"/>
      <c r="AD73" s="100"/>
      <c r="AE73" s="100"/>
      <c r="AF73" s="100"/>
      <c r="AG73" s="100"/>
      <c r="AH73" s="100"/>
      <c r="AI73" s="100"/>
      <c r="AJ73" s="101"/>
      <c r="AK73" s="99"/>
      <c r="AL73" s="100"/>
      <c r="AM73" s="100"/>
      <c r="AN73" s="100"/>
      <c r="AO73" s="100"/>
      <c r="AP73" s="100"/>
      <c r="AQ73" s="100"/>
      <c r="AR73" s="101"/>
    </row>
    <row r="74" spans="1:44" ht="15.75" hidden="1" customHeight="1" x14ac:dyDescent="0.25">
      <c r="A74" s="119"/>
      <c r="B74" s="105"/>
      <c r="C74" s="106"/>
      <c r="D74" s="106"/>
      <c r="E74" s="106"/>
      <c r="F74" s="106"/>
      <c r="G74" s="106"/>
      <c r="H74" s="106"/>
      <c r="I74" s="106"/>
      <c r="J74" s="106"/>
      <c r="K74" s="107"/>
      <c r="L74" s="105"/>
      <c r="M74" s="107"/>
      <c r="N74" s="105"/>
      <c r="O74" s="107"/>
      <c r="P74" s="105"/>
      <c r="Q74" s="106"/>
      <c r="R74" s="106"/>
      <c r="S74" s="106"/>
      <c r="T74" s="106"/>
      <c r="U74" s="106"/>
      <c r="V74" s="106"/>
      <c r="W74" s="106"/>
      <c r="X74" s="106"/>
      <c r="Y74" s="106"/>
      <c r="Z74" s="106"/>
      <c r="AA74" s="106"/>
      <c r="AB74" s="106"/>
      <c r="AC74" s="106"/>
      <c r="AD74" s="106"/>
      <c r="AE74" s="106"/>
      <c r="AF74" s="106"/>
      <c r="AG74" s="106"/>
      <c r="AH74" s="106"/>
      <c r="AI74" s="106"/>
      <c r="AJ74" s="107"/>
      <c r="AK74" s="105"/>
      <c r="AL74" s="106"/>
      <c r="AM74" s="106"/>
      <c r="AN74" s="106"/>
      <c r="AO74" s="106"/>
      <c r="AP74" s="106"/>
      <c r="AQ74" s="106"/>
      <c r="AR74" s="107"/>
    </row>
    <row r="75" spans="1:44" ht="15.75" hidden="1" customHeight="1" x14ac:dyDescent="0.25">
      <c r="A75" s="118">
        <v>4</v>
      </c>
      <c r="B75" s="99" t="s">
        <v>114</v>
      </c>
      <c r="C75" s="100"/>
      <c r="D75" s="100"/>
      <c r="E75" s="100"/>
      <c r="F75" s="100"/>
      <c r="G75" s="100"/>
      <c r="H75" s="100"/>
      <c r="I75" s="100"/>
      <c r="J75" s="100"/>
      <c r="K75" s="101"/>
      <c r="L75" s="120">
        <v>2</v>
      </c>
      <c r="M75" s="101"/>
      <c r="N75" s="120"/>
      <c r="O75" s="101"/>
      <c r="P75" s="99"/>
      <c r="Q75" s="100"/>
      <c r="R75" s="100"/>
      <c r="S75" s="100"/>
      <c r="T75" s="100"/>
      <c r="U75" s="100"/>
      <c r="V75" s="100"/>
      <c r="W75" s="100"/>
      <c r="X75" s="100"/>
      <c r="Y75" s="100"/>
      <c r="Z75" s="100"/>
      <c r="AA75" s="100"/>
      <c r="AB75" s="100"/>
      <c r="AC75" s="100"/>
      <c r="AD75" s="100"/>
      <c r="AE75" s="100"/>
      <c r="AF75" s="100"/>
      <c r="AG75" s="100"/>
      <c r="AH75" s="100"/>
      <c r="AI75" s="100"/>
      <c r="AJ75" s="101"/>
      <c r="AK75" s="99"/>
      <c r="AL75" s="100"/>
      <c r="AM75" s="100"/>
      <c r="AN75" s="100"/>
      <c r="AO75" s="100"/>
      <c r="AP75" s="100"/>
      <c r="AQ75" s="100"/>
      <c r="AR75" s="101"/>
    </row>
    <row r="76" spans="1:44" ht="15.75" hidden="1" customHeight="1" x14ac:dyDescent="0.25">
      <c r="A76" s="119"/>
      <c r="B76" s="105"/>
      <c r="C76" s="106"/>
      <c r="D76" s="106"/>
      <c r="E76" s="106"/>
      <c r="F76" s="106"/>
      <c r="G76" s="106"/>
      <c r="H76" s="106"/>
      <c r="I76" s="106"/>
      <c r="J76" s="106"/>
      <c r="K76" s="107"/>
      <c r="L76" s="105"/>
      <c r="M76" s="107"/>
      <c r="N76" s="105"/>
      <c r="O76" s="107"/>
      <c r="P76" s="105"/>
      <c r="Q76" s="106"/>
      <c r="R76" s="106"/>
      <c r="S76" s="106"/>
      <c r="T76" s="106"/>
      <c r="U76" s="106"/>
      <c r="V76" s="106"/>
      <c r="W76" s="106"/>
      <c r="X76" s="106"/>
      <c r="Y76" s="106"/>
      <c r="Z76" s="106"/>
      <c r="AA76" s="106"/>
      <c r="AB76" s="106"/>
      <c r="AC76" s="106"/>
      <c r="AD76" s="106"/>
      <c r="AE76" s="106"/>
      <c r="AF76" s="106"/>
      <c r="AG76" s="106"/>
      <c r="AH76" s="106"/>
      <c r="AI76" s="106"/>
      <c r="AJ76" s="107"/>
      <c r="AK76" s="105"/>
      <c r="AL76" s="106"/>
      <c r="AM76" s="106"/>
      <c r="AN76" s="106"/>
      <c r="AO76" s="106"/>
      <c r="AP76" s="106"/>
      <c r="AQ76" s="106"/>
      <c r="AR76" s="107"/>
    </row>
    <row r="77" spans="1:44" ht="14.25" hidden="1" customHeight="1" x14ac:dyDescent="0.25">
      <c r="A77" s="115" t="s">
        <v>115</v>
      </c>
      <c r="B77" s="100"/>
      <c r="C77" s="100"/>
      <c r="D77" s="100"/>
      <c r="E77" s="100"/>
      <c r="F77" s="100"/>
      <c r="G77" s="100"/>
      <c r="H77" s="100"/>
      <c r="I77" s="100"/>
      <c r="J77" s="100"/>
      <c r="K77" s="100"/>
      <c r="L77" s="100"/>
      <c r="M77" s="101"/>
      <c r="N77" s="116">
        <f>SUM(N69:O76)/SUM($L$69:$M$76)</f>
        <v>0</v>
      </c>
      <c r="O77" s="101"/>
      <c r="P77" s="117" t="str">
        <f>IF(AND(N77&gt;0%,N77&lt;85%),"KHÔNG ĐẠT",IF(AND(N77&gt;=85%),"ĐẠT",IF(AND(N77=0),"N/A")))</f>
        <v>N/A</v>
      </c>
      <c r="Q77" s="100"/>
      <c r="R77" s="100"/>
      <c r="S77" s="100"/>
      <c r="T77" s="100"/>
      <c r="U77" s="100"/>
      <c r="V77" s="100"/>
      <c r="W77" s="100"/>
      <c r="X77" s="100"/>
      <c r="Y77" s="100"/>
      <c r="Z77" s="100"/>
      <c r="AA77" s="100"/>
      <c r="AB77" s="100"/>
      <c r="AC77" s="100"/>
      <c r="AD77" s="100"/>
      <c r="AE77" s="100"/>
      <c r="AF77" s="100"/>
      <c r="AG77" s="100"/>
      <c r="AH77" s="100"/>
      <c r="AI77" s="100"/>
      <c r="AJ77" s="101"/>
      <c r="AK77" s="117"/>
      <c r="AL77" s="100"/>
      <c r="AM77" s="100"/>
      <c r="AN77" s="100"/>
      <c r="AO77" s="100"/>
      <c r="AP77" s="100"/>
      <c r="AQ77" s="100"/>
      <c r="AR77" s="101"/>
    </row>
    <row r="78" spans="1:44" ht="14.25" hidden="1" customHeight="1" x14ac:dyDescent="0.25">
      <c r="A78" s="105"/>
      <c r="B78" s="106"/>
      <c r="C78" s="106"/>
      <c r="D78" s="106"/>
      <c r="E78" s="106"/>
      <c r="F78" s="106"/>
      <c r="G78" s="106"/>
      <c r="H78" s="106"/>
      <c r="I78" s="106"/>
      <c r="J78" s="106"/>
      <c r="K78" s="106"/>
      <c r="L78" s="106"/>
      <c r="M78" s="107"/>
      <c r="N78" s="105"/>
      <c r="O78" s="107"/>
      <c r="P78" s="105"/>
      <c r="Q78" s="106"/>
      <c r="R78" s="106"/>
      <c r="S78" s="106"/>
      <c r="T78" s="106"/>
      <c r="U78" s="106"/>
      <c r="V78" s="106"/>
      <c r="W78" s="106"/>
      <c r="X78" s="106"/>
      <c r="Y78" s="106"/>
      <c r="Z78" s="106"/>
      <c r="AA78" s="106"/>
      <c r="AB78" s="106"/>
      <c r="AC78" s="106"/>
      <c r="AD78" s="106"/>
      <c r="AE78" s="106"/>
      <c r="AF78" s="106"/>
      <c r="AG78" s="106"/>
      <c r="AH78" s="106"/>
      <c r="AI78" s="106"/>
      <c r="AJ78" s="107"/>
      <c r="AK78" s="105"/>
      <c r="AL78" s="106"/>
      <c r="AM78" s="106"/>
      <c r="AN78" s="106"/>
      <c r="AO78" s="106"/>
      <c r="AP78" s="106"/>
      <c r="AQ78" s="106"/>
      <c r="AR78" s="107"/>
    </row>
    <row r="79" spans="1:44" ht="8.25" hidden="1" customHeight="1" x14ac:dyDescent="0.25">
      <c r="A79" s="63"/>
      <c r="B79" s="62"/>
      <c r="C79" s="62"/>
      <c r="D79" s="62"/>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row>
    <row r="80" spans="1:44" ht="15.75" customHeight="1" x14ac:dyDescent="0.25">
      <c r="A80" s="80" t="s">
        <v>2</v>
      </c>
      <c r="B80" s="81"/>
      <c r="C80" s="81"/>
      <c r="D80" s="81" t="s">
        <v>116</v>
      </c>
      <c r="E80" s="82"/>
      <c r="F80" s="82"/>
      <c r="G80" s="82"/>
      <c r="H80" s="82"/>
      <c r="I80" s="82"/>
      <c r="J80" s="82"/>
      <c r="K80" s="82"/>
      <c r="L80" s="82"/>
      <c r="M80" s="82"/>
      <c r="N80" s="82"/>
      <c r="O80" s="82"/>
      <c r="P80" s="82"/>
      <c r="Q80" s="82"/>
      <c r="R80" s="82"/>
      <c r="S80" s="82"/>
      <c r="T80" s="82"/>
      <c r="U80" s="82"/>
      <c r="V80" s="82"/>
      <c r="W80" s="82"/>
      <c r="X80" s="82"/>
      <c r="Y80" s="82"/>
      <c r="Z80" s="82"/>
      <c r="AA80" s="82"/>
      <c r="AB80" s="82"/>
      <c r="AC80" s="82"/>
      <c r="AD80" s="82"/>
      <c r="AE80" s="82"/>
      <c r="AF80" s="82"/>
      <c r="AG80" s="82"/>
      <c r="AH80" s="82"/>
      <c r="AI80" s="82"/>
      <c r="AJ80" s="82"/>
      <c r="AK80" s="82"/>
      <c r="AL80" s="82"/>
      <c r="AM80" s="82"/>
      <c r="AN80" s="82"/>
      <c r="AO80" s="82"/>
      <c r="AP80" s="82"/>
      <c r="AQ80" s="82"/>
      <c r="AR80" s="82"/>
    </row>
    <row r="81" spans="1:44" ht="8.25" customHeight="1" x14ac:dyDescent="0.25">
      <c r="A81" s="63"/>
      <c r="B81" s="62"/>
      <c r="C81" s="62"/>
      <c r="D81" s="62"/>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row>
    <row r="82" spans="1:44" ht="15" customHeight="1" x14ac:dyDescent="0.25">
      <c r="A82" s="113" t="s">
        <v>117</v>
      </c>
      <c r="B82" s="97"/>
      <c r="C82" s="97"/>
      <c r="D82" s="97"/>
      <c r="E82" s="97"/>
      <c r="F82" s="97"/>
      <c r="G82" s="97"/>
      <c r="H82" s="97"/>
      <c r="I82" s="97"/>
      <c r="J82" s="97"/>
      <c r="K82" s="97"/>
      <c r="L82" s="97"/>
      <c r="M82" s="97"/>
      <c r="N82" s="97"/>
      <c r="O82" s="98"/>
      <c r="P82" s="113" t="s">
        <v>118</v>
      </c>
      <c r="Q82" s="97"/>
      <c r="R82" s="97"/>
      <c r="S82" s="97"/>
      <c r="T82" s="97"/>
      <c r="U82" s="97"/>
      <c r="V82" s="97"/>
      <c r="W82" s="97"/>
      <c r="X82" s="97"/>
      <c r="Y82" s="97"/>
      <c r="Z82" s="97"/>
      <c r="AA82" s="97"/>
      <c r="AB82" s="97"/>
      <c r="AC82" s="97"/>
      <c r="AD82" s="98"/>
      <c r="AE82" s="113" t="s">
        <v>119</v>
      </c>
      <c r="AF82" s="97"/>
      <c r="AG82" s="97"/>
      <c r="AH82" s="97"/>
      <c r="AI82" s="97"/>
      <c r="AJ82" s="97"/>
      <c r="AK82" s="97"/>
      <c r="AL82" s="97"/>
      <c r="AM82" s="97"/>
      <c r="AN82" s="97"/>
      <c r="AO82" s="97"/>
      <c r="AP82" s="97"/>
      <c r="AQ82" s="97"/>
      <c r="AR82" s="98"/>
    </row>
    <row r="83" spans="1:44" ht="15.75" customHeight="1" x14ac:dyDescent="0.25">
      <c r="A83" s="99"/>
      <c r="B83" s="100"/>
      <c r="C83" s="100"/>
      <c r="D83" s="100"/>
      <c r="E83" s="100"/>
      <c r="F83" s="100"/>
      <c r="G83" s="100"/>
      <c r="H83" s="100"/>
      <c r="I83" s="100"/>
      <c r="J83" s="100"/>
      <c r="K83" s="100"/>
      <c r="L83" s="100"/>
      <c r="M83" s="100"/>
      <c r="N83" s="100"/>
      <c r="O83" s="101"/>
      <c r="P83" s="99"/>
      <c r="Q83" s="100"/>
      <c r="R83" s="100"/>
      <c r="S83" s="100"/>
      <c r="T83" s="100"/>
      <c r="U83" s="100"/>
      <c r="V83" s="100"/>
      <c r="W83" s="100"/>
      <c r="X83" s="100"/>
      <c r="Y83" s="100"/>
      <c r="Z83" s="100"/>
      <c r="AA83" s="100"/>
      <c r="AB83" s="100"/>
      <c r="AC83" s="100"/>
      <c r="AD83" s="101"/>
      <c r="AE83" s="99"/>
      <c r="AF83" s="100"/>
      <c r="AG83" s="100"/>
      <c r="AH83" s="100"/>
      <c r="AI83" s="100"/>
      <c r="AJ83" s="100"/>
      <c r="AK83" s="100"/>
      <c r="AL83" s="100"/>
      <c r="AM83" s="100"/>
      <c r="AN83" s="100"/>
      <c r="AO83" s="100"/>
      <c r="AP83" s="100"/>
      <c r="AQ83" s="100"/>
      <c r="AR83" s="101"/>
    </row>
    <row r="84" spans="1:44" ht="15.75" customHeight="1" x14ac:dyDescent="0.25">
      <c r="A84" s="102"/>
      <c r="B84" s="103"/>
      <c r="C84" s="103"/>
      <c r="D84" s="103"/>
      <c r="E84" s="103"/>
      <c r="F84" s="103"/>
      <c r="G84" s="103"/>
      <c r="H84" s="103"/>
      <c r="I84" s="103"/>
      <c r="J84" s="103"/>
      <c r="K84" s="103"/>
      <c r="L84" s="103"/>
      <c r="M84" s="103"/>
      <c r="N84" s="103"/>
      <c r="O84" s="104"/>
      <c r="P84" s="102"/>
      <c r="Q84" s="103"/>
      <c r="R84" s="103"/>
      <c r="S84" s="103"/>
      <c r="T84" s="103"/>
      <c r="U84" s="103"/>
      <c r="V84" s="103"/>
      <c r="W84" s="103"/>
      <c r="X84" s="103"/>
      <c r="Y84" s="103"/>
      <c r="Z84" s="103"/>
      <c r="AA84" s="103"/>
      <c r="AB84" s="103"/>
      <c r="AC84" s="103"/>
      <c r="AD84" s="104"/>
      <c r="AE84" s="102"/>
      <c r="AF84" s="103"/>
      <c r="AG84" s="103"/>
      <c r="AH84" s="103"/>
      <c r="AI84" s="103"/>
      <c r="AJ84" s="103"/>
      <c r="AK84" s="103"/>
      <c r="AL84" s="103"/>
      <c r="AM84" s="103"/>
      <c r="AN84" s="103"/>
      <c r="AO84" s="103"/>
      <c r="AP84" s="103"/>
      <c r="AQ84" s="103"/>
      <c r="AR84" s="104"/>
    </row>
    <row r="85" spans="1:44" ht="15.75" customHeight="1" x14ac:dyDescent="0.25">
      <c r="A85" s="102"/>
      <c r="B85" s="103"/>
      <c r="C85" s="103"/>
      <c r="D85" s="103"/>
      <c r="E85" s="103"/>
      <c r="F85" s="103"/>
      <c r="G85" s="103"/>
      <c r="H85" s="103"/>
      <c r="I85" s="103"/>
      <c r="J85" s="103"/>
      <c r="K85" s="103"/>
      <c r="L85" s="103"/>
      <c r="M85" s="103"/>
      <c r="N85" s="103"/>
      <c r="O85" s="104"/>
      <c r="P85" s="102"/>
      <c r="Q85" s="103"/>
      <c r="R85" s="103"/>
      <c r="S85" s="103"/>
      <c r="T85" s="103"/>
      <c r="U85" s="103"/>
      <c r="V85" s="103"/>
      <c r="W85" s="103"/>
      <c r="X85" s="103"/>
      <c r="Y85" s="103"/>
      <c r="Z85" s="103"/>
      <c r="AA85" s="103"/>
      <c r="AB85" s="103"/>
      <c r="AC85" s="103"/>
      <c r="AD85" s="104"/>
      <c r="AE85" s="102"/>
      <c r="AF85" s="103"/>
      <c r="AG85" s="103"/>
      <c r="AH85" s="103"/>
      <c r="AI85" s="103"/>
      <c r="AJ85" s="103"/>
      <c r="AK85" s="103"/>
      <c r="AL85" s="103"/>
      <c r="AM85" s="103"/>
      <c r="AN85" s="103"/>
      <c r="AO85" s="103"/>
      <c r="AP85" s="103"/>
      <c r="AQ85" s="103"/>
      <c r="AR85" s="104"/>
    </row>
    <row r="86" spans="1:44" ht="15.75" customHeight="1" x14ac:dyDescent="0.25">
      <c r="A86" s="102"/>
      <c r="B86" s="103"/>
      <c r="C86" s="103"/>
      <c r="D86" s="103"/>
      <c r="E86" s="103"/>
      <c r="F86" s="103"/>
      <c r="G86" s="103"/>
      <c r="H86" s="103"/>
      <c r="I86" s="103"/>
      <c r="J86" s="103"/>
      <c r="K86" s="103"/>
      <c r="L86" s="103"/>
      <c r="M86" s="103"/>
      <c r="N86" s="103"/>
      <c r="O86" s="104"/>
      <c r="P86" s="102"/>
      <c r="Q86" s="103"/>
      <c r="R86" s="103"/>
      <c r="S86" s="103"/>
      <c r="T86" s="103"/>
      <c r="U86" s="103"/>
      <c r="V86" s="103"/>
      <c r="W86" s="103"/>
      <c r="X86" s="103"/>
      <c r="Y86" s="103"/>
      <c r="Z86" s="103"/>
      <c r="AA86" s="103"/>
      <c r="AB86" s="103"/>
      <c r="AC86" s="103"/>
      <c r="AD86" s="104"/>
      <c r="AE86" s="102"/>
      <c r="AF86" s="103"/>
      <c r="AG86" s="103"/>
      <c r="AH86" s="103"/>
      <c r="AI86" s="103"/>
      <c r="AJ86" s="103"/>
      <c r="AK86" s="103"/>
      <c r="AL86" s="103"/>
      <c r="AM86" s="103"/>
      <c r="AN86" s="103"/>
      <c r="AO86" s="103"/>
      <c r="AP86" s="103"/>
      <c r="AQ86" s="103"/>
      <c r="AR86" s="104"/>
    </row>
    <row r="87" spans="1:44" ht="15.75" customHeight="1" x14ac:dyDescent="0.25">
      <c r="A87" s="102"/>
      <c r="B87" s="103"/>
      <c r="C87" s="103"/>
      <c r="D87" s="103"/>
      <c r="E87" s="103"/>
      <c r="F87" s="103"/>
      <c r="G87" s="103"/>
      <c r="H87" s="103"/>
      <c r="I87" s="103"/>
      <c r="J87" s="103"/>
      <c r="K87" s="103"/>
      <c r="L87" s="103"/>
      <c r="M87" s="103"/>
      <c r="N87" s="103"/>
      <c r="O87" s="104"/>
      <c r="P87" s="102"/>
      <c r="Q87" s="103"/>
      <c r="R87" s="103"/>
      <c r="S87" s="103"/>
      <c r="T87" s="103"/>
      <c r="U87" s="103"/>
      <c r="V87" s="103"/>
      <c r="W87" s="103"/>
      <c r="X87" s="103"/>
      <c r="Y87" s="103"/>
      <c r="Z87" s="103"/>
      <c r="AA87" s="103"/>
      <c r="AB87" s="103"/>
      <c r="AC87" s="103"/>
      <c r="AD87" s="104"/>
      <c r="AE87" s="102"/>
      <c r="AF87" s="103"/>
      <c r="AG87" s="103"/>
      <c r="AH87" s="103"/>
      <c r="AI87" s="103"/>
      <c r="AJ87" s="103"/>
      <c r="AK87" s="103"/>
      <c r="AL87" s="103"/>
      <c r="AM87" s="103"/>
      <c r="AN87" s="103"/>
      <c r="AO87" s="103"/>
      <c r="AP87" s="103"/>
      <c r="AQ87" s="103"/>
      <c r="AR87" s="104"/>
    </row>
    <row r="88" spans="1:44" ht="15.75" customHeight="1" x14ac:dyDescent="0.25">
      <c r="A88" s="105"/>
      <c r="B88" s="106"/>
      <c r="C88" s="106"/>
      <c r="D88" s="106"/>
      <c r="E88" s="106"/>
      <c r="F88" s="106"/>
      <c r="G88" s="106"/>
      <c r="H88" s="106"/>
      <c r="I88" s="106"/>
      <c r="J88" s="106"/>
      <c r="K88" s="106"/>
      <c r="L88" s="106"/>
      <c r="M88" s="106"/>
      <c r="N88" s="106"/>
      <c r="O88" s="107"/>
      <c r="P88" s="105"/>
      <c r="Q88" s="106"/>
      <c r="R88" s="106"/>
      <c r="S88" s="106"/>
      <c r="T88" s="106"/>
      <c r="U88" s="106"/>
      <c r="V88" s="106"/>
      <c r="W88" s="106"/>
      <c r="X88" s="106"/>
      <c r="Y88" s="106"/>
      <c r="Z88" s="106"/>
      <c r="AA88" s="106"/>
      <c r="AB88" s="106"/>
      <c r="AC88" s="106"/>
      <c r="AD88" s="107"/>
      <c r="AE88" s="105"/>
      <c r="AF88" s="106"/>
      <c r="AG88" s="106"/>
      <c r="AH88" s="106"/>
      <c r="AI88" s="106"/>
      <c r="AJ88" s="106"/>
      <c r="AK88" s="106"/>
      <c r="AL88" s="106"/>
      <c r="AM88" s="106"/>
      <c r="AN88" s="106"/>
      <c r="AO88" s="106"/>
      <c r="AP88" s="106"/>
      <c r="AQ88" s="106"/>
      <c r="AR88" s="107"/>
    </row>
    <row r="89" spans="1:44" ht="15.75" customHeight="1" x14ac:dyDescent="0.25">
      <c r="A89" s="96" t="s">
        <v>120</v>
      </c>
      <c r="B89" s="97"/>
      <c r="C89" s="97"/>
      <c r="D89" s="97"/>
      <c r="E89" s="97"/>
      <c r="F89" s="97"/>
      <c r="G89" s="97"/>
      <c r="H89" s="97"/>
      <c r="I89" s="97"/>
      <c r="J89" s="97"/>
      <c r="K89" s="97"/>
      <c r="L89" s="97"/>
      <c r="M89" s="97"/>
      <c r="N89" s="97"/>
      <c r="O89" s="98"/>
      <c r="P89" s="96" t="s">
        <v>120</v>
      </c>
      <c r="Q89" s="97"/>
      <c r="R89" s="97"/>
      <c r="S89" s="97"/>
      <c r="T89" s="97"/>
      <c r="U89" s="97"/>
      <c r="V89" s="97"/>
      <c r="W89" s="97"/>
      <c r="X89" s="97"/>
      <c r="Y89" s="97"/>
      <c r="Z89" s="97"/>
      <c r="AA89" s="97"/>
      <c r="AB89" s="97"/>
      <c r="AC89" s="97"/>
      <c r="AD89" s="98"/>
      <c r="AE89" s="96" t="s">
        <v>120</v>
      </c>
      <c r="AF89" s="97"/>
      <c r="AG89" s="97"/>
      <c r="AH89" s="97"/>
      <c r="AI89" s="97"/>
      <c r="AJ89" s="97"/>
      <c r="AK89" s="97"/>
      <c r="AL89" s="97"/>
      <c r="AM89" s="97"/>
      <c r="AN89" s="97"/>
      <c r="AO89" s="97"/>
      <c r="AP89" s="97"/>
      <c r="AQ89" s="97"/>
      <c r="AR89" s="98"/>
    </row>
    <row r="90" spans="1:44" ht="15.75" customHeight="1" x14ac:dyDescent="0.25">
      <c r="A90" s="96" t="s">
        <v>148</v>
      </c>
      <c r="B90" s="97"/>
      <c r="C90" s="97"/>
      <c r="D90" s="97"/>
      <c r="E90" s="97"/>
      <c r="F90" s="97"/>
      <c r="G90" s="97"/>
      <c r="H90" s="97"/>
      <c r="I90" s="97"/>
      <c r="J90" s="97"/>
      <c r="K90" s="97"/>
      <c r="L90" s="97"/>
      <c r="M90" s="97"/>
      <c r="N90" s="97"/>
      <c r="O90" s="98"/>
      <c r="P90" s="96" t="s">
        <v>148</v>
      </c>
      <c r="Q90" s="97"/>
      <c r="R90" s="97"/>
      <c r="S90" s="97"/>
      <c r="T90" s="97"/>
      <c r="U90" s="97"/>
      <c r="V90" s="97"/>
      <c r="W90" s="97"/>
      <c r="X90" s="97"/>
      <c r="Y90" s="97"/>
      <c r="Z90" s="97"/>
      <c r="AA90" s="97"/>
      <c r="AB90" s="97"/>
      <c r="AC90" s="97"/>
      <c r="AD90" s="98"/>
      <c r="AE90" s="96" t="s">
        <v>148</v>
      </c>
      <c r="AF90" s="97"/>
      <c r="AG90" s="97"/>
      <c r="AH90" s="97"/>
      <c r="AI90" s="97"/>
      <c r="AJ90" s="97"/>
      <c r="AK90" s="97"/>
      <c r="AL90" s="97"/>
      <c r="AM90" s="97"/>
      <c r="AN90" s="97"/>
      <c r="AO90" s="97"/>
      <c r="AP90" s="97"/>
      <c r="AQ90" s="97"/>
      <c r="AR90" s="98"/>
    </row>
    <row r="91" spans="1:44" ht="8.25" customHeight="1" x14ac:dyDescent="0.25">
      <c r="A91" s="63"/>
      <c r="B91" s="62"/>
      <c r="C91" s="62"/>
      <c r="D91" s="62"/>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row>
    <row r="92" spans="1:44" ht="15.75" hidden="1" customHeight="1" x14ac:dyDescent="0.25">
      <c r="A92" s="114" t="s">
        <v>121</v>
      </c>
      <c r="B92" s="112"/>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c r="AA92" s="112"/>
      <c r="AB92" s="112"/>
      <c r="AC92" s="112"/>
      <c r="AD92" s="112"/>
      <c r="AE92" s="112"/>
      <c r="AF92" s="112"/>
      <c r="AG92" s="112"/>
      <c r="AH92" s="112"/>
      <c r="AI92" s="112"/>
      <c r="AJ92" s="112"/>
      <c r="AK92" s="112"/>
      <c r="AL92" s="112"/>
      <c r="AM92" s="112"/>
      <c r="AN92" s="112"/>
      <c r="AO92" s="112"/>
      <c r="AP92" s="112"/>
      <c r="AQ92" s="112"/>
      <c r="AR92" s="112"/>
    </row>
    <row r="93" spans="1:44" ht="8.25" hidden="1" customHeight="1" x14ac:dyDescent="0.25">
      <c r="A93" s="63"/>
      <c r="B93" s="62"/>
      <c r="C93" s="62"/>
      <c r="D93" s="62"/>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row>
    <row r="94" spans="1:44" ht="15" hidden="1" customHeight="1" x14ac:dyDescent="0.25">
      <c r="A94" s="80" t="s">
        <v>1</v>
      </c>
      <c r="B94" s="111" t="s">
        <v>122</v>
      </c>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row>
    <row r="95" spans="1:44" ht="8.25" hidden="1" customHeight="1" x14ac:dyDescent="0.25">
      <c r="A95" s="63"/>
      <c r="B95" s="62"/>
      <c r="C95" s="62"/>
      <c r="D95" s="62"/>
      <c r="E95" s="58"/>
      <c r="F95" s="58"/>
      <c r="G95" s="58"/>
      <c r="H95" s="58"/>
      <c r="I95" s="58"/>
      <c r="J95" s="58"/>
      <c r="K95" s="58"/>
      <c r="L95" s="58"/>
      <c r="M95" s="58"/>
      <c r="N95" s="58"/>
      <c r="O95" s="58"/>
      <c r="P95" s="58"/>
      <c r="Q95" s="58"/>
      <c r="R95" s="58"/>
      <c r="S95" s="58"/>
      <c r="T95" s="58"/>
      <c r="U95" s="79"/>
      <c r="V95" s="58"/>
      <c r="W95" s="58"/>
      <c r="X95" s="58"/>
      <c r="Y95" s="58"/>
      <c r="Z95" s="58"/>
      <c r="AA95" s="58"/>
      <c r="AB95" s="58"/>
      <c r="AC95" s="58"/>
      <c r="AD95" s="58"/>
      <c r="AE95" s="79"/>
      <c r="AF95" s="58"/>
      <c r="AG95" s="58"/>
      <c r="AH95" s="58"/>
      <c r="AI95" s="58"/>
      <c r="AJ95" s="58"/>
      <c r="AK95" s="58"/>
      <c r="AL95" s="58"/>
      <c r="AM95" s="58"/>
      <c r="AN95" s="58"/>
      <c r="AO95" s="58"/>
      <c r="AP95" s="58"/>
      <c r="AQ95" s="58"/>
      <c r="AR95" s="58"/>
    </row>
    <row r="96" spans="1:44" ht="15.75" hidden="1" customHeight="1" x14ac:dyDescent="0.25">
      <c r="A96" s="109" t="s">
        <v>123</v>
      </c>
      <c r="B96" s="103"/>
      <c r="C96" s="103"/>
      <c r="D96" s="103"/>
      <c r="E96" s="103"/>
      <c r="F96" s="103"/>
      <c r="G96" s="103"/>
      <c r="H96" s="103"/>
      <c r="I96" s="103"/>
      <c r="J96" s="103"/>
      <c r="K96" s="103"/>
      <c r="L96" s="59"/>
      <c r="M96" s="59"/>
      <c r="N96" s="110">
        <f>AVERAGE(AC30:AR31)</f>
        <v>0.4375</v>
      </c>
      <c r="O96" s="100"/>
      <c r="P96" s="100"/>
      <c r="Q96" s="100"/>
      <c r="R96" s="100"/>
      <c r="S96" s="100"/>
      <c r="T96" s="100"/>
      <c r="U96" s="101"/>
      <c r="V96" s="58"/>
      <c r="W96" s="58"/>
      <c r="X96" s="58"/>
      <c r="Y96" s="55"/>
      <c r="Z96" s="58"/>
      <c r="AA96" s="55" t="s">
        <v>124</v>
      </c>
      <c r="AB96" s="58"/>
      <c r="AC96" s="58"/>
      <c r="AD96" s="58"/>
      <c r="AE96" s="78"/>
      <c r="AF96" s="59"/>
      <c r="AG96" s="59"/>
      <c r="AH96" s="110" t="e">
        <f>N96*20%+N98*50%+N100*30%</f>
        <v>#DIV/0!</v>
      </c>
      <c r="AI96" s="100"/>
      <c r="AJ96" s="100"/>
      <c r="AK96" s="100"/>
      <c r="AL96" s="100"/>
      <c r="AM96" s="100"/>
      <c r="AN96" s="100"/>
      <c r="AO96" s="101"/>
      <c r="AP96" s="58"/>
      <c r="AQ96" s="58"/>
      <c r="AR96" s="58"/>
    </row>
    <row r="97" spans="1:44" ht="15.75" hidden="1" customHeight="1" x14ac:dyDescent="0.25">
      <c r="A97" s="63"/>
      <c r="B97" s="62"/>
      <c r="C97" s="62"/>
      <c r="D97" s="56"/>
      <c r="E97" s="58"/>
      <c r="F97" s="58"/>
      <c r="G97" s="58"/>
      <c r="H97" s="58"/>
      <c r="I97" s="58"/>
      <c r="J97" s="58"/>
      <c r="K97" s="59"/>
      <c r="L97" s="59"/>
      <c r="M97" s="59"/>
      <c r="N97" s="105"/>
      <c r="O97" s="106"/>
      <c r="P97" s="106"/>
      <c r="Q97" s="106"/>
      <c r="R97" s="106"/>
      <c r="S97" s="106"/>
      <c r="T97" s="106"/>
      <c r="U97" s="107"/>
      <c r="V97" s="58"/>
      <c r="W97" s="58"/>
      <c r="X97" s="58"/>
      <c r="Y97" s="58"/>
      <c r="Z97" s="58"/>
      <c r="AA97" s="58"/>
      <c r="AB97" s="58"/>
      <c r="AC97" s="58"/>
      <c r="AD97" s="58"/>
      <c r="AE97" s="78"/>
      <c r="AF97" s="59"/>
      <c r="AG97" s="59"/>
      <c r="AH97" s="102"/>
      <c r="AI97" s="103"/>
      <c r="AJ97" s="103"/>
      <c r="AK97" s="103"/>
      <c r="AL97" s="103"/>
      <c r="AM97" s="103"/>
      <c r="AN97" s="103"/>
      <c r="AO97" s="104"/>
      <c r="AP97" s="58"/>
      <c r="AQ97" s="58"/>
      <c r="AR97" s="58"/>
    </row>
    <row r="98" spans="1:44" ht="15.75" hidden="1" customHeight="1" x14ac:dyDescent="0.25">
      <c r="A98" s="109" t="s">
        <v>125</v>
      </c>
      <c r="B98" s="103"/>
      <c r="C98" s="103"/>
      <c r="D98" s="103"/>
      <c r="E98" s="103"/>
      <c r="F98" s="103"/>
      <c r="G98" s="103"/>
      <c r="H98" s="103"/>
      <c r="I98" s="103"/>
      <c r="J98" s="103"/>
      <c r="K98" s="78"/>
      <c r="L98" s="59"/>
      <c r="M98" s="59"/>
      <c r="N98" s="110" t="e">
        <f>AC47*20%+AG47*25%+AK47*25%+AO47*30%</f>
        <v>#DIV/0!</v>
      </c>
      <c r="O98" s="100"/>
      <c r="P98" s="100"/>
      <c r="Q98" s="100"/>
      <c r="R98" s="100"/>
      <c r="S98" s="100"/>
      <c r="T98" s="100"/>
      <c r="U98" s="101"/>
      <c r="V98" s="58"/>
      <c r="W98" s="58"/>
      <c r="X98" s="58"/>
      <c r="Y98" s="58"/>
      <c r="Z98" s="58"/>
      <c r="AA98" s="58"/>
      <c r="AB98" s="58"/>
      <c r="AC98" s="58"/>
      <c r="AD98" s="58"/>
      <c r="AE98" s="59"/>
      <c r="AF98" s="59"/>
      <c r="AG98" s="59"/>
      <c r="AH98" s="105"/>
      <c r="AI98" s="106"/>
      <c r="AJ98" s="106"/>
      <c r="AK98" s="106"/>
      <c r="AL98" s="106"/>
      <c r="AM98" s="106"/>
      <c r="AN98" s="106"/>
      <c r="AO98" s="107"/>
      <c r="AP98" s="58"/>
      <c r="AQ98" s="58"/>
      <c r="AR98" s="58"/>
    </row>
    <row r="99" spans="1:44" ht="15.75" hidden="1" customHeight="1" x14ac:dyDescent="0.25">
      <c r="A99" s="63"/>
      <c r="B99" s="62"/>
      <c r="C99" s="62"/>
      <c r="D99" s="56"/>
      <c r="E99" s="58"/>
      <c r="F99" s="58"/>
      <c r="G99" s="58"/>
      <c r="H99" s="58"/>
      <c r="I99" s="58"/>
      <c r="J99" s="58"/>
      <c r="K99" s="78"/>
      <c r="L99" s="59"/>
      <c r="M99" s="59"/>
      <c r="N99" s="105"/>
      <c r="O99" s="106"/>
      <c r="P99" s="106"/>
      <c r="Q99" s="106"/>
      <c r="R99" s="106"/>
      <c r="S99" s="106"/>
      <c r="T99" s="106"/>
      <c r="U99" s="107"/>
      <c r="V99" s="58"/>
      <c r="W99" s="58"/>
      <c r="X99" s="58"/>
      <c r="Y99" s="55"/>
      <c r="Z99" s="58"/>
      <c r="AA99" s="55" t="s">
        <v>126</v>
      </c>
      <c r="AB99" s="58"/>
      <c r="AC99" s="58"/>
      <c r="AD99" s="58"/>
      <c r="AE99" s="78"/>
      <c r="AF99" s="59"/>
      <c r="AG99" s="59"/>
      <c r="AH99" s="108"/>
      <c r="AI99" s="100"/>
      <c r="AJ99" s="100"/>
      <c r="AK99" s="100"/>
      <c r="AL99" s="100"/>
      <c r="AM99" s="100"/>
      <c r="AN99" s="100"/>
      <c r="AO99" s="101"/>
      <c r="AP99" s="58"/>
      <c r="AQ99" s="58"/>
      <c r="AR99" s="58"/>
    </row>
    <row r="100" spans="1:44" ht="15.75" hidden="1" customHeight="1" x14ac:dyDescent="0.25">
      <c r="A100" s="109" t="s">
        <v>127</v>
      </c>
      <c r="B100" s="103"/>
      <c r="C100" s="103"/>
      <c r="D100" s="103"/>
      <c r="E100" s="103"/>
      <c r="F100" s="103"/>
      <c r="G100" s="103"/>
      <c r="H100" s="103"/>
      <c r="I100" s="103"/>
      <c r="J100" s="103"/>
      <c r="K100" s="78"/>
      <c r="L100" s="59"/>
      <c r="M100" s="59"/>
      <c r="N100" s="110">
        <f>N77</f>
        <v>0</v>
      </c>
      <c r="O100" s="100"/>
      <c r="P100" s="100"/>
      <c r="Q100" s="100"/>
      <c r="R100" s="100"/>
      <c r="S100" s="100"/>
      <c r="T100" s="100"/>
      <c r="U100" s="101"/>
      <c r="V100" s="58"/>
      <c r="W100" s="58"/>
      <c r="X100" s="58"/>
      <c r="Y100" s="58"/>
      <c r="Z100" s="58"/>
      <c r="AA100" s="58"/>
      <c r="AB100" s="58"/>
      <c r="AC100" s="58"/>
      <c r="AD100" s="58"/>
      <c r="AE100" s="78"/>
      <c r="AF100" s="59"/>
      <c r="AG100" s="59"/>
      <c r="AH100" s="102"/>
      <c r="AI100" s="103"/>
      <c r="AJ100" s="103"/>
      <c r="AK100" s="103"/>
      <c r="AL100" s="103"/>
      <c r="AM100" s="103"/>
      <c r="AN100" s="103"/>
      <c r="AO100" s="104"/>
      <c r="AP100" s="58"/>
      <c r="AQ100" s="58"/>
      <c r="AR100" s="58"/>
    </row>
    <row r="101" spans="1:44" ht="15.75" hidden="1" customHeight="1" x14ac:dyDescent="0.25">
      <c r="A101" s="63"/>
      <c r="B101" s="62"/>
      <c r="C101" s="62"/>
      <c r="D101" s="62"/>
      <c r="E101" s="58"/>
      <c r="F101" s="58"/>
      <c r="G101" s="58"/>
      <c r="H101" s="58"/>
      <c r="I101" s="58"/>
      <c r="J101" s="58"/>
      <c r="K101" s="59"/>
      <c r="L101" s="59"/>
      <c r="M101" s="59"/>
      <c r="N101" s="105"/>
      <c r="O101" s="106"/>
      <c r="P101" s="106"/>
      <c r="Q101" s="106"/>
      <c r="R101" s="106"/>
      <c r="S101" s="106"/>
      <c r="T101" s="106"/>
      <c r="U101" s="107"/>
      <c r="V101" s="58"/>
      <c r="W101" s="58"/>
      <c r="X101" s="58"/>
      <c r="Y101" s="58"/>
      <c r="Z101" s="58"/>
      <c r="AA101" s="58"/>
      <c r="AB101" s="58"/>
      <c r="AC101" s="58"/>
      <c r="AD101" s="58"/>
      <c r="AE101" s="58"/>
      <c r="AF101" s="58"/>
      <c r="AG101" s="58"/>
      <c r="AH101" s="105"/>
      <c r="AI101" s="106"/>
      <c r="AJ101" s="106"/>
      <c r="AK101" s="106"/>
      <c r="AL101" s="106"/>
      <c r="AM101" s="106"/>
      <c r="AN101" s="106"/>
      <c r="AO101" s="107"/>
      <c r="AP101" s="58"/>
      <c r="AQ101" s="58"/>
      <c r="AR101" s="58"/>
    </row>
    <row r="102" spans="1:44" ht="15.75" hidden="1" customHeight="1" x14ac:dyDescent="0.25">
      <c r="A102" s="63"/>
      <c r="B102" s="62"/>
      <c r="C102" s="62"/>
      <c r="D102" s="62"/>
      <c r="E102" s="58"/>
      <c r="F102" s="58"/>
      <c r="G102" s="58"/>
      <c r="H102" s="58"/>
      <c r="I102" s="58"/>
      <c r="J102" s="58"/>
      <c r="K102" s="58"/>
      <c r="L102" s="58"/>
      <c r="M102" s="58"/>
      <c r="N102" s="58"/>
      <c r="O102" s="58"/>
      <c r="P102" s="58"/>
      <c r="Q102" s="58"/>
      <c r="R102" s="58"/>
      <c r="S102" s="58"/>
      <c r="T102" s="58"/>
      <c r="U102" s="79"/>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row>
    <row r="103" spans="1:44" ht="15" hidden="1" customHeight="1" x14ac:dyDescent="0.25">
      <c r="A103" s="80" t="s">
        <v>128</v>
      </c>
      <c r="B103" s="111" t="s">
        <v>129</v>
      </c>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c r="AA103" s="112"/>
      <c r="AB103" s="112"/>
      <c r="AC103" s="112"/>
      <c r="AD103" s="112"/>
      <c r="AE103" s="112"/>
      <c r="AF103" s="112"/>
      <c r="AG103" s="112"/>
      <c r="AH103" s="112"/>
      <c r="AI103" s="112"/>
      <c r="AJ103" s="112"/>
      <c r="AK103" s="112"/>
      <c r="AL103" s="112"/>
      <c r="AM103" s="112"/>
      <c r="AN103" s="112"/>
      <c r="AO103" s="112"/>
      <c r="AP103" s="112"/>
      <c r="AQ103" s="112"/>
      <c r="AR103" s="112"/>
    </row>
    <row r="104" spans="1:44" ht="8.25" hidden="1" customHeight="1" x14ac:dyDescent="0.25">
      <c r="A104" s="63"/>
      <c r="B104" s="62"/>
      <c r="C104" s="62"/>
      <c r="D104" s="62"/>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row>
    <row r="105" spans="1:44" ht="15.75" hidden="1" customHeight="1" x14ac:dyDescent="0.25">
      <c r="A105" s="113" t="s">
        <v>118</v>
      </c>
      <c r="B105" s="97"/>
      <c r="C105" s="97"/>
      <c r="D105" s="97"/>
      <c r="E105" s="97"/>
      <c r="F105" s="97"/>
      <c r="G105" s="97"/>
      <c r="H105" s="97"/>
      <c r="I105" s="97"/>
      <c r="J105" s="97"/>
      <c r="K105" s="97"/>
      <c r="L105" s="97"/>
      <c r="M105" s="97"/>
      <c r="N105" s="97"/>
      <c r="O105" s="98"/>
      <c r="P105" s="113" t="s">
        <v>130</v>
      </c>
      <c r="Q105" s="97"/>
      <c r="R105" s="97"/>
      <c r="S105" s="97"/>
      <c r="T105" s="97"/>
      <c r="U105" s="97"/>
      <c r="V105" s="97"/>
      <c r="W105" s="97"/>
      <c r="X105" s="97"/>
      <c r="Y105" s="97"/>
      <c r="Z105" s="97"/>
      <c r="AA105" s="97"/>
      <c r="AB105" s="97"/>
      <c r="AC105" s="97"/>
      <c r="AD105" s="98"/>
      <c r="AE105" s="113" t="s">
        <v>131</v>
      </c>
      <c r="AF105" s="97"/>
      <c r="AG105" s="97"/>
      <c r="AH105" s="97"/>
      <c r="AI105" s="97"/>
      <c r="AJ105" s="97"/>
      <c r="AK105" s="97"/>
      <c r="AL105" s="97"/>
      <c r="AM105" s="97"/>
      <c r="AN105" s="97"/>
      <c r="AO105" s="97"/>
      <c r="AP105" s="97"/>
      <c r="AQ105" s="97"/>
      <c r="AR105" s="98"/>
    </row>
    <row r="106" spans="1:44" ht="15.75" hidden="1" customHeight="1" x14ac:dyDescent="0.25">
      <c r="A106" s="99"/>
      <c r="B106" s="100"/>
      <c r="C106" s="100"/>
      <c r="D106" s="100"/>
      <c r="E106" s="100"/>
      <c r="F106" s="100"/>
      <c r="G106" s="100"/>
      <c r="H106" s="100"/>
      <c r="I106" s="100"/>
      <c r="J106" s="100"/>
      <c r="K106" s="100"/>
      <c r="L106" s="100"/>
      <c r="M106" s="100"/>
      <c r="N106" s="100"/>
      <c r="O106" s="101"/>
      <c r="P106" s="99"/>
      <c r="Q106" s="100"/>
      <c r="R106" s="100"/>
      <c r="S106" s="100"/>
      <c r="T106" s="100"/>
      <c r="U106" s="100"/>
      <c r="V106" s="100"/>
      <c r="W106" s="100"/>
      <c r="X106" s="100"/>
      <c r="Y106" s="100"/>
      <c r="Z106" s="100"/>
      <c r="AA106" s="100"/>
      <c r="AB106" s="100"/>
      <c r="AC106" s="100"/>
      <c r="AD106" s="101"/>
      <c r="AE106" s="99"/>
      <c r="AF106" s="100"/>
      <c r="AG106" s="100"/>
      <c r="AH106" s="100"/>
      <c r="AI106" s="100"/>
      <c r="AJ106" s="100"/>
      <c r="AK106" s="100"/>
      <c r="AL106" s="100"/>
      <c r="AM106" s="100"/>
      <c r="AN106" s="100"/>
      <c r="AO106" s="100"/>
      <c r="AP106" s="100"/>
      <c r="AQ106" s="100"/>
      <c r="AR106" s="101"/>
    </row>
    <row r="107" spans="1:44" ht="15.75" hidden="1" customHeight="1" x14ac:dyDescent="0.25">
      <c r="A107" s="102"/>
      <c r="B107" s="103"/>
      <c r="C107" s="103"/>
      <c r="D107" s="103"/>
      <c r="E107" s="103"/>
      <c r="F107" s="103"/>
      <c r="G107" s="103"/>
      <c r="H107" s="103"/>
      <c r="I107" s="103"/>
      <c r="J107" s="103"/>
      <c r="K107" s="103"/>
      <c r="L107" s="103"/>
      <c r="M107" s="103"/>
      <c r="N107" s="103"/>
      <c r="O107" s="104"/>
      <c r="P107" s="102"/>
      <c r="Q107" s="103"/>
      <c r="R107" s="103"/>
      <c r="S107" s="103"/>
      <c r="T107" s="103"/>
      <c r="U107" s="103"/>
      <c r="V107" s="103"/>
      <c r="W107" s="103"/>
      <c r="X107" s="103"/>
      <c r="Y107" s="103"/>
      <c r="Z107" s="103"/>
      <c r="AA107" s="103"/>
      <c r="AB107" s="103"/>
      <c r="AC107" s="103"/>
      <c r="AD107" s="104"/>
      <c r="AE107" s="102"/>
      <c r="AF107" s="103"/>
      <c r="AG107" s="103"/>
      <c r="AH107" s="103"/>
      <c r="AI107" s="103"/>
      <c r="AJ107" s="103"/>
      <c r="AK107" s="103"/>
      <c r="AL107" s="103"/>
      <c r="AM107" s="103"/>
      <c r="AN107" s="103"/>
      <c r="AO107" s="103"/>
      <c r="AP107" s="103"/>
      <c r="AQ107" s="103"/>
      <c r="AR107" s="104"/>
    </row>
    <row r="108" spans="1:44" ht="15.75" hidden="1" customHeight="1" x14ac:dyDescent="0.25">
      <c r="A108" s="102"/>
      <c r="B108" s="103"/>
      <c r="C108" s="103"/>
      <c r="D108" s="103"/>
      <c r="E108" s="103"/>
      <c r="F108" s="103"/>
      <c r="G108" s="103"/>
      <c r="H108" s="103"/>
      <c r="I108" s="103"/>
      <c r="J108" s="103"/>
      <c r="K108" s="103"/>
      <c r="L108" s="103"/>
      <c r="M108" s="103"/>
      <c r="N108" s="103"/>
      <c r="O108" s="104"/>
      <c r="P108" s="102"/>
      <c r="Q108" s="103"/>
      <c r="R108" s="103"/>
      <c r="S108" s="103"/>
      <c r="T108" s="103"/>
      <c r="U108" s="103"/>
      <c r="V108" s="103"/>
      <c r="W108" s="103"/>
      <c r="X108" s="103"/>
      <c r="Y108" s="103"/>
      <c r="Z108" s="103"/>
      <c r="AA108" s="103"/>
      <c r="AB108" s="103"/>
      <c r="AC108" s="103"/>
      <c r="AD108" s="104"/>
      <c r="AE108" s="102"/>
      <c r="AF108" s="103"/>
      <c r="AG108" s="103"/>
      <c r="AH108" s="103"/>
      <c r="AI108" s="103"/>
      <c r="AJ108" s="103"/>
      <c r="AK108" s="103"/>
      <c r="AL108" s="103"/>
      <c r="AM108" s="103"/>
      <c r="AN108" s="103"/>
      <c r="AO108" s="103"/>
      <c r="AP108" s="103"/>
      <c r="AQ108" s="103"/>
      <c r="AR108" s="104"/>
    </row>
    <row r="109" spans="1:44" ht="15.75" hidden="1" customHeight="1" x14ac:dyDescent="0.25">
      <c r="A109" s="102"/>
      <c r="B109" s="103"/>
      <c r="C109" s="103"/>
      <c r="D109" s="103"/>
      <c r="E109" s="103"/>
      <c r="F109" s="103"/>
      <c r="G109" s="103"/>
      <c r="H109" s="103"/>
      <c r="I109" s="103"/>
      <c r="J109" s="103"/>
      <c r="K109" s="103"/>
      <c r="L109" s="103"/>
      <c r="M109" s="103"/>
      <c r="N109" s="103"/>
      <c r="O109" s="104"/>
      <c r="P109" s="102"/>
      <c r="Q109" s="103"/>
      <c r="R109" s="103"/>
      <c r="S109" s="103"/>
      <c r="T109" s="103"/>
      <c r="U109" s="103"/>
      <c r="V109" s="103"/>
      <c r="W109" s="103"/>
      <c r="X109" s="103"/>
      <c r="Y109" s="103"/>
      <c r="Z109" s="103"/>
      <c r="AA109" s="103"/>
      <c r="AB109" s="103"/>
      <c r="AC109" s="103"/>
      <c r="AD109" s="104"/>
      <c r="AE109" s="102"/>
      <c r="AF109" s="103"/>
      <c r="AG109" s="103"/>
      <c r="AH109" s="103"/>
      <c r="AI109" s="103"/>
      <c r="AJ109" s="103"/>
      <c r="AK109" s="103"/>
      <c r="AL109" s="103"/>
      <c r="AM109" s="103"/>
      <c r="AN109" s="103"/>
      <c r="AO109" s="103"/>
      <c r="AP109" s="103"/>
      <c r="AQ109" s="103"/>
      <c r="AR109" s="104"/>
    </row>
    <row r="110" spans="1:44" ht="15.75" hidden="1" customHeight="1" x14ac:dyDescent="0.25">
      <c r="A110" s="102"/>
      <c r="B110" s="103"/>
      <c r="C110" s="103"/>
      <c r="D110" s="103"/>
      <c r="E110" s="103"/>
      <c r="F110" s="103"/>
      <c r="G110" s="103"/>
      <c r="H110" s="103"/>
      <c r="I110" s="103"/>
      <c r="J110" s="103"/>
      <c r="K110" s="103"/>
      <c r="L110" s="103"/>
      <c r="M110" s="103"/>
      <c r="N110" s="103"/>
      <c r="O110" s="104"/>
      <c r="P110" s="102"/>
      <c r="Q110" s="103"/>
      <c r="R110" s="103"/>
      <c r="S110" s="103"/>
      <c r="T110" s="103"/>
      <c r="U110" s="103"/>
      <c r="V110" s="103"/>
      <c r="W110" s="103"/>
      <c r="X110" s="103"/>
      <c r="Y110" s="103"/>
      <c r="Z110" s="103"/>
      <c r="AA110" s="103"/>
      <c r="AB110" s="103"/>
      <c r="AC110" s="103"/>
      <c r="AD110" s="104"/>
      <c r="AE110" s="102"/>
      <c r="AF110" s="103"/>
      <c r="AG110" s="103"/>
      <c r="AH110" s="103"/>
      <c r="AI110" s="103"/>
      <c r="AJ110" s="103"/>
      <c r="AK110" s="103"/>
      <c r="AL110" s="103"/>
      <c r="AM110" s="103"/>
      <c r="AN110" s="103"/>
      <c r="AO110" s="103"/>
      <c r="AP110" s="103"/>
      <c r="AQ110" s="103"/>
      <c r="AR110" s="104"/>
    </row>
    <row r="111" spans="1:44" ht="15.75" hidden="1" customHeight="1" x14ac:dyDescent="0.25">
      <c r="A111" s="105"/>
      <c r="B111" s="106"/>
      <c r="C111" s="106"/>
      <c r="D111" s="106"/>
      <c r="E111" s="106"/>
      <c r="F111" s="106"/>
      <c r="G111" s="106"/>
      <c r="H111" s="106"/>
      <c r="I111" s="106"/>
      <c r="J111" s="106"/>
      <c r="K111" s="106"/>
      <c r="L111" s="106"/>
      <c r="M111" s="106"/>
      <c r="N111" s="106"/>
      <c r="O111" s="107"/>
      <c r="P111" s="105"/>
      <c r="Q111" s="106"/>
      <c r="R111" s="106"/>
      <c r="S111" s="106"/>
      <c r="T111" s="106"/>
      <c r="U111" s="106"/>
      <c r="V111" s="106"/>
      <c r="W111" s="106"/>
      <c r="X111" s="106"/>
      <c r="Y111" s="106"/>
      <c r="Z111" s="106"/>
      <c r="AA111" s="106"/>
      <c r="AB111" s="106"/>
      <c r="AC111" s="106"/>
      <c r="AD111" s="107"/>
      <c r="AE111" s="105"/>
      <c r="AF111" s="106"/>
      <c r="AG111" s="106"/>
      <c r="AH111" s="106"/>
      <c r="AI111" s="106"/>
      <c r="AJ111" s="106"/>
      <c r="AK111" s="106"/>
      <c r="AL111" s="106"/>
      <c r="AM111" s="106"/>
      <c r="AN111" s="106"/>
      <c r="AO111" s="106"/>
      <c r="AP111" s="106"/>
      <c r="AQ111" s="106"/>
      <c r="AR111" s="107"/>
    </row>
    <row r="112" spans="1:44" ht="15.75" hidden="1" customHeight="1" x14ac:dyDescent="0.25">
      <c r="A112" s="96" t="s">
        <v>120</v>
      </c>
      <c r="B112" s="97"/>
      <c r="C112" s="97"/>
      <c r="D112" s="97"/>
      <c r="E112" s="97"/>
      <c r="F112" s="97"/>
      <c r="G112" s="97"/>
      <c r="H112" s="97"/>
      <c r="I112" s="97"/>
      <c r="J112" s="97"/>
      <c r="K112" s="97"/>
      <c r="L112" s="97"/>
      <c r="M112" s="97"/>
      <c r="N112" s="97"/>
      <c r="O112" s="98"/>
      <c r="P112" s="96" t="s">
        <v>120</v>
      </c>
      <c r="Q112" s="97"/>
      <c r="R112" s="97"/>
      <c r="S112" s="97"/>
      <c r="T112" s="97"/>
      <c r="U112" s="97"/>
      <c r="V112" s="97"/>
      <c r="W112" s="97"/>
      <c r="X112" s="97"/>
      <c r="Y112" s="97"/>
      <c r="Z112" s="97"/>
      <c r="AA112" s="97"/>
      <c r="AB112" s="97"/>
      <c r="AC112" s="97"/>
      <c r="AD112" s="98"/>
      <c r="AE112" s="96" t="s">
        <v>120</v>
      </c>
      <c r="AF112" s="97"/>
      <c r="AG112" s="97"/>
      <c r="AH112" s="97"/>
      <c r="AI112" s="97"/>
      <c r="AJ112" s="97"/>
      <c r="AK112" s="97"/>
      <c r="AL112" s="97"/>
      <c r="AM112" s="97"/>
      <c r="AN112" s="97"/>
      <c r="AO112" s="97"/>
      <c r="AP112" s="97"/>
      <c r="AQ112" s="97"/>
      <c r="AR112" s="98"/>
    </row>
    <row r="113" spans="1:44" ht="15.75" hidden="1" customHeight="1" x14ac:dyDescent="0.25">
      <c r="A113" s="96" t="s">
        <v>132</v>
      </c>
      <c r="B113" s="97"/>
      <c r="C113" s="97"/>
      <c r="D113" s="97"/>
      <c r="E113" s="97"/>
      <c r="F113" s="97"/>
      <c r="G113" s="97"/>
      <c r="H113" s="97"/>
      <c r="I113" s="97"/>
      <c r="J113" s="97"/>
      <c r="K113" s="97"/>
      <c r="L113" s="97"/>
      <c r="M113" s="97"/>
      <c r="N113" s="97"/>
      <c r="O113" s="98"/>
      <c r="P113" s="96" t="s">
        <v>132</v>
      </c>
      <c r="Q113" s="97"/>
      <c r="R113" s="97"/>
      <c r="S113" s="97"/>
      <c r="T113" s="97"/>
      <c r="U113" s="97"/>
      <c r="V113" s="97"/>
      <c r="W113" s="97"/>
      <c r="X113" s="97"/>
      <c r="Y113" s="97"/>
      <c r="Z113" s="97"/>
      <c r="AA113" s="97"/>
      <c r="AB113" s="97"/>
      <c r="AC113" s="97"/>
      <c r="AD113" s="98"/>
      <c r="AE113" s="96" t="s">
        <v>132</v>
      </c>
      <c r="AF113" s="97"/>
      <c r="AG113" s="97"/>
      <c r="AH113" s="97"/>
      <c r="AI113" s="97"/>
      <c r="AJ113" s="97"/>
      <c r="AK113" s="97"/>
      <c r="AL113" s="97"/>
      <c r="AM113" s="97"/>
      <c r="AN113" s="97"/>
      <c r="AO113" s="97"/>
      <c r="AP113" s="97"/>
      <c r="AQ113" s="97"/>
      <c r="AR113" s="98"/>
    </row>
    <row r="114" spans="1:44" ht="15.75" customHeight="1" x14ac:dyDescent="0.25">
      <c r="A114" s="63"/>
      <c r="B114" s="62"/>
      <c r="C114" s="62"/>
      <c r="D114" s="62"/>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row>
    <row r="115" spans="1:44" ht="15.75" customHeight="1" x14ac:dyDescent="0.25">
      <c r="A115" s="63"/>
      <c r="B115" s="62"/>
      <c r="C115" s="62"/>
      <c r="D115" s="62"/>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row>
    <row r="116" spans="1:44" ht="15.75" customHeight="1" x14ac:dyDescent="0.25">
      <c r="A116" s="63"/>
      <c r="B116" s="62"/>
      <c r="C116" s="62"/>
      <c r="D116" s="62"/>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row>
    <row r="117" spans="1:44" ht="15.75" customHeight="1" x14ac:dyDescent="0.25">
      <c r="A117" s="63"/>
      <c r="B117" s="62"/>
      <c r="C117" s="62"/>
      <c r="D117" s="62"/>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row>
    <row r="118" spans="1:44" ht="15.75" customHeight="1" x14ac:dyDescent="0.25">
      <c r="A118" s="63"/>
      <c r="B118" s="62"/>
      <c r="C118" s="62"/>
      <c r="D118" s="62"/>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row>
    <row r="119" spans="1:44" ht="15.75" customHeight="1" x14ac:dyDescent="0.25">
      <c r="A119" s="63"/>
      <c r="B119" s="62"/>
      <c r="C119" s="62"/>
      <c r="D119" s="62"/>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row>
    <row r="120" spans="1:44" ht="15.75" customHeight="1" x14ac:dyDescent="0.25">
      <c r="A120" s="63"/>
      <c r="B120" s="62"/>
      <c r="C120" s="62"/>
      <c r="D120" s="62"/>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row>
    <row r="121" spans="1:44" ht="15.75" customHeight="1" x14ac:dyDescent="0.25">
      <c r="A121" s="63"/>
      <c r="B121" s="62"/>
      <c r="C121" s="62"/>
      <c r="D121" s="62"/>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row>
    <row r="122" spans="1:44" ht="15.75" customHeight="1" x14ac:dyDescent="0.25">
      <c r="A122" s="63"/>
      <c r="B122" s="62"/>
      <c r="C122" s="62"/>
      <c r="D122" s="62"/>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row>
    <row r="123" spans="1:44" ht="15.75" customHeight="1" x14ac:dyDescent="0.25">
      <c r="A123" s="63"/>
      <c r="B123" s="62"/>
      <c r="C123" s="62"/>
      <c r="D123" s="62"/>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row>
    <row r="124" spans="1:44" ht="15.75" customHeight="1" x14ac:dyDescent="0.25">
      <c r="A124" s="63"/>
      <c r="B124" s="62"/>
      <c r="C124" s="62"/>
      <c r="D124" s="62"/>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row>
    <row r="125" spans="1:44" ht="15.75" customHeight="1" x14ac:dyDescent="0.25">
      <c r="A125" s="63"/>
      <c r="B125" s="62"/>
      <c r="C125" s="62"/>
      <c r="D125" s="62"/>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row>
    <row r="126" spans="1:44" ht="15.75" customHeight="1" x14ac:dyDescent="0.25">
      <c r="A126" s="63"/>
      <c r="B126" s="62"/>
      <c r="C126" s="62"/>
      <c r="D126" s="62"/>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row>
    <row r="127" spans="1:44" ht="15.75" customHeight="1" x14ac:dyDescent="0.25">
      <c r="A127" s="63"/>
      <c r="B127" s="62"/>
      <c r="C127" s="62"/>
      <c r="D127" s="62"/>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row>
    <row r="128" spans="1:44" ht="15.75" customHeight="1" x14ac:dyDescent="0.25">
      <c r="A128" s="63"/>
      <c r="B128" s="62"/>
      <c r="C128" s="62"/>
      <c r="D128" s="62"/>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row>
    <row r="129" spans="1:44" ht="15.75" customHeight="1" x14ac:dyDescent="0.25">
      <c r="A129" s="63"/>
      <c r="B129" s="62"/>
      <c r="C129" s="62"/>
      <c r="D129" s="62"/>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row>
    <row r="130" spans="1:44" ht="15.75" customHeight="1" x14ac:dyDescent="0.25">
      <c r="A130" s="63"/>
      <c r="B130" s="62"/>
      <c r="C130" s="62"/>
      <c r="D130" s="62"/>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row>
    <row r="131" spans="1:44" ht="15.75" customHeight="1" x14ac:dyDescent="0.25">
      <c r="A131" s="63"/>
      <c r="B131" s="62"/>
      <c r="C131" s="62"/>
      <c r="D131" s="62"/>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row>
    <row r="132" spans="1:44" ht="15.75" customHeight="1" x14ac:dyDescent="0.25">
      <c r="A132" s="63"/>
      <c r="B132" s="62"/>
      <c r="C132" s="62"/>
      <c r="D132" s="62"/>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row>
    <row r="133" spans="1:44" ht="15.75" customHeight="1" x14ac:dyDescent="0.25">
      <c r="A133" s="63"/>
      <c r="B133" s="62"/>
      <c r="C133" s="62"/>
      <c r="D133" s="62"/>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row>
    <row r="134" spans="1:44" ht="15.75" customHeight="1" x14ac:dyDescent="0.25">
      <c r="A134" s="63"/>
      <c r="B134" s="62"/>
      <c r="C134" s="62"/>
      <c r="D134" s="62"/>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row>
    <row r="135" spans="1:44" ht="15.75" customHeight="1" x14ac:dyDescent="0.25">
      <c r="A135" s="63"/>
      <c r="B135" s="62"/>
      <c r="C135" s="62"/>
      <c r="D135" s="62"/>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row>
    <row r="136" spans="1:44" ht="15.75" customHeight="1" x14ac:dyDescent="0.25">
      <c r="A136" s="63"/>
      <c r="B136" s="62"/>
      <c r="C136" s="62"/>
      <c r="D136" s="62"/>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row>
    <row r="137" spans="1:44" ht="15.75" customHeight="1" x14ac:dyDescent="0.25">
      <c r="A137" s="63"/>
      <c r="B137" s="62"/>
      <c r="C137" s="62"/>
      <c r="D137" s="62"/>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row>
    <row r="138" spans="1:44" ht="15.75" customHeight="1" x14ac:dyDescent="0.25">
      <c r="A138" s="63"/>
      <c r="B138" s="62"/>
      <c r="C138" s="62"/>
      <c r="D138" s="62"/>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row>
    <row r="139" spans="1:44" ht="15.75" customHeight="1" x14ac:dyDescent="0.25">
      <c r="A139" s="63"/>
      <c r="B139" s="62"/>
      <c r="C139" s="62"/>
      <c r="D139" s="62"/>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row>
    <row r="140" spans="1:44" ht="15.75" customHeight="1" x14ac:dyDescent="0.25">
      <c r="A140" s="63"/>
      <c r="B140" s="62"/>
      <c r="C140" s="62"/>
      <c r="D140" s="62"/>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row>
    <row r="141" spans="1:44" ht="15.75" customHeight="1" x14ac:dyDescent="0.25">
      <c r="A141" s="63"/>
      <c r="B141" s="62"/>
      <c r="C141" s="62"/>
      <c r="D141" s="62"/>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row>
    <row r="142" spans="1:44" ht="15.75" customHeight="1" x14ac:dyDescent="0.25">
      <c r="A142" s="63"/>
      <c r="B142" s="62"/>
      <c r="C142" s="62"/>
      <c r="D142" s="62"/>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row>
    <row r="143" spans="1:44" ht="15.75" customHeight="1" x14ac:dyDescent="0.25">
      <c r="A143" s="63"/>
      <c r="B143" s="62"/>
      <c r="C143" s="62"/>
      <c r="D143" s="62"/>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row>
    <row r="144" spans="1:44" ht="15.75" customHeight="1" x14ac:dyDescent="0.25">
      <c r="A144" s="63"/>
      <c r="B144" s="62"/>
      <c r="C144" s="62"/>
      <c r="D144" s="62"/>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row>
    <row r="145" spans="1:44" ht="15.75" customHeight="1" x14ac:dyDescent="0.25">
      <c r="A145" s="63"/>
      <c r="B145" s="62"/>
      <c r="C145" s="62"/>
      <c r="D145" s="62"/>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row>
    <row r="146" spans="1:44" ht="15.75" customHeight="1" x14ac:dyDescent="0.25">
      <c r="A146" s="63"/>
      <c r="B146" s="62"/>
      <c r="C146" s="62"/>
      <c r="D146" s="62"/>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row>
    <row r="147" spans="1:44" ht="15.75" customHeight="1" x14ac:dyDescent="0.25">
      <c r="A147" s="63"/>
      <c r="B147" s="62"/>
      <c r="C147" s="62"/>
      <c r="D147" s="62"/>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row>
    <row r="148" spans="1:44" ht="15.75" customHeight="1" x14ac:dyDescent="0.25">
      <c r="A148" s="63"/>
      <c r="B148" s="62"/>
      <c r="C148" s="62"/>
      <c r="D148" s="62"/>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row>
    <row r="149" spans="1:44" ht="15.75" customHeight="1" x14ac:dyDescent="0.25">
      <c r="A149" s="63"/>
      <c r="B149" s="62"/>
      <c r="C149" s="62"/>
      <c r="D149" s="62"/>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row>
    <row r="150" spans="1:44" ht="15.75" customHeight="1" x14ac:dyDescent="0.25">
      <c r="A150" s="63"/>
      <c r="B150" s="62"/>
      <c r="C150" s="62"/>
      <c r="D150" s="62"/>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row>
    <row r="151" spans="1:44" ht="15.75" customHeight="1" x14ac:dyDescent="0.25">
      <c r="A151" s="63"/>
      <c r="B151" s="62"/>
      <c r="C151" s="62"/>
      <c r="D151" s="62"/>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row>
    <row r="152" spans="1:44" ht="15.75" customHeight="1" x14ac:dyDescent="0.25">
      <c r="A152" s="63"/>
      <c r="B152" s="62"/>
      <c r="C152" s="62"/>
      <c r="D152" s="62"/>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row>
    <row r="153" spans="1:44" ht="15.75" customHeight="1" x14ac:dyDescent="0.25">
      <c r="A153" s="63"/>
      <c r="B153" s="62"/>
      <c r="C153" s="62"/>
      <c r="D153" s="62"/>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row>
    <row r="154" spans="1:44" ht="15.75" customHeight="1" x14ac:dyDescent="0.25">
      <c r="A154" s="63"/>
      <c r="B154" s="62"/>
      <c r="C154" s="62"/>
      <c r="D154" s="62"/>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row>
    <row r="155" spans="1:44" ht="15.75" customHeight="1" x14ac:dyDescent="0.25">
      <c r="A155" s="63"/>
      <c r="B155" s="62"/>
      <c r="C155" s="62"/>
      <c r="D155" s="62"/>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row>
    <row r="156" spans="1:44" ht="15.75" customHeight="1" x14ac:dyDescent="0.25">
      <c r="A156" s="63"/>
      <c r="B156" s="62"/>
      <c r="C156" s="62"/>
      <c r="D156" s="62"/>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row>
    <row r="157" spans="1:44" ht="15.75" customHeight="1" x14ac:dyDescent="0.25">
      <c r="A157" s="63"/>
      <c r="B157" s="62"/>
      <c r="C157" s="62"/>
      <c r="D157" s="62"/>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row>
    <row r="158" spans="1:44" ht="15.75" customHeight="1" x14ac:dyDescent="0.25">
      <c r="A158" s="63"/>
      <c r="B158" s="62"/>
      <c r="C158" s="62"/>
      <c r="D158" s="62"/>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row>
    <row r="159" spans="1:44" ht="15.75" customHeight="1" x14ac:dyDescent="0.25">
      <c r="A159" s="63"/>
      <c r="B159" s="62"/>
      <c r="C159" s="62"/>
      <c r="D159" s="62"/>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row>
    <row r="160" spans="1:44" ht="15.75" customHeight="1" x14ac:dyDescent="0.25">
      <c r="A160" s="63"/>
      <c r="B160" s="62"/>
      <c r="C160" s="62"/>
      <c r="D160" s="62"/>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row>
    <row r="161" spans="1:44" ht="15.75" customHeight="1" x14ac:dyDescent="0.25">
      <c r="A161" s="63"/>
      <c r="B161" s="62"/>
      <c r="C161" s="62"/>
      <c r="D161" s="62"/>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row>
    <row r="162" spans="1:44" ht="15.75" customHeight="1" x14ac:dyDescent="0.25">
      <c r="A162" s="63"/>
      <c r="B162" s="62"/>
      <c r="C162" s="62"/>
      <c r="D162" s="62"/>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row>
    <row r="163" spans="1:44" ht="15.75" customHeight="1" x14ac:dyDescent="0.25">
      <c r="A163" s="63"/>
      <c r="B163" s="62"/>
      <c r="C163" s="62"/>
      <c r="D163" s="62"/>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row>
    <row r="164" spans="1:44" ht="15.75" customHeight="1" x14ac:dyDescent="0.25">
      <c r="A164" s="63"/>
      <c r="B164" s="62"/>
      <c r="C164" s="62"/>
      <c r="D164" s="62"/>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row>
    <row r="165" spans="1:44" ht="15.75" customHeight="1" x14ac:dyDescent="0.25">
      <c r="A165" s="63"/>
      <c r="B165" s="62"/>
      <c r="C165" s="62"/>
      <c r="D165" s="62"/>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row>
    <row r="166" spans="1:44" ht="15.75" customHeight="1" x14ac:dyDescent="0.25">
      <c r="A166" s="63"/>
      <c r="B166" s="62"/>
      <c r="C166" s="62"/>
      <c r="D166" s="62"/>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row>
    <row r="167" spans="1:44" ht="15.75" customHeight="1" x14ac:dyDescent="0.25">
      <c r="A167" s="63"/>
      <c r="B167" s="62"/>
      <c r="C167" s="62"/>
      <c r="D167" s="62"/>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row>
    <row r="168" spans="1:44" ht="15.75" customHeight="1" x14ac:dyDescent="0.25">
      <c r="A168" s="63"/>
      <c r="B168" s="62"/>
      <c r="C168" s="62"/>
      <c r="D168" s="62"/>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row>
    <row r="169" spans="1:44" ht="15.75" customHeight="1" x14ac:dyDescent="0.25">
      <c r="A169" s="63"/>
      <c r="B169" s="62"/>
      <c r="C169" s="62"/>
      <c r="D169" s="62"/>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row>
    <row r="170" spans="1:44" ht="15.75" customHeight="1" x14ac:dyDescent="0.25">
      <c r="A170" s="63"/>
      <c r="B170" s="62"/>
      <c r="C170" s="62"/>
      <c r="D170" s="62"/>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row>
    <row r="171" spans="1:44" ht="15.75" customHeight="1" x14ac:dyDescent="0.25">
      <c r="A171" s="63"/>
      <c r="B171" s="62"/>
      <c r="C171" s="62"/>
      <c r="D171" s="62"/>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row>
    <row r="172" spans="1:44" ht="15.75" customHeight="1" x14ac:dyDescent="0.25">
      <c r="A172" s="63"/>
      <c r="B172" s="62"/>
      <c r="C172" s="62"/>
      <c r="D172" s="62"/>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row>
    <row r="173" spans="1:44" ht="15.75" customHeight="1" x14ac:dyDescent="0.25">
      <c r="A173" s="63"/>
      <c r="B173" s="62"/>
      <c r="C173" s="62"/>
      <c r="D173" s="62"/>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row>
    <row r="174" spans="1:44" ht="15.75" customHeight="1" x14ac:dyDescent="0.25">
      <c r="A174" s="63"/>
      <c r="B174" s="62"/>
      <c r="C174" s="62"/>
      <c r="D174" s="62"/>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row>
    <row r="175" spans="1:44" ht="15.75" customHeight="1" x14ac:dyDescent="0.25">
      <c r="A175" s="63"/>
      <c r="B175" s="62"/>
      <c r="C175" s="62"/>
      <c r="D175" s="62"/>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row>
    <row r="176" spans="1:44" ht="15.75" customHeight="1" x14ac:dyDescent="0.25">
      <c r="A176" s="63"/>
      <c r="B176" s="62"/>
      <c r="C176" s="62"/>
      <c r="D176" s="62"/>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row>
    <row r="177" spans="1:44" ht="15.75" customHeight="1" x14ac:dyDescent="0.25">
      <c r="A177" s="63"/>
      <c r="B177" s="62"/>
      <c r="C177" s="62"/>
      <c r="D177" s="62"/>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row>
    <row r="178" spans="1:44" ht="15.75" customHeight="1" x14ac:dyDescent="0.25">
      <c r="A178" s="63"/>
      <c r="B178" s="62"/>
      <c r="C178" s="62"/>
      <c r="D178" s="62"/>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row>
    <row r="179" spans="1:44" ht="15.75" customHeight="1" x14ac:dyDescent="0.25">
      <c r="A179" s="63"/>
      <c r="B179" s="62"/>
      <c r="C179" s="62"/>
      <c r="D179" s="62"/>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row>
    <row r="180" spans="1:44" ht="15.75" customHeight="1" x14ac:dyDescent="0.25">
      <c r="A180" s="63"/>
      <c r="B180" s="62"/>
      <c r="C180" s="62"/>
      <c r="D180" s="62"/>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row>
    <row r="181" spans="1:44" ht="15.75" customHeight="1" x14ac:dyDescent="0.25">
      <c r="A181" s="63"/>
      <c r="B181" s="62"/>
      <c r="C181" s="62"/>
      <c r="D181" s="62"/>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row>
    <row r="182" spans="1:44" ht="15.75" customHeight="1" x14ac:dyDescent="0.25">
      <c r="A182" s="63"/>
      <c r="B182" s="62"/>
      <c r="C182" s="62"/>
      <c r="D182" s="62"/>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row>
    <row r="183" spans="1:44" ht="15.75" customHeight="1" x14ac:dyDescent="0.25">
      <c r="A183" s="63"/>
      <c r="B183" s="62"/>
      <c r="C183" s="62"/>
      <c r="D183" s="62"/>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row>
    <row r="184" spans="1:44" ht="15.75" customHeight="1" x14ac:dyDescent="0.25">
      <c r="A184" s="63"/>
      <c r="B184" s="62"/>
      <c r="C184" s="62"/>
      <c r="D184" s="62"/>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row>
    <row r="185" spans="1:44" ht="15.75" customHeight="1" x14ac:dyDescent="0.25">
      <c r="A185" s="63"/>
      <c r="B185" s="62"/>
      <c r="C185" s="62"/>
      <c r="D185" s="62"/>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row>
    <row r="186" spans="1:44" ht="15.75" customHeight="1" x14ac:dyDescent="0.25">
      <c r="A186" s="63"/>
      <c r="B186" s="62"/>
      <c r="C186" s="62"/>
      <c r="D186" s="62"/>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row>
    <row r="187" spans="1:44" ht="15.75" customHeight="1" x14ac:dyDescent="0.25">
      <c r="A187" s="63"/>
      <c r="B187" s="62"/>
      <c r="C187" s="62"/>
      <c r="D187" s="62"/>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row>
    <row r="188" spans="1:44" ht="15.75" customHeight="1" x14ac:dyDescent="0.25">
      <c r="A188" s="63"/>
      <c r="B188" s="62"/>
      <c r="C188" s="62"/>
      <c r="D188" s="62"/>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row>
    <row r="189" spans="1:44" ht="15.75" customHeight="1" x14ac:dyDescent="0.25">
      <c r="A189" s="63"/>
      <c r="B189" s="62"/>
      <c r="C189" s="62"/>
      <c r="D189" s="62"/>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row>
    <row r="190" spans="1:44" ht="15.75" customHeight="1" x14ac:dyDescent="0.25">
      <c r="A190" s="63"/>
      <c r="B190" s="62"/>
      <c r="C190" s="62"/>
      <c r="D190" s="62"/>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row>
    <row r="191" spans="1:44" ht="15.75" customHeight="1" x14ac:dyDescent="0.25">
      <c r="A191" s="63"/>
      <c r="B191" s="62"/>
      <c r="C191" s="62"/>
      <c r="D191" s="62"/>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row>
    <row r="192" spans="1:44" ht="15.75" customHeight="1" x14ac:dyDescent="0.25">
      <c r="A192" s="63"/>
      <c r="B192" s="62"/>
      <c r="C192" s="62"/>
      <c r="D192" s="62"/>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row>
    <row r="193" spans="1:44" ht="15.75" customHeight="1" x14ac:dyDescent="0.25">
      <c r="A193" s="63"/>
      <c r="B193" s="62"/>
      <c r="C193" s="62"/>
      <c r="D193" s="62"/>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row>
    <row r="194" spans="1:44" ht="15.75" customHeight="1" x14ac:dyDescent="0.25">
      <c r="A194" s="63"/>
      <c r="B194" s="62"/>
      <c r="C194" s="62"/>
      <c r="D194" s="62"/>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row>
    <row r="195" spans="1:44" ht="15.75" customHeight="1" x14ac:dyDescent="0.25">
      <c r="A195" s="63"/>
      <c r="B195" s="62"/>
      <c r="C195" s="62"/>
      <c r="D195" s="62"/>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row>
    <row r="196" spans="1:44" ht="15.75" customHeight="1" x14ac:dyDescent="0.25">
      <c r="A196" s="63"/>
      <c r="B196" s="62"/>
      <c r="C196" s="62"/>
      <c r="D196" s="62"/>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row>
    <row r="197" spans="1:44" ht="15.75" customHeight="1" x14ac:dyDescent="0.25">
      <c r="A197" s="63"/>
      <c r="B197" s="62"/>
      <c r="C197" s="62"/>
      <c r="D197" s="62"/>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row>
    <row r="198" spans="1:44" ht="15.75" customHeight="1" x14ac:dyDescent="0.25">
      <c r="A198" s="63"/>
      <c r="B198" s="62"/>
      <c r="C198" s="62"/>
      <c r="D198" s="62"/>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row>
    <row r="199" spans="1:44" ht="15.75" customHeight="1" x14ac:dyDescent="0.25">
      <c r="A199" s="63"/>
      <c r="B199" s="62"/>
      <c r="C199" s="62"/>
      <c r="D199" s="62"/>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row>
    <row r="200" spans="1:44" ht="15.75" customHeight="1" x14ac:dyDescent="0.25">
      <c r="A200" s="63"/>
      <c r="B200" s="62"/>
      <c r="C200" s="62"/>
      <c r="D200" s="62"/>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row>
    <row r="201" spans="1:44" ht="15.75" customHeight="1" x14ac:dyDescent="0.25">
      <c r="A201" s="63"/>
      <c r="B201" s="62"/>
      <c r="C201" s="62"/>
      <c r="D201" s="62"/>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row>
    <row r="202" spans="1:44" ht="15.75" customHeight="1" x14ac:dyDescent="0.25">
      <c r="A202" s="63"/>
      <c r="B202" s="62"/>
      <c r="C202" s="62"/>
      <c r="D202" s="62"/>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row>
    <row r="203" spans="1:44" ht="15.75" customHeight="1" x14ac:dyDescent="0.25">
      <c r="A203" s="63"/>
      <c r="B203" s="62"/>
      <c r="C203" s="62"/>
      <c r="D203" s="62"/>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row>
    <row r="204" spans="1:44" ht="15.75" customHeight="1" x14ac:dyDescent="0.25">
      <c r="A204" s="63"/>
      <c r="B204" s="62"/>
      <c r="C204" s="62"/>
      <c r="D204" s="62"/>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row>
    <row r="205" spans="1:44" ht="15.75" customHeight="1" x14ac:dyDescent="0.25">
      <c r="A205" s="63"/>
      <c r="B205" s="62"/>
      <c r="C205" s="62"/>
      <c r="D205" s="62"/>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row>
    <row r="206" spans="1:44" ht="15.75" customHeight="1" x14ac:dyDescent="0.25">
      <c r="A206" s="63"/>
      <c r="B206" s="62"/>
      <c r="C206" s="62"/>
      <c r="D206" s="62"/>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row>
    <row r="207" spans="1:44" ht="15.75" customHeight="1" x14ac:dyDescent="0.25">
      <c r="A207" s="63"/>
      <c r="B207" s="62"/>
      <c r="C207" s="62"/>
      <c r="D207" s="62"/>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row>
    <row r="208" spans="1:44" ht="15.75" customHeight="1" x14ac:dyDescent="0.25">
      <c r="A208" s="63"/>
      <c r="B208" s="62"/>
      <c r="C208" s="62"/>
      <c r="D208" s="62"/>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row>
    <row r="209" spans="1:44" ht="15.75" customHeight="1" x14ac:dyDescent="0.25">
      <c r="A209" s="63"/>
      <c r="B209" s="62"/>
      <c r="C209" s="62"/>
      <c r="D209" s="62"/>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row>
    <row r="210" spans="1:44" ht="15.75" customHeight="1" x14ac:dyDescent="0.25">
      <c r="A210" s="63"/>
      <c r="B210" s="62"/>
      <c r="C210" s="62"/>
      <c r="D210" s="62"/>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row>
    <row r="211" spans="1:44" ht="15.75" customHeight="1" x14ac:dyDescent="0.25">
      <c r="A211" s="63"/>
      <c r="B211" s="62"/>
      <c r="C211" s="62"/>
      <c r="D211" s="62"/>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row>
    <row r="212" spans="1:44" ht="15.75" customHeight="1" x14ac:dyDescent="0.25">
      <c r="A212" s="63"/>
      <c r="B212" s="62"/>
      <c r="C212" s="62"/>
      <c r="D212" s="62"/>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row>
    <row r="213" spans="1:44" ht="15.75" customHeight="1" x14ac:dyDescent="0.25">
      <c r="A213" s="63"/>
      <c r="B213" s="62"/>
      <c r="C213" s="62"/>
      <c r="D213" s="62"/>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row>
    <row r="214" spans="1:44" ht="15.75" customHeight="1" x14ac:dyDescent="0.25">
      <c r="A214" s="63"/>
      <c r="B214" s="62"/>
      <c r="C214" s="62"/>
      <c r="D214" s="62"/>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row>
    <row r="215" spans="1:44" ht="15.75" customHeight="1" x14ac:dyDescent="0.25">
      <c r="A215" s="63"/>
      <c r="B215" s="62"/>
      <c r="C215" s="62"/>
      <c r="D215" s="62"/>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row>
    <row r="216" spans="1:44" ht="15.75" customHeight="1" x14ac:dyDescent="0.25">
      <c r="A216" s="63"/>
      <c r="B216" s="62"/>
      <c r="C216" s="62"/>
      <c r="D216" s="62"/>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row>
    <row r="217" spans="1:44" ht="15.75" customHeight="1" x14ac:dyDescent="0.25">
      <c r="A217" s="63"/>
      <c r="B217" s="62"/>
      <c r="C217" s="62"/>
      <c r="D217" s="62"/>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row>
    <row r="218" spans="1:44" ht="15.75" customHeight="1" x14ac:dyDescent="0.25">
      <c r="A218" s="63"/>
      <c r="B218" s="62"/>
      <c r="C218" s="62"/>
      <c r="D218" s="62"/>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row>
    <row r="219" spans="1:44" ht="15.75" customHeight="1" x14ac:dyDescent="0.25">
      <c r="A219" s="63"/>
      <c r="B219" s="62"/>
      <c r="C219" s="62"/>
      <c r="D219" s="62"/>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row>
    <row r="220" spans="1:44" ht="15.75" customHeight="1" x14ac:dyDescent="0.25">
      <c r="A220" s="63"/>
      <c r="B220" s="62"/>
      <c r="C220" s="62"/>
      <c r="D220" s="62"/>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row>
    <row r="221" spans="1:44" ht="15.75" customHeight="1" x14ac:dyDescent="0.25">
      <c r="A221" s="63"/>
      <c r="B221" s="62"/>
      <c r="C221" s="62"/>
      <c r="D221" s="62"/>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row>
    <row r="222" spans="1:44" ht="15.75" customHeight="1" x14ac:dyDescent="0.25">
      <c r="A222" s="63"/>
      <c r="B222" s="62"/>
      <c r="C222" s="62"/>
      <c r="D222" s="62"/>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row>
    <row r="223" spans="1:44" ht="15.75" customHeight="1" x14ac:dyDescent="0.25">
      <c r="A223" s="63"/>
      <c r="B223" s="62"/>
      <c r="C223" s="62"/>
      <c r="D223" s="62"/>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row>
    <row r="224" spans="1:44" ht="15.75" customHeight="1" x14ac:dyDescent="0.25">
      <c r="A224" s="63"/>
      <c r="B224" s="62"/>
      <c r="C224" s="62"/>
      <c r="D224" s="62"/>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row>
    <row r="225" spans="1:44" ht="15.75" customHeight="1" x14ac:dyDescent="0.25">
      <c r="A225" s="63"/>
      <c r="B225" s="62"/>
      <c r="C225" s="62"/>
      <c r="D225" s="62"/>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row>
    <row r="226" spans="1:44" ht="15.75" customHeight="1" x14ac:dyDescent="0.25">
      <c r="A226" s="63"/>
      <c r="B226" s="62"/>
      <c r="C226" s="62"/>
      <c r="D226" s="62"/>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row>
    <row r="227" spans="1:44" ht="15.75" customHeight="1" x14ac:dyDescent="0.25">
      <c r="A227" s="63"/>
      <c r="B227" s="62"/>
      <c r="C227" s="62"/>
      <c r="D227" s="62"/>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row>
    <row r="228" spans="1:44" ht="15.75" customHeight="1" x14ac:dyDescent="0.25">
      <c r="A228" s="63"/>
      <c r="B228" s="62"/>
      <c r="C228" s="62"/>
      <c r="D228" s="62"/>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row>
    <row r="229" spans="1:44" ht="15.75" customHeight="1" x14ac:dyDescent="0.25">
      <c r="A229" s="63"/>
      <c r="B229" s="62"/>
      <c r="C229" s="62"/>
      <c r="D229" s="62"/>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row>
    <row r="230" spans="1:44" ht="15.75" customHeight="1" x14ac:dyDescent="0.25">
      <c r="A230" s="63"/>
      <c r="B230" s="62"/>
      <c r="C230" s="62"/>
      <c r="D230" s="62"/>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row>
    <row r="231" spans="1:44" ht="15.75" customHeight="1" x14ac:dyDescent="0.25">
      <c r="A231" s="63"/>
      <c r="B231" s="62"/>
      <c r="C231" s="62"/>
      <c r="D231" s="62"/>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row>
    <row r="232" spans="1:44" ht="15.75" customHeight="1" x14ac:dyDescent="0.25">
      <c r="A232" s="63"/>
      <c r="B232" s="62"/>
      <c r="C232" s="62"/>
      <c r="D232" s="62"/>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row>
    <row r="233" spans="1:44" ht="15.75" customHeight="1" x14ac:dyDescent="0.25">
      <c r="A233" s="63"/>
      <c r="B233" s="62"/>
      <c r="C233" s="62"/>
      <c r="D233" s="62"/>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row>
    <row r="234" spans="1:44" ht="15.75" customHeight="1" x14ac:dyDescent="0.25">
      <c r="A234" s="63"/>
      <c r="B234" s="62"/>
      <c r="C234" s="62"/>
      <c r="D234" s="62"/>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row>
    <row r="235" spans="1:44" ht="15.75" customHeight="1" x14ac:dyDescent="0.25">
      <c r="A235" s="63"/>
      <c r="B235" s="62"/>
      <c r="C235" s="62"/>
      <c r="D235" s="62"/>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row>
    <row r="236" spans="1:44" ht="15.75" customHeight="1" x14ac:dyDescent="0.25">
      <c r="A236" s="63"/>
      <c r="B236" s="62"/>
      <c r="C236" s="62"/>
      <c r="D236" s="62"/>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row>
    <row r="237" spans="1:44" ht="15.75" customHeight="1" x14ac:dyDescent="0.25">
      <c r="A237" s="63"/>
      <c r="B237" s="62"/>
      <c r="C237" s="62"/>
      <c r="D237" s="62"/>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row>
    <row r="238" spans="1:44" ht="15.75" customHeight="1" x14ac:dyDescent="0.25">
      <c r="A238" s="63"/>
      <c r="B238" s="62"/>
      <c r="C238" s="62"/>
      <c r="D238" s="62"/>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row>
    <row r="239" spans="1:44" ht="15.75" customHeight="1" x14ac:dyDescent="0.25">
      <c r="A239" s="63"/>
      <c r="B239" s="62"/>
      <c r="C239" s="62"/>
      <c r="D239" s="62"/>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row>
    <row r="240" spans="1:44" ht="15.75" customHeight="1" x14ac:dyDescent="0.25">
      <c r="A240" s="63"/>
      <c r="B240" s="62"/>
      <c r="C240" s="62"/>
      <c r="D240" s="62"/>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row>
    <row r="241" spans="1:44" ht="15.75" customHeight="1" x14ac:dyDescent="0.25">
      <c r="A241" s="63"/>
      <c r="B241" s="62"/>
      <c r="C241" s="62"/>
      <c r="D241" s="62"/>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row>
    <row r="242" spans="1:44" ht="15.75" customHeight="1" x14ac:dyDescent="0.25">
      <c r="A242" s="63"/>
      <c r="B242" s="62"/>
      <c r="C242" s="62"/>
      <c r="D242" s="62"/>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row>
    <row r="243" spans="1:44" ht="15.75" customHeight="1" x14ac:dyDescent="0.25">
      <c r="A243" s="63"/>
      <c r="B243" s="62"/>
      <c r="C243" s="62"/>
      <c r="D243" s="62"/>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row>
    <row r="244" spans="1:44" ht="15.75" customHeight="1" x14ac:dyDescent="0.25">
      <c r="A244" s="63"/>
      <c r="B244" s="62"/>
      <c r="C244" s="62"/>
      <c r="D244" s="62"/>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row>
    <row r="245" spans="1:44" ht="15.75" customHeight="1" x14ac:dyDescent="0.25">
      <c r="A245" s="63"/>
      <c r="B245" s="62"/>
      <c r="C245" s="62"/>
      <c r="D245" s="62"/>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row>
    <row r="246" spans="1:44" ht="15.75" customHeight="1" x14ac:dyDescent="0.25">
      <c r="A246" s="63"/>
      <c r="B246" s="62"/>
      <c r="C246" s="62"/>
      <c r="D246" s="62"/>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row>
    <row r="247" spans="1:44" ht="15.75" customHeight="1" x14ac:dyDescent="0.25">
      <c r="A247" s="63"/>
      <c r="B247" s="62"/>
      <c r="C247" s="62"/>
      <c r="D247" s="62"/>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row>
    <row r="248" spans="1:44" ht="15.75" customHeight="1" x14ac:dyDescent="0.25">
      <c r="A248" s="63"/>
      <c r="B248" s="62"/>
      <c r="C248" s="62"/>
      <c r="D248" s="62"/>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row>
    <row r="249" spans="1:44" ht="15.75" customHeight="1" x14ac:dyDescent="0.25">
      <c r="A249" s="63"/>
      <c r="B249" s="62"/>
      <c r="C249" s="62"/>
      <c r="D249" s="62"/>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row>
    <row r="250" spans="1:44" ht="15.75" customHeight="1" x14ac:dyDescent="0.25">
      <c r="A250" s="63"/>
      <c r="B250" s="62"/>
      <c r="C250" s="62"/>
      <c r="D250" s="62"/>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row>
    <row r="251" spans="1:44" ht="15.75" customHeight="1" x14ac:dyDescent="0.25">
      <c r="A251" s="63"/>
      <c r="B251" s="62"/>
      <c r="C251" s="62"/>
      <c r="D251" s="62"/>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row>
    <row r="252" spans="1:44" ht="15.75" customHeight="1" x14ac:dyDescent="0.25">
      <c r="A252" s="63"/>
      <c r="B252" s="62"/>
      <c r="C252" s="62"/>
      <c r="D252" s="62"/>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row>
    <row r="253" spans="1:44" ht="15.75" customHeight="1" x14ac:dyDescent="0.25">
      <c r="A253" s="63"/>
      <c r="B253" s="62"/>
      <c r="C253" s="62"/>
      <c r="D253" s="62"/>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row>
    <row r="254" spans="1:44" ht="15.75" customHeight="1" x14ac:dyDescent="0.25">
      <c r="A254" s="63"/>
      <c r="B254" s="62"/>
      <c r="C254" s="62"/>
      <c r="D254" s="62"/>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row>
    <row r="255" spans="1:44" ht="15.75" customHeight="1" x14ac:dyDescent="0.25">
      <c r="A255" s="63"/>
      <c r="B255" s="62"/>
      <c r="C255" s="62"/>
      <c r="D255" s="62"/>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row>
    <row r="256" spans="1:44" ht="15.75" customHeight="1" x14ac:dyDescent="0.25">
      <c r="A256" s="63"/>
      <c r="B256" s="62"/>
      <c r="C256" s="62"/>
      <c r="D256" s="62"/>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row>
    <row r="257" spans="1:44" ht="15.75" customHeight="1" x14ac:dyDescent="0.25">
      <c r="A257" s="63"/>
      <c r="B257" s="62"/>
      <c r="C257" s="62"/>
      <c r="D257" s="62"/>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row>
    <row r="258" spans="1:44" ht="15.75" customHeight="1" x14ac:dyDescent="0.25">
      <c r="A258" s="63"/>
      <c r="B258" s="62"/>
      <c r="C258" s="62"/>
      <c r="D258" s="62"/>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row>
    <row r="259" spans="1:44" ht="15.75" customHeight="1" x14ac:dyDescent="0.25">
      <c r="A259" s="63"/>
      <c r="B259" s="62"/>
      <c r="C259" s="62"/>
      <c r="D259" s="62"/>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row>
    <row r="260" spans="1:44" ht="15.75" customHeight="1" x14ac:dyDescent="0.25">
      <c r="A260" s="63"/>
      <c r="B260" s="62"/>
      <c r="C260" s="62"/>
      <c r="D260" s="62"/>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row>
    <row r="261" spans="1:44" ht="15.75" customHeight="1" x14ac:dyDescent="0.25">
      <c r="A261" s="63"/>
      <c r="B261" s="62"/>
      <c r="C261" s="62"/>
      <c r="D261" s="62"/>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row>
    <row r="262" spans="1:44" ht="15.75" customHeight="1" x14ac:dyDescent="0.25">
      <c r="A262" s="63"/>
      <c r="B262" s="62"/>
      <c r="C262" s="62"/>
      <c r="D262" s="62"/>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row>
    <row r="263" spans="1:44" ht="15.75" customHeight="1" x14ac:dyDescent="0.25">
      <c r="A263" s="63"/>
      <c r="B263" s="62"/>
      <c r="C263" s="62"/>
      <c r="D263" s="62"/>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row>
    <row r="264" spans="1:44" ht="15.75" customHeight="1" x14ac:dyDescent="0.25">
      <c r="A264" s="63"/>
      <c r="B264" s="62"/>
      <c r="C264" s="62"/>
      <c r="D264" s="62"/>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row>
    <row r="265" spans="1:44" ht="15.75" customHeight="1" x14ac:dyDescent="0.25">
      <c r="A265" s="63"/>
      <c r="B265" s="62"/>
      <c r="C265" s="62"/>
      <c r="D265" s="62"/>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row>
    <row r="266" spans="1:44" ht="15.75" customHeight="1" x14ac:dyDescent="0.25">
      <c r="A266" s="63"/>
      <c r="B266" s="62"/>
      <c r="C266" s="62"/>
      <c r="D266" s="62"/>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row>
    <row r="267" spans="1:44" ht="15.75" customHeight="1" x14ac:dyDescent="0.25">
      <c r="A267" s="63"/>
      <c r="B267" s="62"/>
      <c r="C267" s="62"/>
      <c r="D267" s="62"/>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row>
    <row r="268" spans="1:44" ht="15.75" customHeight="1" x14ac:dyDescent="0.25">
      <c r="A268" s="63"/>
      <c r="B268" s="62"/>
      <c r="C268" s="62"/>
      <c r="D268" s="62"/>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row>
    <row r="269" spans="1:44" ht="15.75" customHeight="1" x14ac:dyDescent="0.25">
      <c r="A269" s="63"/>
      <c r="B269" s="62"/>
      <c r="C269" s="62"/>
      <c r="D269" s="62"/>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row>
    <row r="270" spans="1:44" ht="15.75" customHeight="1" x14ac:dyDescent="0.25">
      <c r="A270" s="63"/>
      <c r="B270" s="62"/>
      <c r="C270" s="62"/>
      <c r="D270" s="62"/>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row>
    <row r="271" spans="1:44" ht="15.75" customHeight="1" x14ac:dyDescent="0.25">
      <c r="A271" s="63"/>
      <c r="B271" s="62"/>
      <c r="C271" s="62"/>
      <c r="D271" s="62"/>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row>
    <row r="272" spans="1:44" ht="15.75" customHeight="1" x14ac:dyDescent="0.25">
      <c r="A272" s="63"/>
      <c r="B272" s="62"/>
      <c r="C272" s="62"/>
      <c r="D272" s="62"/>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row>
    <row r="273" spans="1:44" ht="15.75" customHeight="1" x14ac:dyDescent="0.25">
      <c r="A273" s="63"/>
      <c r="B273" s="62"/>
      <c r="C273" s="62"/>
      <c r="D273" s="62"/>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row>
    <row r="274" spans="1:44" ht="15.75" customHeight="1" x14ac:dyDescent="0.25">
      <c r="A274" s="63"/>
      <c r="B274" s="62"/>
      <c r="C274" s="62"/>
      <c r="D274" s="62"/>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row>
    <row r="275" spans="1:44" ht="15.75" customHeight="1" x14ac:dyDescent="0.25">
      <c r="A275" s="63"/>
      <c r="B275" s="62"/>
      <c r="C275" s="62"/>
      <c r="D275" s="62"/>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row>
    <row r="276" spans="1:44" ht="15.75" customHeight="1" x14ac:dyDescent="0.25">
      <c r="A276" s="63"/>
      <c r="B276" s="62"/>
      <c r="C276" s="62"/>
      <c r="D276" s="62"/>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row>
    <row r="277" spans="1:44" ht="15.75" customHeight="1" x14ac:dyDescent="0.25">
      <c r="A277" s="63"/>
      <c r="B277" s="62"/>
      <c r="C277" s="62"/>
      <c r="D277" s="62"/>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row>
    <row r="278" spans="1:44" ht="15.75" customHeight="1" x14ac:dyDescent="0.25">
      <c r="A278" s="63"/>
      <c r="B278" s="62"/>
      <c r="C278" s="62"/>
      <c r="D278" s="62"/>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row>
    <row r="279" spans="1:44" ht="15.75" customHeight="1" x14ac:dyDescent="0.25">
      <c r="A279" s="63"/>
      <c r="B279" s="62"/>
      <c r="C279" s="62"/>
      <c r="D279" s="62"/>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row>
    <row r="280" spans="1:44" ht="15.75" customHeight="1" x14ac:dyDescent="0.25">
      <c r="A280" s="63"/>
      <c r="B280" s="62"/>
      <c r="C280" s="62"/>
      <c r="D280" s="62"/>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row>
    <row r="281" spans="1:44" ht="15.75" customHeight="1" x14ac:dyDescent="0.25">
      <c r="A281" s="63"/>
      <c r="B281" s="62"/>
      <c r="C281" s="62"/>
      <c r="D281" s="62"/>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row>
    <row r="282" spans="1:44" ht="15.75" customHeight="1" x14ac:dyDescent="0.25">
      <c r="A282" s="63"/>
      <c r="B282" s="62"/>
      <c r="C282" s="62"/>
      <c r="D282" s="62"/>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row>
    <row r="283" spans="1:44" ht="15.75" customHeight="1" x14ac:dyDescent="0.25">
      <c r="A283" s="63"/>
      <c r="B283" s="62"/>
      <c r="C283" s="62"/>
      <c r="D283" s="62"/>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row>
    <row r="284" spans="1:44" ht="15.75" customHeight="1" x14ac:dyDescent="0.25">
      <c r="A284" s="63"/>
      <c r="B284" s="62"/>
      <c r="C284" s="62"/>
      <c r="D284" s="62"/>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row>
    <row r="285" spans="1:44" ht="15.75" customHeight="1" x14ac:dyDescent="0.25">
      <c r="A285" s="63"/>
      <c r="B285" s="62"/>
      <c r="C285" s="62"/>
      <c r="D285" s="62"/>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row>
    <row r="286" spans="1:44" ht="15.75" customHeight="1" x14ac:dyDescent="0.25">
      <c r="A286" s="63"/>
      <c r="B286" s="62"/>
      <c r="C286" s="62"/>
      <c r="D286" s="62"/>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row>
    <row r="287" spans="1:44" ht="15.75" customHeight="1" x14ac:dyDescent="0.25">
      <c r="A287" s="63"/>
      <c r="B287" s="62"/>
      <c r="C287" s="62"/>
      <c r="D287" s="62"/>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row>
    <row r="288" spans="1:44" ht="15.75" customHeight="1" x14ac:dyDescent="0.25">
      <c r="A288" s="63"/>
      <c r="B288" s="62"/>
      <c r="C288" s="62"/>
      <c r="D288" s="62"/>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row>
    <row r="289" spans="1:44" ht="15.75" customHeight="1" x14ac:dyDescent="0.25">
      <c r="A289" s="63"/>
      <c r="B289" s="62"/>
      <c r="C289" s="62"/>
      <c r="D289" s="62"/>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row>
    <row r="290" spans="1:44" ht="15.75" customHeight="1" x14ac:dyDescent="0.25">
      <c r="A290" s="63"/>
      <c r="B290" s="62"/>
      <c r="C290" s="62"/>
      <c r="D290" s="62"/>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row>
    <row r="291" spans="1:44" ht="15.75" customHeight="1" x14ac:dyDescent="0.25">
      <c r="A291" s="63"/>
      <c r="B291" s="62"/>
      <c r="C291" s="62"/>
      <c r="D291" s="62"/>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row>
    <row r="292" spans="1:44" ht="15.75" customHeight="1" x14ac:dyDescent="0.25">
      <c r="A292" s="63"/>
      <c r="B292" s="62"/>
      <c r="C292" s="62"/>
      <c r="D292" s="62"/>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row>
    <row r="293" spans="1:44" ht="15.75" customHeight="1" x14ac:dyDescent="0.25">
      <c r="A293" s="63"/>
      <c r="B293" s="62"/>
      <c r="C293" s="62"/>
      <c r="D293" s="62"/>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row>
    <row r="294" spans="1:44" ht="15.75" customHeight="1" x14ac:dyDescent="0.25">
      <c r="A294" s="63"/>
      <c r="B294" s="62"/>
      <c r="C294" s="62"/>
      <c r="D294" s="62"/>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row>
    <row r="295" spans="1:44" ht="15.75" customHeight="1" x14ac:dyDescent="0.25">
      <c r="A295" s="63"/>
      <c r="B295" s="62"/>
      <c r="C295" s="62"/>
      <c r="D295" s="62"/>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row>
    <row r="296" spans="1:44" ht="15.75" customHeight="1" x14ac:dyDescent="0.25">
      <c r="A296" s="63"/>
      <c r="B296" s="62"/>
      <c r="C296" s="62"/>
      <c r="D296" s="62"/>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row>
    <row r="297" spans="1:44" ht="15.75" customHeight="1" x14ac:dyDescent="0.25">
      <c r="A297" s="63"/>
      <c r="B297" s="62"/>
      <c r="C297" s="62"/>
      <c r="D297" s="62"/>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row>
    <row r="298" spans="1:44" ht="15.75" customHeight="1" x14ac:dyDescent="0.25">
      <c r="A298" s="63"/>
      <c r="B298" s="62"/>
      <c r="C298" s="62"/>
      <c r="D298" s="62"/>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row>
    <row r="299" spans="1:44" ht="15.75" customHeight="1" x14ac:dyDescent="0.25">
      <c r="A299" s="63"/>
      <c r="B299" s="62"/>
      <c r="C299" s="62"/>
      <c r="D299" s="62"/>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row>
    <row r="300" spans="1:44" ht="15.75" customHeight="1" x14ac:dyDescent="0.25">
      <c r="A300" s="63"/>
      <c r="B300" s="62"/>
      <c r="C300" s="62"/>
      <c r="D300" s="62"/>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row>
    <row r="301" spans="1:44" ht="15.75" customHeight="1" x14ac:dyDescent="0.25">
      <c r="A301" s="63"/>
      <c r="B301" s="62"/>
      <c r="C301" s="62"/>
      <c r="D301" s="62"/>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row>
    <row r="302" spans="1:44" ht="15.75" customHeight="1" x14ac:dyDescent="0.25">
      <c r="A302" s="63"/>
      <c r="B302" s="62"/>
      <c r="C302" s="62"/>
      <c r="D302" s="62"/>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row>
    <row r="303" spans="1:44" ht="15.75" customHeight="1" x14ac:dyDescent="0.25">
      <c r="A303" s="63"/>
      <c r="B303" s="62"/>
      <c r="C303" s="62"/>
      <c r="D303" s="62"/>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row>
    <row r="304" spans="1:44" ht="15.75" customHeight="1" x14ac:dyDescent="0.25">
      <c r="A304" s="63"/>
      <c r="B304" s="62"/>
      <c r="C304" s="62"/>
      <c r="D304" s="62"/>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row>
    <row r="305" spans="1:44" ht="15.75" customHeight="1" x14ac:dyDescent="0.25">
      <c r="A305" s="63"/>
      <c r="B305" s="62"/>
      <c r="C305" s="62"/>
      <c r="D305" s="62"/>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row>
    <row r="306" spans="1:44" ht="15.75" customHeight="1" x14ac:dyDescent="0.25">
      <c r="A306" s="63"/>
      <c r="B306" s="62"/>
      <c r="C306" s="62"/>
      <c r="D306" s="62"/>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row>
    <row r="307" spans="1:44" ht="15.75" customHeight="1" x14ac:dyDescent="0.25">
      <c r="A307" s="63"/>
      <c r="B307" s="62"/>
      <c r="C307" s="62"/>
      <c r="D307" s="62"/>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row>
    <row r="308" spans="1:44" ht="15.75" customHeight="1" x14ac:dyDescent="0.25">
      <c r="A308" s="63"/>
      <c r="B308" s="62"/>
      <c r="C308" s="62"/>
      <c r="D308" s="62"/>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row>
    <row r="309" spans="1:44" ht="15.75" customHeight="1" x14ac:dyDescent="0.25">
      <c r="A309" s="63"/>
      <c r="B309" s="62"/>
      <c r="C309" s="62"/>
      <c r="D309" s="62"/>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row>
    <row r="310" spans="1:44" ht="15.75" customHeight="1" x14ac:dyDescent="0.25">
      <c r="A310" s="63"/>
      <c r="B310" s="62"/>
      <c r="C310" s="62"/>
      <c r="D310" s="62"/>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row>
    <row r="311" spans="1:44" ht="15.75" customHeight="1" x14ac:dyDescent="0.25">
      <c r="A311" s="63"/>
      <c r="B311" s="62"/>
      <c r="C311" s="62"/>
      <c r="D311" s="62"/>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row>
    <row r="312" spans="1:44" ht="15.75" customHeight="1" x14ac:dyDescent="0.25">
      <c r="A312" s="63"/>
      <c r="B312" s="62"/>
      <c r="C312" s="62"/>
      <c r="D312" s="62"/>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row>
    <row r="313" spans="1:44" ht="15.75" customHeight="1" x14ac:dyDescent="0.25">
      <c r="A313" s="63"/>
      <c r="B313" s="62"/>
      <c r="C313" s="62"/>
      <c r="D313" s="62"/>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row>
    <row r="314" spans="1:44" ht="15.75" customHeight="1" x14ac:dyDescent="0.25">
      <c r="A314" s="63"/>
      <c r="B314" s="62"/>
      <c r="C314" s="62"/>
      <c r="D314" s="62"/>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row>
    <row r="315" spans="1:44" ht="15.75" customHeight="1" x14ac:dyDescent="0.25">
      <c r="A315" s="63"/>
      <c r="B315" s="62"/>
      <c r="C315" s="62"/>
      <c r="D315" s="62"/>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row>
    <row r="316" spans="1:44" ht="15.75" customHeight="1" x14ac:dyDescent="0.25">
      <c r="A316" s="63"/>
      <c r="B316" s="62"/>
      <c r="C316" s="62"/>
      <c r="D316" s="62"/>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58"/>
      <c r="AH316" s="58"/>
      <c r="AI316" s="58"/>
      <c r="AJ316" s="58"/>
      <c r="AK316" s="58"/>
      <c r="AL316" s="58"/>
      <c r="AM316" s="58"/>
      <c r="AN316" s="58"/>
      <c r="AO316" s="58"/>
      <c r="AP316" s="58"/>
      <c r="AQ316" s="58"/>
      <c r="AR316" s="58"/>
    </row>
    <row r="317" spans="1:44" ht="15.75" customHeight="1" x14ac:dyDescent="0.25">
      <c r="A317" s="63"/>
      <c r="B317" s="62"/>
      <c r="C317" s="62"/>
      <c r="D317" s="62"/>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58"/>
      <c r="AK317" s="58"/>
      <c r="AL317" s="58"/>
      <c r="AM317" s="58"/>
      <c r="AN317" s="58"/>
      <c r="AO317" s="58"/>
      <c r="AP317" s="58"/>
      <c r="AQ317" s="58"/>
      <c r="AR317" s="58"/>
    </row>
    <row r="318" spans="1:44" ht="15.75" customHeight="1" x14ac:dyDescent="0.25">
      <c r="A318" s="63"/>
      <c r="B318" s="62"/>
      <c r="C318" s="62"/>
      <c r="D318" s="62"/>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c r="AG318" s="58"/>
      <c r="AH318" s="58"/>
      <c r="AI318" s="58"/>
      <c r="AJ318" s="58"/>
      <c r="AK318" s="58"/>
      <c r="AL318" s="58"/>
      <c r="AM318" s="58"/>
      <c r="AN318" s="58"/>
      <c r="AO318" s="58"/>
      <c r="AP318" s="58"/>
      <c r="AQ318" s="58"/>
      <c r="AR318" s="58"/>
    </row>
    <row r="319" spans="1:44" ht="15.75" customHeight="1" x14ac:dyDescent="0.25">
      <c r="A319" s="63"/>
      <c r="B319" s="62"/>
      <c r="C319" s="62"/>
      <c r="D319" s="62"/>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c r="AG319" s="58"/>
      <c r="AH319" s="58"/>
      <c r="AI319" s="58"/>
      <c r="AJ319" s="58"/>
      <c r="AK319" s="58"/>
      <c r="AL319" s="58"/>
      <c r="AM319" s="58"/>
      <c r="AN319" s="58"/>
      <c r="AO319" s="58"/>
      <c r="AP319" s="58"/>
      <c r="AQ319" s="58"/>
      <c r="AR319" s="58"/>
    </row>
    <row r="320" spans="1:44" ht="15.75" customHeight="1" x14ac:dyDescent="0.25">
      <c r="A320" s="63"/>
      <c r="B320" s="62"/>
      <c r="C320" s="62"/>
      <c r="D320" s="62"/>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c r="AI320" s="58"/>
      <c r="AJ320" s="58"/>
      <c r="AK320" s="58"/>
      <c r="AL320" s="58"/>
      <c r="AM320" s="58"/>
      <c r="AN320" s="58"/>
      <c r="AO320" s="58"/>
      <c r="AP320" s="58"/>
      <c r="AQ320" s="58"/>
      <c r="AR320" s="58"/>
    </row>
    <row r="321" spans="1:44" ht="15.75" customHeight="1" x14ac:dyDescent="0.25">
      <c r="A321" s="63"/>
      <c r="B321" s="62"/>
      <c r="C321" s="62"/>
      <c r="D321" s="62"/>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c r="AG321" s="58"/>
      <c r="AH321" s="58"/>
      <c r="AI321" s="58"/>
      <c r="AJ321" s="58"/>
      <c r="AK321" s="58"/>
      <c r="AL321" s="58"/>
      <c r="AM321" s="58"/>
      <c r="AN321" s="58"/>
      <c r="AO321" s="58"/>
      <c r="AP321" s="58"/>
      <c r="AQ321" s="58"/>
      <c r="AR321" s="58"/>
    </row>
    <row r="322" spans="1:44" ht="15.75" customHeight="1" x14ac:dyDescent="0.25">
      <c r="A322" s="63"/>
      <c r="B322" s="62"/>
      <c r="C322" s="62"/>
      <c r="D322" s="62"/>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c r="AG322" s="58"/>
      <c r="AH322" s="58"/>
      <c r="AI322" s="58"/>
      <c r="AJ322" s="58"/>
      <c r="AK322" s="58"/>
      <c r="AL322" s="58"/>
      <c r="AM322" s="58"/>
      <c r="AN322" s="58"/>
      <c r="AO322" s="58"/>
      <c r="AP322" s="58"/>
      <c r="AQ322" s="58"/>
      <c r="AR322" s="58"/>
    </row>
    <row r="323" spans="1:44" ht="15.75" customHeight="1" x14ac:dyDescent="0.25">
      <c r="A323" s="63"/>
      <c r="B323" s="62"/>
      <c r="C323" s="62"/>
      <c r="D323" s="62"/>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c r="AG323" s="58"/>
      <c r="AH323" s="58"/>
      <c r="AI323" s="58"/>
      <c r="AJ323" s="58"/>
      <c r="AK323" s="58"/>
      <c r="AL323" s="58"/>
      <c r="AM323" s="58"/>
      <c r="AN323" s="58"/>
      <c r="AO323" s="58"/>
      <c r="AP323" s="58"/>
      <c r="AQ323" s="58"/>
      <c r="AR323" s="58"/>
    </row>
    <row r="324" spans="1:44" ht="15.75" customHeight="1" x14ac:dyDescent="0.25">
      <c r="A324" s="63"/>
      <c r="B324" s="62"/>
      <c r="C324" s="62"/>
      <c r="D324" s="62"/>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c r="AE324" s="58"/>
      <c r="AF324" s="58"/>
      <c r="AG324" s="58"/>
      <c r="AH324" s="58"/>
      <c r="AI324" s="58"/>
      <c r="AJ324" s="58"/>
      <c r="AK324" s="58"/>
      <c r="AL324" s="58"/>
      <c r="AM324" s="58"/>
      <c r="AN324" s="58"/>
      <c r="AO324" s="58"/>
      <c r="AP324" s="58"/>
      <c r="AQ324" s="58"/>
      <c r="AR324" s="58"/>
    </row>
    <row r="325" spans="1:44" ht="15.75" customHeight="1" x14ac:dyDescent="0.25">
      <c r="A325" s="63"/>
      <c r="B325" s="62"/>
      <c r="C325" s="62"/>
      <c r="D325" s="62"/>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c r="AG325" s="58"/>
      <c r="AH325" s="58"/>
      <c r="AI325" s="58"/>
      <c r="AJ325" s="58"/>
      <c r="AK325" s="58"/>
      <c r="AL325" s="58"/>
      <c r="AM325" s="58"/>
      <c r="AN325" s="58"/>
      <c r="AO325" s="58"/>
      <c r="AP325" s="58"/>
      <c r="AQ325" s="58"/>
      <c r="AR325" s="58"/>
    </row>
    <row r="326" spans="1:44" ht="15.75" customHeight="1" x14ac:dyDescent="0.25">
      <c r="A326" s="63"/>
      <c r="B326" s="62"/>
      <c r="C326" s="62"/>
      <c r="D326" s="62"/>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c r="AG326" s="58"/>
      <c r="AH326" s="58"/>
      <c r="AI326" s="58"/>
      <c r="AJ326" s="58"/>
      <c r="AK326" s="58"/>
      <c r="AL326" s="58"/>
      <c r="AM326" s="58"/>
      <c r="AN326" s="58"/>
      <c r="AO326" s="58"/>
      <c r="AP326" s="58"/>
      <c r="AQ326" s="58"/>
      <c r="AR326" s="58"/>
    </row>
    <row r="327" spans="1:44" ht="15.75" customHeight="1" x14ac:dyDescent="0.25">
      <c r="A327" s="63"/>
      <c r="B327" s="62"/>
      <c r="C327" s="62"/>
      <c r="D327" s="62"/>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c r="AG327" s="58"/>
      <c r="AH327" s="58"/>
      <c r="AI327" s="58"/>
      <c r="AJ327" s="58"/>
      <c r="AK327" s="58"/>
      <c r="AL327" s="58"/>
      <c r="AM327" s="58"/>
      <c r="AN327" s="58"/>
      <c r="AO327" s="58"/>
      <c r="AP327" s="58"/>
      <c r="AQ327" s="58"/>
      <c r="AR327" s="58"/>
    </row>
    <row r="328" spans="1:44" ht="15.75" customHeight="1" x14ac:dyDescent="0.25">
      <c r="A328" s="63"/>
      <c r="B328" s="62"/>
      <c r="C328" s="62"/>
      <c r="D328" s="62"/>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8"/>
      <c r="AI328" s="58"/>
      <c r="AJ328" s="58"/>
      <c r="AK328" s="58"/>
      <c r="AL328" s="58"/>
      <c r="AM328" s="58"/>
      <c r="AN328" s="58"/>
      <c r="AO328" s="58"/>
      <c r="AP328" s="58"/>
      <c r="AQ328" s="58"/>
      <c r="AR328" s="58"/>
    </row>
    <row r="329" spans="1:44" ht="15.75" customHeight="1" x14ac:dyDescent="0.25">
      <c r="A329" s="63"/>
      <c r="B329" s="62"/>
      <c r="C329" s="62"/>
      <c r="D329" s="62"/>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c r="AI329" s="58"/>
      <c r="AJ329" s="58"/>
      <c r="AK329" s="58"/>
      <c r="AL329" s="58"/>
      <c r="AM329" s="58"/>
      <c r="AN329" s="58"/>
      <c r="AO329" s="58"/>
      <c r="AP329" s="58"/>
      <c r="AQ329" s="58"/>
      <c r="AR329" s="58"/>
    </row>
    <row r="330" spans="1:44" ht="15.75" customHeight="1" x14ac:dyDescent="0.25">
      <c r="A330" s="63"/>
      <c r="B330" s="62"/>
      <c r="C330" s="62"/>
      <c r="D330" s="62"/>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c r="AG330" s="58"/>
      <c r="AH330" s="58"/>
      <c r="AI330" s="58"/>
      <c r="AJ330" s="58"/>
      <c r="AK330" s="58"/>
      <c r="AL330" s="58"/>
      <c r="AM330" s="58"/>
      <c r="AN330" s="58"/>
      <c r="AO330" s="58"/>
      <c r="AP330" s="58"/>
      <c r="AQ330" s="58"/>
      <c r="AR330" s="58"/>
    </row>
    <row r="331" spans="1:44" ht="15.75" customHeight="1" x14ac:dyDescent="0.25">
      <c r="A331" s="63"/>
      <c r="B331" s="62"/>
      <c r="C331" s="62"/>
      <c r="D331" s="62"/>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c r="AG331" s="58"/>
      <c r="AH331" s="58"/>
      <c r="AI331" s="58"/>
      <c r="AJ331" s="58"/>
      <c r="AK331" s="58"/>
      <c r="AL331" s="58"/>
      <c r="AM331" s="58"/>
      <c r="AN331" s="58"/>
      <c r="AO331" s="58"/>
      <c r="AP331" s="58"/>
      <c r="AQ331" s="58"/>
      <c r="AR331" s="58"/>
    </row>
    <row r="332" spans="1:44" ht="15.75" customHeight="1" x14ac:dyDescent="0.25">
      <c r="A332" s="63"/>
      <c r="B332" s="62"/>
      <c r="C332" s="62"/>
      <c r="D332" s="62"/>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8"/>
      <c r="AI332" s="58"/>
      <c r="AJ332" s="58"/>
      <c r="AK332" s="58"/>
      <c r="AL332" s="58"/>
      <c r="AM332" s="58"/>
      <c r="AN332" s="58"/>
      <c r="AO332" s="58"/>
      <c r="AP332" s="58"/>
      <c r="AQ332" s="58"/>
      <c r="AR332" s="58"/>
    </row>
    <row r="333" spans="1:44" ht="15.75" customHeight="1" x14ac:dyDescent="0.25">
      <c r="A333" s="63"/>
      <c r="B333" s="62"/>
      <c r="C333" s="62"/>
      <c r="D333" s="62"/>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E333" s="58"/>
      <c r="AF333" s="58"/>
      <c r="AG333" s="58"/>
      <c r="AH333" s="58"/>
      <c r="AI333" s="58"/>
      <c r="AJ333" s="58"/>
      <c r="AK333" s="58"/>
      <c r="AL333" s="58"/>
      <c r="AM333" s="58"/>
      <c r="AN333" s="58"/>
      <c r="AO333" s="58"/>
      <c r="AP333" s="58"/>
      <c r="AQ333" s="58"/>
      <c r="AR333" s="58"/>
    </row>
    <row r="334" spans="1:44" ht="15.75" customHeight="1" x14ac:dyDescent="0.25">
      <c r="A334" s="63"/>
      <c r="B334" s="62"/>
      <c r="C334" s="62"/>
      <c r="D334" s="62"/>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E334" s="58"/>
      <c r="AF334" s="58"/>
      <c r="AG334" s="58"/>
      <c r="AH334" s="58"/>
      <c r="AI334" s="58"/>
      <c r="AJ334" s="58"/>
      <c r="AK334" s="58"/>
      <c r="AL334" s="58"/>
      <c r="AM334" s="58"/>
      <c r="AN334" s="58"/>
      <c r="AO334" s="58"/>
      <c r="AP334" s="58"/>
      <c r="AQ334" s="58"/>
      <c r="AR334" s="58"/>
    </row>
    <row r="335" spans="1:44" ht="15.75" customHeight="1" x14ac:dyDescent="0.25">
      <c r="A335" s="63"/>
      <c r="B335" s="62"/>
      <c r="C335" s="62"/>
      <c r="D335" s="62"/>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c r="AJ335" s="58"/>
      <c r="AK335" s="58"/>
      <c r="AL335" s="58"/>
      <c r="AM335" s="58"/>
      <c r="AN335" s="58"/>
      <c r="AO335" s="58"/>
      <c r="AP335" s="58"/>
      <c r="AQ335" s="58"/>
      <c r="AR335" s="58"/>
    </row>
    <row r="336" spans="1:44" ht="15.75" customHeight="1" x14ac:dyDescent="0.25">
      <c r="A336" s="63"/>
      <c r="B336" s="62"/>
      <c r="C336" s="62"/>
      <c r="D336" s="62"/>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E336" s="58"/>
      <c r="AF336" s="58"/>
      <c r="AG336" s="58"/>
      <c r="AH336" s="58"/>
      <c r="AI336" s="58"/>
      <c r="AJ336" s="58"/>
      <c r="AK336" s="58"/>
      <c r="AL336" s="58"/>
      <c r="AM336" s="58"/>
      <c r="AN336" s="58"/>
      <c r="AO336" s="58"/>
      <c r="AP336" s="58"/>
      <c r="AQ336" s="58"/>
      <c r="AR336" s="58"/>
    </row>
    <row r="337" spans="1:44" ht="15.75" customHeight="1" x14ac:dyDescent="0.25">
      <c r="A337" s="63"/>
      <c r="B337" s="62"/>
      <c r="C337" s="62"/>
      <c r="D337" s="62"/>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E337" s="58"/>
      <c r="AF337" s="58"/>
      <c r="AG337" s="58"/>
      <c r="AH337" s="58"/>
      <c r="AI337" s="58"/>
      <c r="AJ337" s="58"/>
      <c r="AK337" s="58"/>
      <c r="AL337" s="58"/>
      <c r="AM337" s="58"/>
      <c r="AN337" s="58"/>
      <c r="AO337" s="58"/>
      <c r="AP337" s="58"/>
      <c r="AQ337" s="58"/>
      <c r="AR337" s="58"/>
    </row>
    <row r="338" spans="1:44" ht="15.75" customHeight="1" x14ac:dyDescent="0.25">
      <c r="A338" s="63"/>
      <c r="B338" s="62"/>
      <c r="C338" s="62"/>
      <c r="D338" s="62"/>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E338" s="58"/>
      <c r="AF338" s="58"/>
      <c r="AG338" s="58"/>
      <c r="AH338" s="58"/>
      <c r="AI338" s="58"/>
      <c r="AJ338" s="58"/>
      <c r="AK338" s="58"/>
      <c r="AL338" s="58"/>
      <c r="AM338" s="58"/>
      <c r="AN338" s="58"/>
      <c r="AO338" s="58"/>
      <c r="AP338" s="58"/>
      <c r="AQ338" s="58"/>
      <c r="AR338" s="58"/>
    </row>
    <row r="339" spans="1:44" ht="15.75" customHeight="1" x14ac:dyDescent="0.25">
      <c r="A339" s="63"/>
      <c r="B339" s="62"/>
      <c r="C339" s="62"/>
      <c r="D339" s="62"/>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E339" s="58"/>
      <c r="AF339" s="58"/>
      <c r="AG339" s="58"/>
      <c r="AH339" s="58"/>
      <c r="AI339" s="58"/>
      <c r="AJ339" s="58"/>
      <c r="AK339" s="58"/>
      <c r="AL339" s="58"/>
      <c r="AM339" s="58"/>
      <c r="AN339" s="58"/>
      <c r="AO339" s="58"/>
      <c r="AP339" s="58"/>
      <c r="AQ339" s="58"/>
      <c r="AR339" s="58"/>
    </row>
    <row r="340" spans="1:44" ht="15.75" customHeight="1" x14ac:dyDescent="0.25">
      <c r="A340" s="63"/>
      <c r="B340" s="62"/>
      <c r="C340" s="62"/>
      <c r="D340" s="62"/>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c r="AG340" s="58"/>
      <c r="AH340" s="58"/>
      <c r="AI340" s="58"/>
      <c r="AJ340" s="58"/>
      <c r="AK340" s="58"/>
      <c r="AL340" s="58"/>
      <c r="AM340" s="58"/>
      <c r="AN340" s="58"/>
      <c r="AO340" s="58"/>
      <c r="AP340" s="58"/>
      <c r="AQ340" s="58"/>
      <c r="AR340" s="58"/>
    </row>
    <row r="341" spans="1:44" ht="15.75" customHeight="1" x14ac:dyDescent="0.25">
      <c r="A341" s="63"/>
      <c r="B341" s="62"/>
      <c r="C341" s="62"/>
      <c r="D341" s="62"/>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c r="AG341" s="58"/>
      <c r="AH341" s="58"/>
      <c r="AI341" s="58"/>
      <c r="AJ341" s="58"/>
      <c r="AK341" s="58"/>
      <c r="AL341" s="58"/>
      <c r="AM341" s="58"/>
      <c r="AN341" s="58"/>
      <c r="AO341" s="58"/>
      <c r="AP341" s="58"/>
      <c r="AQ341" s="58"/>
      <c r="AR341" s="58"/>
    </row>
    <row r="342" spans="1:44" ht="15.75" customHeight="1" x14ac:dyDescent="0.25">
      <c r="A342" s="63"/>
      <c r="B342" s="62"/>
      <c r="C342" s="62"/>
      <c r="D342" s="62"/>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c r="AG342" s="58"/>
      <c r="AH342" s="58"/>
      <c r="AI342" s="58"/>
      <c r="AJ342" s="58"/>
      <c r="AK342" s="58"/>
      <c r="AL342" s="58"/>
      <c r="AM342" s="58"/>
      <c r="AN342" s="58"/>
      <c r="AO342" s="58"/>
      <c r="AP342" s="58"/>
      <c r="AQ342" s="58"/>
      <c r="AR342" s="58"/>
    </row>
    <row r="343" spans="1:44" ht="15.75" customHeight="1" x14ac:dyDescent="0.25">
      <c r="A343" s="63"/>
      <c r="B343" s="62"/>
      <c r="C343" s="62"/>
      <c r="D343" s="62"/>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c r="AG343" s="58"/>
      <c r="AH343" s="58"/>
      <c r="AI343" s="58"/>
      <c r="AJ343" s="58"/>
      <c r="AK343" s="58"/>
      <c r="AL343" s="58"/>
      <c r="AM343" s="58"/>
      <c r="AN343" s="58"/>
      <c r="AO343" s="58"/>
      <c r="AP343" s="58"/>
      <c r="AQ343" s="58"/>
      <c r="AR343" s="58"/>
    </row>
    <row r="344" spans="1:44" ht="15.75" customHeight="1" x14ac:dyDescent="0.25">
      <c r="A344" s="63"/>
      <c r="B344" s="62"/>
      <c r="C344" s="62"/>
      <c r="D344" s="62"/>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c r="AJ344" s="58"/>
      <c r="AK344" s="58"/>
      <c r="AL344" s="58"/>
      <c r="AM344" s="58"/>
      <c r="AN344" s="58"/>
      <c r="AO344" s="58"/>
      <c r="AP344" s="58"/>
      <c r="AQ344" s="58"/>
      <c r="AR344" s="58"/>
    </row>
    <row r="345" spans="1:44" ht="15.75" customHeight="1" x14ac:dyDescent="0.25">
      <c r="A345" s="63"/>
      <c r="B345" s="62"/>
      <c r="C345" s="62"/>
      <c r="D345" s="62"/>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c r="AH345" s="58"/>
      <c r="AI345" s="58"/>
      <c r="AJ345" s="58"/>
      <c r="AK345" s="58"/>
      <c r="AL345" s="58"/>
      <c r="AM345" s="58"/>
      <c r="AN345" s="58"/>
      <c r="AO345" s="58"/>
      <c r="AP345" s="58"/>
      <c r="AQ345" s="58"/>
      <c r="AR345" s="58"/>
    </row>
    <row r="346" spans="1:44" ht="15.75" customHeight="1" x14ac:dyDescent="0.25">
      <c r="A346" s="63"/>
      <c r="B346" s="62"/>
      <c r="C346" s="62"/>
      <c r="D346" s="62"/>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c r="AI346" s="58"/>
      <c r="AJ346" s="58"/>
      <c r="AK346" s="58"/>
      <c r="AL346" s="58"/>
      <c r="AM346" s="58"/>
      <c r="AN346" s="58"/>
      <c r="AO346" s="58"/>
      <c r="AP346" s="58"/>
      <c r="AQ346" s="58"/>
      <c r="AR346" s="58"/>
    </row>
    <row r="347" spans="1:44" ht="15.75" customHeight="1" x14ac:dyDescent="0.25">
      <c r="A347" s="63"/>
      <c r="B347" s="62"/>
      <c r="C347" s="62"/>
      <c r="D347" s="62"/>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c r="AJ347" s="58"/>
      <c r="AK347" s="58"/>
      <c r="AL347" s="58"/>
      <c r="AM347" s="58"/>
      <c r="AN347" s="58"/>
      <c r="AO347" s="58"/>
      <c r="AP347" s="58"/>
      <c r="AQ347" s="58"/>
      <c r="AR347" s="58"/>
    </row>
    <row r="348" spans="1:44" ht="15.75" customHeight="1" x14ac:dyDescent="0.25">
      <c r="A348" s="63"/>
      <c r="B348" s="62"/>
      <c r="C348" s="62"/>
      <c r="D348" s="62"/>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c r="AI348" s="58"/>
      <c r="AJ348" s="58"/>
      <c r="AK348" s="58"/>
      <c r="AL348" s="58"/>
      <c r="AM348" s="58"/>
      <c r="AN348" s="58"/>
      <c r="AO348" s="58"/>
      <c r="AP348" s="58"/>
      <c r="AQ348" s="58"/>
      <c r="AR348" s="58"/>
    </row>
    <row r="349" spans="1:44" ht="15.75" customHeight="1" x14ac:dyDescent="0.25">
      <c r="A349" s="63"/>
      <c r="B349" s="62"/>
      <c r="C349" s="62"/>
      <c r="D349" s="62"/>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c r="AJ349" s="58"/>
      <c r="AK349" s="58"/>
      <c r="AL349" s="58"/>
      <c r="AM349" s="58"/>
      <c r="AN349" s="58"/>
      <c r="AO349" s="58"/>
      <c r="AP349" s="58"/>
      <c r="AQ349" s="58"/>
      <c r="AR349" s="58"/>
    </row>
    <row r="350" spans="1:44" ht="15.75" customHeight="1" x14ac:dyDescent="0.25">
      <c r="A350" s="63"/>
      <c r="B350" s="62"/>
      <c r="C350" s="62"/>
      <c r="D350" s="62"/>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c r="AJ350" s="58"/>
      <c r="AK350" s="58"/>
      <c r="AL350" s="58"/>
      <c r="AM350" s="58"/>
      <c r="AN350" s="58"/>
      <c r="AO350" s="58"/>
      <c r="AP350" s="58"/>
      <c r="AQ350" s="58"/>
      <c r="AR350" s="58"/>
    </row>
    <row r="351" spans="1:44" ht="15.75" customHeight="1" x14ac:dyDescent="0.25">
      <c r="A351" s="63"/>
      <c r="B351" s="62"/>
      <c r="C351" s="62"/>
      <c r="D351" s="62"/>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c r="AJ351" s="58"/>
      <c r="AK351" s="58"/>
      <c r="AL351" s="58"/>
      <c r="AM351" s="58"/>
      <c r="AN351" s="58"/>
      <c r="AO351" s="58"/>
      <c r="AP351" s="58"/>
      <c r="AQ351" s="58"/>
      <c r="AR351" s="58"/>
    </row>
    <row r="352" spans="1:44" ht="15.75" customHeight="1" x14ac:dyDescent="0.25">
      <c r="A352" s="63"/>
      <c r="B352" s="62"/>
      <c r="C352" s="62"/>
      <c r="D352" s="62"/>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c r="AJ352" s="58"/>
      <c r="AK352" s="58"/>
      <c r="AL352" s="58"/>
      <c r="AM352" s="58"/>
      <c r="AN352" s="58"/>
      <c r="AO352" s="58"/>
      <c r="AP352" s="58"/>
      <c r="AQ352" s="58"/>
      <c r="AR352" s="58"/>
    </row>
    <row r="353" spans="1:44" ht="15.75" customHeight="1" x14ac:dyDescent="0.25">
      <c r="A353" s="63"/>
      <c r="B353" s="62"/>
      <c r="C353" s="62"/>
      <c r="D353" s="62"/>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c r="AJ353" s="58"/>
      <c r="AK353" s="58"/>
      <c r="AL353" s="58"/>
      <c r="AM353" s="58"/>
      <c r="AN353" s="58"/>
      <c r="AO353" s="58"/>
      <c r="AP353" s="58"/>
      <c r="AQ353" s="58"/>
      <c r="AR353" s="58"/>
    </row>
    <row r="354" spans="1:44" ht="15.75" customHeight="1" x14ac:dyDescent="0.25">
      <c r="A354" s="63"/>
      <c r="B354" s="62"/>
      <c r="C354" s="62"/>
      <c r="D354" s="62"/>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8"/>
      <c r="AI354" s="58"/>
      <c r="AJ354" s="58"/>
      <c r="AK354" s="58"/>
      <c r="AL354" s="58"/>
      <c r="AM354" s="58"/>
      <c r="AN354" s="58"/>
      <c r="AO354" s="58"/>
      <c r="AP354" s="58"/>
      <c r="AQ354" s="58"/>
      <c r="AR354" s="58"/>
    </row>
    <row r="355" spans="1:44" ht="15.75" customHeight="1" x14ac:dyDescent="0.25">
      <c r="A355" s="63"/>
      <c r="B355" s="62"/>
      <c r="C355" s="62"/>
      <c r="D355" s="62"/>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c r="AG355" s="58"/>
      <c r="AH355" s="58"/>
      <c r="AI355" s="58"/>
      <c r="AJ355" s="58"/>
      <c r="AK355" s="58"/>
      <c r="AL355" s="58"/>
      <c r="AM355" s="58"/>
      <c r="AN355" s="58"/>
      <c r="AO355" s="58"/>
      <c r="AP355" s="58"/>
      <c r="AQ355" s="58"/>
      <c r="AR355" s="58"/>
    </row>
    <row r="356" spans="1:44" ht="15.75" customHeight="1" x14ac:dyDescent="0.25">
      <c r="A356" s="63"/>
      <c r="B356" s="62"/>
      <c r="C356" s="62"/>
      <c r="D356" s="62"/>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c r="AJ356" s="58"/>
      <c r="AK356" s="58"/>
      <c r="AL356" s="58"/>
      <c r="AM356" s="58"/>
      <c r="AN356" s="58"/>
      <c r="AO356" s="58"/>
      <c r="AP356" s="58"/>
      <c r="AQ356" s="58"/>
      <c r="AR356" s="58"/>
    </row>
    <row r="357" spans="1:44" ht="15.75" customHeight="1" x14ac:dyDescent="0.25">
      <c r="A357" s="63"/>
      <c r="B357" s="62"/>
      <c r="C357" s="62"/>
      <c r="D357" s="62"/>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c r="AJ357" s="58"/>
      <c r="AK357" s="58"/>
      <c r="AL357" s="58"/>
      <c r="AM357" s="58"/>
      <c r="AN357" s="58"/>
      <c r="AO357" s="58"/>
      <c r="AP357" s="58"/>
      <c r="AQ357" s="58"/>
      <c r="AR357" s="58"/>
    </row>
    <row r="358" spans="1:44" ht="15.75" customHeight="1" x14ac:dyDescent="0.25">
      <c r="A358" s="63"/>
      <c r="B358" s="62"/>
      <c r="C358" s="62"/>
      <c r="D358" s="62"/>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c r="AJ358" s="58"/>
      <c r="AK358" s="58"/>
      <c r="AL358" s="58"/>
      <c r="AM358" s="58"/>
      <c r="AN358" s="58"/>
      <c r="AO358" s="58"/>
      <c r="AP358" s="58"/>
      <c r="AQ358" s="58"/>
      <c r="AR358" s="58"/>
    </row>
    <row r="359" spans="1:44" ht="15.75" customHeight="1" x14ac:dyDescent="0.25">
      <c r="A359" s="63"/>
      <c r="B359" s="62"/>
      <c r="C359" s="62"/>
      <c r="D359" s="62"/>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c r="AJ359" s="58"/>
      <c r="AK359" s="58"/>
      <c r="AL359" s="58"/>
      <c r="AM359" s="58"/>
      <c r="AN359" s="58"/>
      <c r="AO359" s="58"/>
      <c r="AP359" s="58"/>
      <c r="AQ359" s="58"/>
      <c r="AR359" s="58"/>
    </row>
    <row r="360" spans="1:44" ht="15.75" customHeight="1" x14ac:dyDescent="0.25">
      <c r="A360" s="63"/>
      <c r="B360" s="62"/>
      <c r="C360" s="62"/>
      <c r="D360" s="62"/>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c r="AI360" s="58"/>
      <c r="AJ360" s="58"/>
      <c r="AK360" s="58"/>
      <c r="AL360" s="58"/>
      <c r="AM360" s="58"/>
      <c r="AN360" s="58"/>
      <c r="AO360" s="58"/>
      <c r="AP360" s="58"/>
      <c r="AQ360" s="58"/>
      <c r="AR360" s="58"/>
    </row>
    <row r="361" spans="1:44" ht="15.75" customHeight="1" x14ac:dyDescent="0.25">
      <c r="A361" s="63"/>
      <c r="B361" s="62"/>
      <c r="C361" s="62"/>
      <c r="D361" s="62"/>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c r="AI361" s="58"/>
      <c r="AJ361" s="58"/>
      <c r="AK361" s="58"/>
      <c r="AL361" s="58"/>
      <c r="AM361" s="58"/>
      <c r="AN361" s="58"/>
      <c r="AO361" s="58"/>
      <c r="AP361" s="58"/>
      <c r="AQ361" s="58"/>
      <c r="AR361" s="58"/>
    </row>
    <row r="362" spans="1:44" ht="15.75" customHeight="1" x14ac:dyDescent="0.25">
      <c r="A362" s="63"/>
      <c r="B362" s="62"/>
      <c r="C362" s="62"/>
      <c r="D362" s="62"/>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c r="AJ362" s="58"/>
      <c r="AK362" s="58"/>
      <c r="AL362" s="58"/>
      <c r="AM362" s="58"/>
      <c r="AN362" s="58"/>
      <c r="AO362" s="58"/>
      <c r="AP362" s="58"/>
      <c r="AQ362" s="58"/>
      <c r="AR362" s="58"/>
    </row>
    <row r="363" spans="1:44" ht="15.75" customHeight="1" x14ac:dyDescent="0.25">
      <c r="A363" s="63"/>
      <c r="B363" s="62"/>
      <c r="C363" s="62"/>
      <c r="D363" s="62"/>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c r="AJ363" s="58"/>
      <c r="AK363" s="58"/>
      <c r="AL363" s="58"/>
      <c r="AM363" s="58"/>
      <c r="AN363" s="58"/>
      <c r="AO363" s="58"/>
      <c r="AP363" s="58"/>
      <c r="AQ363" s="58"/>
      <c r="AR363" s="58"/>
    </row>
    <row r="364" spans="1:44" ht="15.75" customHeight="1" x14ac:dyDescent="0.25">
      <c r="A364" s="63"/>
      <c r="B364" s="62"/>
      <c r="C364" s="62"/>
      <c r="D364" s="62"/>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c r="AG364" s="58"/>
      <c r="AH364" s="58"/>
      <c r="AI364" s="58"/>
      <c r="AJ364" s="58"/>
      <c r="AK364" s="58"/>
      <c r="AL364" s="58"/>
      <c r="AM364" s="58"/>
      <c r="AN364" s="58"/>
      <c r="AO364" s="58"/>
      <c r="AP364" s="58"/>
      <c r="AQ364" s="58"/>
      <c r="AR364" s="58"/>
    </row>
    <row r="365" spans="1:44" ht="15.75" customHeight="1" x14ac:dyDescent="0.25">
      <c r="A365" s="63"/>
      <c r="B365" s="62"/>
      <c r="C365" s="62"/>
      <c r="D365" s="62"/>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8"/>
      <c r="AI365" s="58"/>
      <c r="AJ365" s="58"/>
      <c r="AK365" s="58"/>
      <c r="AL365" s="58"/>
      <c r="AM365" s="58"/>
      <c r="AN365" s="58"/>
      <c r="AO365" s="58"/>
      <c r="AP365" s="58"/>
      <c r="AQ365" s="58"/>
      <c r="AR365" s="58"/>
    </row>
    <row r="366" spans="1:44" ht="15.75" customHeight="1" x14ac:dyDescent="0.25">
      <c r="A366" s="63"/>
      <c r="B366" s="62"/>
      <c r="C366" s="62"/>
      <c r="D366" s="62"/>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c r="AI366" s="58"/>
      <c r="AJ366" s="58"/>
      <c r="AK366" s="58"/>
      <c r="AL366" s="58"/>
      <c r="AM366" s="58"/>
      <c r="AN366" s="58"/>
      <c r="AO366" s="58"/>
      <c r="AP366" s="58"/>
      <c r="AQ366" s="58"/>
      <c r="AR366" s="58"/>
    </row>
    <row r="367" spans="1:44" ht="15.75" customHeight="1" x14ac:dyDescent="0.25">
      <c r="A367" s="63"/>
      <c r="B367" s="62"/>
      <c r="C367" s="62"/>
      <c r="D367" s="62"/>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c r="AP367" s="58"/>
      <c r="AQ367" s="58"/>
      <c r="AR367" s="58"/>
    </row>
    <row r="368" spans="1:44" ht="15.75" customHeight="1" x14ac:dyDescent="0.25">
      <c r="A368" s="63"/>
      <c r="B368" s="62"/>
      <c r="C368" s="62"/>
      <c r="D368" s="62"/>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c r="AJ368" s="58"/>
      <c r="AK368" s="58"/>
      <c r="AL368" s="58"/>
      <c r="AM368" s="58"/>
      <c r="AN368" s="58"/>
      <c r="AO368" s="58"/>
      <c r="AP368" s="58"/>
      <c r="AQ368" s="58"/>
      <c r="AR368" s="58"/>
    </row>
    <row r="369" spans="1:44" ht="15.75" customHeight="1" x14ac:dyDescent="0.25">
      <c r="A369" s="63"/>
      <c r="B369" s="62"/>
      <c r="C369" s="62"/>
      <c r="D369" s="62"/>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8"/>
      <c r="AI369" s="58"/>
      <c r="AJ369" s="58"/>
      <c r="AK369" s="58"/>
      <c r="AL369" s="58"/>
      <c r="AM369" s="58"/>
      <c r="AN369" s="58"/>
      <c r="AO369" s="58"/>
      <c r="AP369" s="58"/>
      <c r="AQ369" s="58"/>
      <c r="AR369" s="58"/>
    </row>
    <row r="370" spans="1:44" ht="15.75" customHeight="1" x14ac:dyDescent="0.25">
      <c r="A370" s="63"/>
      <c r="B370" s="62"/>
      <c r="C370" s="62"/>
      <c r="D370" s="62"/>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c r="AG370" s="58"/>
      <c r="AH370" s="58"/>
      <c r="AI370" s="58"/>
      <c r="AJ370" s="58"/>
      <c r="AK370" s="58"/>
      <c r="AL370" s="58"/>
      <c r="AM370" s="58"/>
      <c r="AN370" s="58"/>
      <c r="AO370" s="58"/>
      <c r="AP370" s="58"/>
      <c r="AQ370" s="58"/>
      <c r="AR370" s="58"/>
    </row>
    <row r="371" spans="1:44" ht="15.75" customHeight="1" x14ac:dyDescent="0.25">
      <c r="A371" s="63"/>
      <c r="B371" s="62"/>
      <c r="C371" s="62"/>
      <c r="D371" s="62"/>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c r="AI371" s="58"/>
      <c r="AJ371" s="58"/>
      <c r="AK371" s="58"/>
      <c r="AL371" s="58"/>
      <c r="AM371" s="58"/>
      <c r="AN371" s="58"/>
      <c r="AO371" s="58"/>
      <c r="AP371" s="58"/>
      <c r="AQ371" s="58"/>
      <c r="AR371" s="58"/>
    </row>
    <row r="372" spans="1:44" ht="15.75" customHeight="1" x14ac:dyDescent="0.25">
      <c r="A372" s="63"/>
      <c r="B372" s="62"/>
      <c r="C372" s="62"/>
      <c r="D372" s="62"/>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c r="AG372" s="58"/>
      <c r="AH372" s="58"/>
      <c r="AI372" s="58"/>
      <c r="AJ372" s="58"/>
      <c r="AK372" s="58"/>
      <c r="AL372" s="58"/>
      <c r="AM372" s="58"/>
      <c r="AN372" s="58"/>
      <c r="AO372" s="58"/>
      <c r="AP372" s="58"/>
      <c r="AQ372" s="58"/>
      <c r="AR372" s="58"/>
    </row>
    <row r="373" spans="1:44" ht="15.75" customHeight="1" x14ac:dyDescent="0.25">
      <c r="A373" s="63"/>
      <c r="B373" s="62"/>
      <c r="C373" s="62"/>
      <c r="D373" s="62"/>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c r="AG373" s="58"/>
      <c r="AH373" s="58"/>
      <c r="AI373" s="58"/>
      <c r="AJ373" s="58"/>
      <c r="AK373" s="58"/>
      <c r="AL373" s="58"/>
      <c r="AM373" s="58"/>
      <c r="AN373" s="58"/>
      <c r="AO373" s="58"/>
      <c r="AP373" s="58"/>
      <c r="AQ373" s="58"/>
      <c r="AR373" s="58"/>
    </row>
    <row r="374" spans="1:44" ht="15.75" customHeight="1" x14ac:dyDescent="0.25">
      <c r="A374" s="63"/>
      <c r="B374" s="62"/>
      <c r="C374" s="62"/>
      <c r="D374" s="62"/>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58"/>
      <c r="AK374" s="58"/>
      <c r="AL374" s="58"/>
      <c r="AM374" s="58"/>
      <c r="AN374" s="58"/>
      <c r="AO374" s="58"/>
      <c r="AP374" s="58"/>
      <c r="AQ374" s="58"/>
      <c r="AR374" s="58"/>
    </row>
    <row r="375" spans="1:44" ht="15.75" customHeight="1" x14ac:dyDescent="0.25">
      <c r="A375" s="63"/>
      <c r="B375" s="62"/>
      <c r="C375" s="62"/>
      <c r="D375" s="62"/>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c r="AP375" s="58"/>
      <c r="AQ375" s="58"/>
      <c r="AR375" s="58"/>
    </row>
    <row r="376" spans="1:44" ht="15.75" customHeight="1" x14ac:dyDescent="0.25">
      <c r="A376" s="63"/>
      <c r="B376" s="62"/>
      <c r="C376" s="62"/>
      <c r="D376" s="62"/>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c r="AI376" s="58"/>
      <c r="AJ376" s="58"/>
      <c r="AK376" s="58"/>
      <c r="AL376" s="58"/>
      <c r="AM376" s="58"/>
      <c r="AN376" s="58"/>
      <c r="AO376" s="58"/>
      <c r="AP376" s="58"/>
      <c r="AQ376" s="58"/>
      <c r="AR376" s="58"/>
    </row>
    <row r="377" spans="1:44" ht="15.75" customHeight="1" x14ac:dyDescent="0.25">
      <c r="A377" s="63"/>
      <c r="B377" s="62"/>
      <c r="C377" s="62"/>
      <c r="D377" s="62"/>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58"/>
      <c r="AK377" s="58"/>
      <c r="AL377" s="58"/>
      <c r="AM377" s="58"/>
      <c r="AN377" s="58"/>
      <c r="AO377" s="58"/>
      <c r="AP377" s="58"/>
      <c r="AQ377" s="58"/>
      <c r="AR377" s="58"/>
    </row>
    <row r="378" spans="1:44" ht="15.75" customHeight="1" x14ac:dyDescent="0.25">
      <c r="A378" s="63"/>
      <c r="B378" s="62"/>
      <c r="C378" s="62"/>
      <c r="D378" s="62"/>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c r="AP378" s="58"/>
      <c r="AQ378" s="58"/>
      <c r="AR378" s="58"/>
    </row>
    <row r="379" spans="1:44" ht="15.75" customHeight="1" x14ac:dyDescent="0.25">
      <c r="A379" s="63"/>
      <c r="B379" s="62"/>
      <c r="C379" s="62"/>
      <c r="D379" s="62"/>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c r="AP379" s="58"/>
      <c r="AQ379" s="58"/>
      <c r="AR379" s="58"/>
    </row>
    <row r="380" spans="1:44" ht="15.75" customHeight="1" x14ac:dyDescent="0.25">
      <c r="A380" s="63"/>
      <c r="B380" s="62"/>
      <c r="C380" s="62"/>
      <c r="D380" s="62"/>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c r="AP380" s="58"/>
      <c r="AQ380" s="58"/>
      <c r="AR380" s="58"/>
    </row>
    <row r="381" spans="1:44" ht="15.75" customHeight="1" x14ac:dyDescent="0.25">
      <c r="A381" s="63"/>
      <c r="B381" s="62"/>
      <c r="C381" s="62"/>
      <c r="D381" s="62"/>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c r="AP381" s="58"/>
      <c r="AQ381" s="58"/>
      <c r="AR381" s="58"/>
    </row>
    <row r="382" spans="1:44" ht="15.75" customHeight="1" x14ac:dyDescent="0.25">
      <c r="A382" s="63"/>
      <c r="B382" s="62"/>
      <c r="C382" s="62"/>
      <c r="D382" s="62"/>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c r="AO382" s="58"/>
      <c r="AP382" s="58"/>
      <c r="AQ382" s="58"/>
      <c r="AR382" s="58"/>
    </row>
    <row r="383" spans="1:44" ht="15.75" customHeight="1" x14ac:dyDescent="0.25">
      <c r="A383" s="63"/>
      <c r="B383" s="62"/>
      <c r="C383" s="62"/>
      <c r="D383" s="62"/>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58"/>
      <c r="AK383" s="58"/>
      <c r="AL383" s="58"/>
      <c r="AM383" s="58"/>
      <c r="AN383" s="58"/>
      <c r="AO383" s="58"/>
      <c r="AP383" s="58"/>
      <c r="AQ383" s="58"/>
      <c r="AR383" s="58"/>
    </row>
    <row r="384" spans="1:44" ht="15.75" customHeight="1" x14ac:dyDescent="0.25">
      <c r="A384" s="63"/>
      <c r="B384" s="62"/>
      <c r="C384" s="62"/>
      <c r="D384" s="62"/>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c r="AG384" s="58"/>
      <c r="AH384" s="58"/>
      <c r="AI384" s="58"/>
      <c r="AJ384" s="58"/>
      <c r="AK384" s="58"/>
      <c r="AL384" s="58"/>
      <c r="AM384" s="58"/>
      <c r="AN384" s="58"/>
      <c r="AO384" s="58"/>
      <c r="AP384" s="58"/>
      <c r="AQ384" s="58"/>
      <c r="AR384" s="58"/>
    </row>
    <row r="385" spans="1:44" ht="15.75" customHeight="1" x14ac:dyDescent="0.25">
      <c r="A385" s="63"/>
      <c r="B385" s="62"/>
      <c r="C385" s="62"/>
      <c r="D385" s="62"/>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c r="AG385" s="58"/>
      <c r="AH385" s="58"/>
      <c r="AI385" s="58"/>
      <c r="AJ385" s="58"/>
      <c r="AK385" s="58"/>
      <c r="AL385" s="58"/>
      <c r="AM385" s="58"/>
      <c r="AN385" s="58"/>
      <c r="AO385" s="58"/>
      <c r="AP385" s="58"/>
      <c r="AQ385" s="58"/>
      <c r="AR385" s="58"/>
    </row>
    <row r="386" spans="1:44" ht="15.75" customHeight="1" x14ac:dyDescent="0.25">
      <c r="A386" s="63"/>
      <c r="B386" s="62"/>
      <c r="C386" s="62"/>
      <c r="D386" s="62"/>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c r="AI386" s="58"/>
      <c r="AJ386" s="58"/>
      <c r="AK386" s="58"/>
      <c r="AL386" s="58"/>
      <c r="AM386" s="58"/>
      <c r="AN386" s="58"/>
      <c r="AO386" s="58"/>
      <c r="AP386" s="58"/>
      <c r="AQ386" s="58"/>
      <c r="AR386" s="58"/>
    </row>
    <row r="387" spans="1:44" ht="15.75" customHeight="1" x14ac:dyDescent="0.25">
      <c r="A387" s="63"/>
      <c r="B387" s="62"/>
      <c r="C387" s="62"/>
      <c r="D387" s="62"/>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c r="AG387" s="58"/>
      <c r="AH387" s="58"/>
      <c r="AI387" s="58"/>
      <c r="AJ387" s="58"/>
      <c r="AK387" s="58"/>
      <c r="AL387" s="58"/>
      <c r="AM387" s="58"/>
      <c r="AN387" s="58"/>
      <c r="AO387" s="58"/>
      <c r="AP387" s="58"/>
      <c r="AQ387" s="58"/>
      <c r="AR387" s="58"/>
    </row>
    <row r="388" spans="1:44" ht="15.75" customHeight="1" x14ac:dyDescent="0.25">
      <c r="A388" s="63"/>
      <c r="B388" s="62"/>
      <c r="C388" s="62"/>
      <c r="D388" s="62"/>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c r="AG388" s="58"/>
      <c r="AH388" s="58"/>
      <c r="AI388" s="58"/>
      <c r="AJ388" s="58"/>
      <c r="AK388" s="58"/>
      <c r="AL388" s="58"/>
      <c r="AM388" s="58"/>
      <c r="AN388" s="58"/>
      <c r="AO388" s="58"/>
      <c r="AP388" s="58"/>
      <c r="AQ388" s="58"/>
      <c r="AR388" s="58"/>
    </row>
    <row r="389" spans="1:44" ht="15.75" customHeight="1" x14ac:dyDescent="0.25">
      <c r="A389" s="63"/>
      <c r="B389" s="62"/>
      <c r="C389" s="62"/>
      <c r="D389" s="62"/>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c r="AI389" s="58"/>
      <c r="AJ389" s="58"/>
      <c r="AK389" s="58"/>
      <c r="AL389" s="58"/>
      <c r="AM389" s="58"/>
      <c r="AN389" s="58"/>
      <c r="AO389" s="58"/>
      <c r="AP389" s="58"/>
      <c r="AQ389" s="58"/>
      <c r="AR389" s="58"/>
    </row>
    <row r="390" spans="1:44" ht="15.75" customHeight="1" x14ac:dyDescent="0.25">
      <c r="A390" s="63"/>
      <c r="B390" s="62"/>
      <c r="C390" s="62"/>
      <c r="D390" s="62"/>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c r="AG390" s="58"/>
      <c r="AH390" s="58"/>
      <c r="AI390" s="58"/>
      <c r="AJ390" s="58"/>
      <c r="AK390" s="58"/>
      <c r="AL390" s="58"/>
      <c r="AM390" s="58"/>
      <c r="AN390" s="58"/>
      <c r="AO390" s="58"/>
      <c r="AP390" s="58"/>
      <c r="AQ390" s="58"/>
      <c r="AR390" s="58"/>
    </row>
    <row r="391" spans="1:44" ht="15.75" customHeight="1" x14ac:dyDescent="0.25">
      <c r="A391" s="63"/>
      <c r="B391" s="62"/>
      <c r="C391" s="62"/>
      <c r="D391" s="62"/>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c r="AG391" s="58"/>
      <c r="AH391" s="58"/>
      <c r="AI391" s="58"/>
      <c r="AJ391" s="58"/>
      <c r="AK391" s="58"/>
      <c r="AL391" s="58"/>
      <c r="AM391" s="58"/>
      <c r="AN391" s="58"/>
      <c r="AO391" s="58"/>
      <c r="AP391" s="58"/>
      <c r="AQ391" s="58"/>
      <c r="AR391" s="58"/>
    </row>
    <row r="392" spans="1:44" ht="15.75" customHeight="1" x14ac:dyDescent="0.25">
      <c r="A392" s="63"/>
      <c r="B392" s="62"/>
      <c r="C392" s="62"/>
      <c r="D392" s="62"/>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c r="AR392" s="58"/>
    </row>
    <row r="393" spans="1:44" ht="15.75" customHeight="1" x14ac:dyDescent="0.25">
      <c r="A393" s="63"/>
      <c r="B393" s="62"/>
      <c r="C393" s="62"/>
      <c r="D393" s="62"/>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c r="AR393" s="58"/>
    </row>
    <row r="394" spans="1:44" ht="15.75" customHeight="1" x14ac:dyDescent="0.25">
      <c r="A394" s="63"/>
      <c r="B394" s="62"/>
      <c r="C394" s="62"/>
      <c r="D394" s="62"/>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row>
    <row r="395" spans="1:44" ht="15.75" customHeight="1" x14ac:dyDescent="0.25">
      <c r="A395" s="63"/>
      <c r="B395" s="62"/>
      <c r="C395" s="62"/>
      <c r="D395" s="62"/>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row>
    <row r="396" spans="1:44" ht="15.75" customHeight="1" x14ac:dyDescent="0.25">
      <c r="A396" s="63"/>
      <c r="B396" s="62"/>
      <c r="C396" s="62"/>
      <c r="D396" s="62"/>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row>
    <row r="397" spans="1:44" ht="15.75" customHeight="1" x14ac:dyDescent="0.25">
      <c r="A397" s="63"/>
      <c r="B397" s="62"/>
      <c r="C397" s="62"/>
      <c r="D397" s="62"/>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row>
    <row r="398" spans="1:44" ht="15.75" customHeight="1" x14ac:dyDescent="0.25">
      <c r="A398" s="63"/>
      <c r="B398" s="62"/>
      <c r="C398" s="62"/>
      <c r="D398" s="62"/>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row>
    <row r="399" spans="1:44" ht="15.75" customHeight="1" x14ac:dyDescent="0.25">
      <c r="A399" s="63"/>
      <c r="B399" s="62"/>
      <c r="C399" s="62"/>
      <c r="D399" s="62"/>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row>
    <row r="400" spans="1:44" ht="15.75" customHeight="1" x14ac:dyDescent="0.25">
      <c r="A400" s="63"/>
      <c r="B400" s="62"/>
      <c r="C400" s="62"/>
      <c r="D400" s="62"/>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row>
    <row r="401" spans="1:44" ht="15.75" customHeight="1" x14ac:dyDescent="0.25">
      <c r="A401" s="63"/>
      <c r="B401" s="62"/>
      <c r="C401" s="62"/>
      <c r="D401" s="62"/>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row>
    <row r="402" spans="1:44" ht="15.75" customHeight="1" x14ac:dyDescent="0.25">
      <c r="A402" s="63"/>
      <c r="B402" s="62"/>
      <c r="C402" s="62"/>
      <c r="D402" s="62"/>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row>
    <row r="403" spans="1:44" ht="15.75" customHeight="1" x14ac:dyDescent="0.25">
      <c r="A403" s="63"/>
      <c r="B403" s="62"/>
      <c r="C403" s="62"/>
      <c r="D403" s="62"/>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row>
    <row r="404" spans="1:44" ht="15.75" customHeight="1" x14ac:dyDescent="0.25">
      <c r="A404" s="63"/>
      <c r="B404" s="62"/>
      <c r="C404" s="62"/>
      <c r="D404" s="62"/>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row>
    <row r="405" spans="1:44" ht="15.75" customHeight="1" x14ac:dyDescent="0.25">
      <c r="A405" s="63"/>
      <c r="B405" s="62"/>
      <c r="C405" s="62"/>
      <c r="D405" s="62"/>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row>
    <row r="406" spans="1:44" ht="15.75" customHeight="1" x14ac:dyDescent="0.25">
      <c r="A406" s="63"/>
      <c r="B406" s="62"/>
      <c r="C406" s="62"/>
      <c r="D406" s="62"/>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c r="AG406" s="58"/>
      <c r="AH406" s="58"/>
      <c r="AI406" s="58"/>
      <c r="AJ406" s="58"/>
      <c r="AK406" s="58"/>
      <c r="AL406" s="58"/>
      <c r="AM406" s="58"/>
      <c r="AN406" s="58"/>
      <c r="AO406" s="58"/>
      <c r="AP406" s="58"/>
      <c r="AQ406" s="58"/>
      <c r="AR406" s="58"/>
    </row>
    <row r="407" spans="1:44" ht="15.75" customHeight="1" x14ac:dyDescent="0.25">
      <c r="A407" s="63"/>
      <c r="B407" s="62"/>
      <c r="C407" s="62"/>
      <c r="D407" s="62"/>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8"/>
      <c r="AI407" s="58"/>
      <c r="AJ407" s="58"/>
      <c r="AK407" s="58"/>
      <c r="AL407" s="58"/>
      <c r="AM407" s="58"/>
      <c r="AN407" s="58"/>
      <c r="AO407" s="58"/>
      <c r="AP407" s="58"/>
      <c r="AQ407" s="58"/>
      <c r="AR407" s="58"/>
    </row>
    <row r="408" spans="1:44" ht="15.75" customHeight="1" x14ac:dyDescent="0.25">
      <c r="A408" s="63"/>
      <c r="B408" s="62"/>
      <c r="C408" s="62"/>
      <c r="D408" s="62"/>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c r="AE408" s="58"/>
      <c r="AF408" s="58"/>
      <c r="AG408" s="58"/>
      <c r="AH408" s="58"/>
      <c r="AI408" s="58"/>
      <c r="AJ408" s="58"/>
      <c r="AK408" s="58"/>
      <c r="AL408" s="58"/>
      <c r="AM408" s="58"/>
      <c r="AN408" s="58"/>
      <c r="AO408" s="58"/>
      <c r="AP408" s="58"/>
      <c r="AQ408" s="58"/>
      <c r="AR408" s="58"/>
    </row>
    <row r="409" spans="1:44" ht="15.75" customHeight="1" x14ac:dyDescent="0.25">
      <c r="A409" s="63"/>
      <c r="B409" s="62"/>
      <c r="C409" s="62"/>
      <c r="D409" s="62"/>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c r="AE409" s="58"/>
      <c r="AF409" s="58"/>
      <c r="AG409" s="58"/>
      <c r="AH409" s="58"/>
      <c r="AI409" s="58"/>
      <c r="AJ409" s="58"/>
      <c r="AK409" s="58"/>
      <c r="AL409" s="58"/>
      <c r="AM409" s="58"/>
      <c r="AN409" s="58"/>
      <c r="AO409" s="58"/>
      <c r="AP409" s="58"/>
      <c r="AQ409" s="58"/>
      <c r="AR409" s="58"/>
    </row>
    <row r="410" spans="1:44" ht="15.75" customHeight="1" x14ac:dyDescent="0.25">
      <c r="A410" s="63"/>
      <c r="B410" s="62"/>
      <c r="C410" s="62"/>
      <c r="D410" s="62"/>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8"/>
      <c r="AI410" s="58"/>
      <c r="AJ410" s="58"/>
      <c r="AK410" s="58"/>
      <c r="AL410" s="58"/>
      <c r="AM410" s="58"/>
      <c r="AN410" s="58"/>
      <c r="AO410" s="58"/>
      <c r="AP410" s="58"/>
      <c r="AQ410" s="58"/>
      <c r="AR410" s="58"/>
    </row>
    <row r="411" spans="1:44" ht="15.75" customHeight="1" x14ac:dyDescent="0.25">
      <c r="A411" s="63"/>
      <c r="B411" s="62"/>
      <c r="C411" s="62"/>
      <c r="D411" s="62"/>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c r="AG411" s="58"/>
      <c r="AH411" s="58"/>
      <c r="AI411" s="58"/>
      <c r="AJ411" s="58"/>
      <c r="AK411" s="58"/>
      <c r="AL411" s="58"/>
      <c r="AM411" s="58"/>
      <c r="AN411" s="58"/>
      <c r="AO411" s="58"/>
      <c r="AP411" s="58"/>
      <c r="AQ411" s="58"/>
      <c r="AR411" s="58"/>
    </row>
    <row r="412" spans="1:44" ht="15.75" customHeight="1" x14ac:dyDescent="0.25">
      <c r="A412" s="63"/>
      <c r="B412" s="62"/>
      <c r="C412" s="62"/>
      <c r="D412" s="62"/>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c r="AG412" s="58"/>
      <c r="AH412" s="58"/>
      <c r="AI412" s="58"/>
      <c r="AJ412" s="58"/>
      <c r="AK412" s="58"/>
      <c r="AL412" s="58"/>
      <c r="AM412" s="58"/>
      <c r="AN412" s="58"/>
      <c r="AO412" s="58"/>
      <c r="AP412" s="58"/>
      <c r="AQ412" s="58"/>
      <c r="AR412" s="58"/>
    </row>
    <row r="413" spans="1:44" ht="15.75" customHeight="1" x14ac:dyDescent="0.25">
      <c r="A413" s="63"/>
      <c r="B413" s="62"/>
      <c r="C413" s="62"/>
      <c r="D413" s="62"/>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8"/>
      <c r="AI413" s="58"/>
      <c r="AJ413" s="58"/>
      <c r="AK413" s="58"/>
      <c r="AL413" s="58"/>
      <c r="AM413" s="58"/>
      <c r="AN413" s="58"/>
      <c r="AO413" s="58"/>
      <c r="AP413" s="58"/>
      <c r="AQ413" s="58"/>
      <c r="AR413" s="58"/>
    </row>
    <row r="414" spans="1:44" ht="15.75" customHeight="1" x14ac:dyDescent="0.25">
      <c r="A414" s="63"/>
      <c r="B414" s="62"/>
      <c r="C414" s="62"/>
      <c r="D414" s="62"/>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c r="AE414" s="58"/>
      <c r="AF414" s="58"/>
      <c r="AG414" s="58"/>
      <c r="AH414" s="58"/>
      <c r="AI414" s="58"/>
      <c r="AJ414" s="58"/>
      <c r="AK414" s="58"/>
      <c r="AL414" s="58"/>
      <c r="AM414" s="58"/>
      <c r="AN414" s="58"/>
      <c r="AO414" s="58"/>
      <c r="AP414" s="58"/>
      <c r="AQ414" s="58"/>
      <c r="AR414" s="58"/>
    </row>
    <row r="415" spans="1:44" ht="15.75" customHeight="1" x14ac:dyDescent="0.25">
      <c r="A415" s="63"/>
      <c r="B415" s="62"/>
      <c r="C415" s="62"/>
      <c r="D415" s="62"/>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c r="AG415" s="58"/>
      <c r="AH415" s="58"/>
      <c r="AI415" s="58"/>
      <c r="AJ415" s="58"/>
      <c r="AK415" s="58"/>
      <c r="AL415" s="58"/>
      <c r="AM415" s="58"/>
      <c r="AN415" s="58"/>
      <c r="AO415" s="58"/>
      <c r="AP415" s="58"/>
      <c r="AQ415" s="58"/>
      <c r="AR415" s="58"/>
    </row>
    <row r="416" spans="1:44" ht="15.75" customHeight="1" x14ac:dyDescent="0.25">
      <c r="A416" s="63"/>
      <c r="B416" s="62"/>
      <c r="C416" s="62"/>
      <c r="D416" s="62"/>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8"/>
      <c r="AI416" s="58"/>
      <c r="AJ416" s="58"/>
      <c r="AK416" s="58"/>
      <c r="AL416" s="58"/>
      <c r="AM416" s="58"/>
      <c r="AN416" s="58"/>
      <c r="AO416" s="58"/>
      <c r="AP416" s="58"/>
      <c r="AQ416" s="58"/>
      <c r="AR416" s="58"/>
    </row>
    <row r="417" spans="1:44" ht="15.75" customHeight="1" x14ac:dyDescent="0.25">
      <c r="A417" s="63"/>
      <c r="B417" s="62"/>
      <c r="C417" s="62"/>
      <c r="D417" s="62"/>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c r="AG417" s="58"/>
      <c r="AH417" s="58"/>
      <c r="AI417" s="58"/>
      <c r="AJ417" s="58"/>
      <c r="AK417" s="58"/>
      <c r="AL417" s="58"/>
      <c r="AM417" s="58"/>
      <c r="AN417" s="58"/>
      <c r="AO417" s="58"/>
      <c r="AP417" s="58"/>
      <c r="AQ417" s="58"/>
      <c r="AR417" s="58"/>
    </row>
    <row r="418" spans="1:44" ht="15.75" customHeight="1" x14ac:dyDescent="0.25">
      <c r="A418" s="63"/>
      <c r="B418" s="62"/>
      <c r="C418" s="62"/>
      <c r="D418" s="62"/>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c r="AG418" s="58"/>
      <c r="AH418" s="58"/>
      <c r="AI418" s="58"/>
      <c r="AJ418" s="58"/>
      <c r="AK418" s="58"/>
      <c r="AL418" s="58"/>
      <c r="AM418" s="58"/>
      <c r="AN418" s="58"/>
      <c r="AO418" s="58"/>
      <c r="AP418" s="58"/>
      <c r="AQ418" s="58"/>
      <c r="AR418" s="58"/>
    </row>
    <row r="419" spans="1:44" ht="15.75" customHeight="1" x14ac:dyDescent="0.25">
      <c r="A419" s="63"/>
      <c r="B419" s="62"/>
      <c r="C419" s="62"/>
      <c r="D419" s="62"/>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8"/>
      <c r="AI419" s="58"/>
      <c r="AJ419" s="58"/>
      <c r="AK419" s="58"/>
      <c r="AL419" s="58"/>
      <c r="AM419" s="58"/>
      <c r="AN419" s="58"/>
      <c r="AO419" s="58"/>
      <c r="AP419" s="58"/>
      <c r="AQ419" s="58"/>
      <c r="AR419" s="58"/>
    </row>
    <row r="420" spans="1:44" ht="15.75" customHeight="1" x14ac:dyDescent="0.25">
      <c r="A420" s="63"/>
      <c r="B420" s="62"/>
      <c r="C420" s="62"/>
      <c r="D420" s="62"/>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c r="AG420" s="58"/>
      <c r="AH420" s="58"/>
      <c r="AI420" s="58"/>
      <c r="AJ420" s="58"/>
      <c r="AK420" s="58"/>
      <c r="AL420" s="58"/>
      <c r="AM420" s="58"/>
      <c r="AN420" s="58"/>
      <c r="AO420" s="58"/>
      <c r="AP420" s="58"/>
      <c r="AQ420" s="58"/>
      <c r="AR420" s="58"/>
    </row>
    <row r="421" spans="1:44" ht="15.75" customHeight="1" x14ac:dyDescent="0.25">
      <c r="A421" s="63"/>
      <c r="B421" s="62"/>
      <c r="C421" s="62"/>
      <c r="D421" s="62"/>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c r="AE421" s="58"/>
      <c r="AF421" s="58"/>
      <c r="AG421" s="58"/>
      <c r="AH421" s="58"/>
      <c r="AI421" s="58"/>
      <c r="AJ421" s="58"/>
      <c r="AK421" s="58"/>
      <c r="AL421" s="58"/>
      <c r="AM421" s="58"/>
      <c r="AN421" s="58"/>
      <c r="AO421" s="58"/>
      <c r="AP421" s="58"/>
      <c r="AQ421" s="58"/>
      <c r="AR421" s="58"/>
    </row>
    <row r="422" spans="1:44" ht="15.75" customHeight="1" x14ac:dyDescent="0.25">
      <c r="A422" s="63"/>
      <c r="B422" s="62"/>
      <c r="C422" s="62"/>
      <c r="D422" s="62"/>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8"/>
      <c r="AI422" s="58"/>
      <c r="AJ422" s="58"/>
      <c r="AK422" s="58"/>
      <c r="AL422" s="58"/>
      <c r="AM422" s="58"/>
      <c r="AN422" s="58"/>
      <c r="AO422" s="58"/>
      <c r="AP422" s="58"/>
      <c r="AQ422" s="58"/>
      <c r="AR422" s="58"/>
    </row>
    <row r="423" spans="1:44" ht="15.75" customHeight="1" x14ac:dyDescent="0.25">
      <c r="A423" s="63"/>
      <c r="B423" s="62"/>
      <c r="C423" s="62"/>
      <c r="D423" s="62"/>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c r="AG423" s="58"/>
      <c r="AH423" s="58"/>
      <c r="AI423" s="58"/>
      <c r="AJ423" s="58"/>
      <c r="AK423" s="58"/>
      <c r="AL423" s="58"/>
      <c r="AM423" s="58"/>
      <c r="AN423" s="58"/>
      <c r="AO423" s="58"/>
      <c r="AP423" s="58"/>
      <c r="AQ423" s="58"/>
      <c r="AR423" s="58"/>
    </row>
    <row r="424" spans="1:44" ht="15.75" customHeight="1" x14ac:dyDescent="0.25">
      <c r="A424" s="63"/>
      <c r="B424" s="62"/>
      <c r="C424" s="62"/>
      <c r="D424" s="62"/>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c r="AG424" s="58"/>
      <c r="AH424" s="58"/>
      <c r="AI424" s="58"/>
      <c r="AJ424" s="58"/>
      <c r="AK424" s="58"/>
      <c r="AL424" s="58"/>
      <c r="AM424" s="58"/>
      <c r="AN424" s="58"/>
      <c r="AO424" s="58"/>
      <c r="AP424" s="58"/>
      <c r="AQ424" s="58"/>
      <c r="AR424" s="58"/>
    </row>
    <row r="425" spans="1:44" ht="15.75" customHeight="1" x14ac:dyDescent="0.25">
      <c r="A425" s="63"/>
      <c r="B425" s="62"/>
      <c r="C425" s="62"/>
      <c r="D425" s="62"/>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8"/>
      <c r="AI425" s="58"/>
      <c r="AJ425" s="58"/>
      <c r="AK425" s="58"/>
      <c r="AL425" s="58"/>
      <c r="AM425" s="58"/>
      <c r="AN425" s="58"/>
      <c r="AO425" s="58"/>
      <c r="AP425" s="58"/>
      <c r="AQ425" s="58"/>
      <c r="AR425" s="58"/>
    </row>
    <row r="426" spans="1:44" ht="15.75" customHeight="1" x14ac:dyDescent="0.25">
      <c r="A426" s="63"/>
      <c r="B426" s="62"/>
      <c r="C426" s="62"/>
      <c r="D426" s="62"/>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c r="AG426" s="58"/>
      <c r="AH426" s="58"/>
      <c r="AI426" s="58"/>
      <c r="AJ426" s="58"/>
      <c r="AK426" s="58"/>
      <c r="AL426" s="58"/>
      <c r="AM426" s="58"/>
      <c r="AN426" s="58"/>
      <c r="AO426" s="58"/>
      <c r="AP426" s="58"/>
      <c r="AQ426" s="58"/>
      <c r="AR426" s="58"/>
    </row>
    <row r="427" spans="1:44" ht="15.75" customHeight="1" x14ac:dyDescent="0.25">
      <c r="A427" s="63"/>
      <c r="B427" s="62"/>
      <c r="C427" s="62"/>
      <c r="D427" s="62"/>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c r="AG427" s="58"/>
      <c r="AH427" s="58"/>
      <c r="AI427" s="58"/>
      <c r="AJ427" s="58"/>
      <c r="AK427" s="58"/>
      <c r="AL427" s="58"/>
      <c r="AM427" s="58"/>
      <c r="AN427" s="58"/>
      <c r="AO427" s="58"/>
      <c r="AP427" s="58"/>
      <c r="AQ427" s="58"/>
      <c r="AR427" s="58"/>
    </row>
    <row r="428" spans="1:44" ht="15.75" customHeight="1" x14ac:dyDescent="0.25">
      <c r="A428" s="63"/>
      <c r="B428" s="62"/>
      <c r="C428" s="62"/>
      <c r="D428" s="62"/>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8"/>
      <c r="AI428" s="58"/>
      <c r="AJ428" s="58"/>
      <c r="AK428" s="58"/>
      <c r="AL428" s="58"/>
      <c r="AM428" s="58"/>
      <c r="AN428" s="58"/>
      <c r="AO428" s="58"/>
      <c r="AP428" s="58"/>
      <c r="AQ428" s="58"/>
      <c r="AR428" s="58"/>
    </row>
    <row r="429" spans="1:44" ht="15.75" customHeight="1" x14ac:dyDescent="0.25">
      <c r="A429" s="63"/>
      <c r="B429" s="62"/>
      <c r="C429" s="62"/>
      <c r="D429" s="62"/>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c r="AG429" s="58"/>
      <c r="AH429" s="58"/>
      <c r="AI429" s="58"/>
      <c r="AJ429" s="58"/>
      <c r="AK429" s="58"/>
      <c r="AL429" s="58"/>
      <c r="AM429" s="58"/>
      <c r="AN429" s="58"/>
      <c r="AO429" s="58"/>
      <c r="AP429" s="58"/>
      <c r="AQ429" s="58"/>
      <c r="AR429" s="58"/>
    </row>
    <row r="430" spans="1:44" ht="15.75" customHeight="1" x14ac:dyDescent="0.25">
      <c r="A430" s="63"/>
      <c r="B430" s="62"/>
      <c r="C430" s="62"/>
      <c r="D430" s="62"/>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c r="AE430" s="58"/>
      <c r="AF430" s="58"/>
      <c r="AG430" s="58"/>
      <c r="AH430" s="58"/>
      <c r="AI430" s="58"/>
      <c r="AJ430" s="58"/>
      <c r="AK430" s="58"/>
      <c r="AL430" s="58"/>
      <c r="AM430" s="58"/>
      <c r="AN430" s="58"/>
      <c r="AO430" s="58"/>
      <c r="AP430" s="58"/>
      <c r="AQ430" s="58"/>
      <c r="AR430" s="58"/>
    </row>
    <row r="431" spans="1:44" ht="15.75" customHeight="1" x14ac:dyDescent="0.25">
      <c r="A431" s="63"/>
      <c r="B431" s="62"/>
      <c r="C431" s="62"/>
      <c r="D431" s="62"/>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8"/>
      <c r="AI431" s="58"/>
      <c r="AJ431" s="58"/>
      <c r="AK431" s="58"/>
      <c r="AL431" s="58"/>
      <c r="AM431" s="58"/>
      <c r="AN431" s="58"/>
      <c r="AO431" s="58"/>
      <c r="AP431" s="58"/>
      <c r="AQ431" s="58"/>
      <c r="AR431" s="58"/>
    </row>
    <row r="432" spans="1:44" ht="15.75" customHeight="1" x14ac:dyDescent="0.25">
      <c r="A432" s="63"/>
      <c r="B432" s="62"/>
      <c r="C432" s="62"/>
      <c r="D432" s="62"/>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c r="AE432" s="58"/>
      <c r="AF432" s="58"/>
      <c r="AG432" s="58"/>
      <c r="AH432" s="58"/>
      <c r="AI432" s="58"/>
      <c r="AJ432" s="58"/>
      <c r="AK432" s="58"/>
      <c r="AL432" s="58"/>
      <c r="AM432" s="58"/>
      <c r="AN432" s="58"/>
      <c r="AO432" s="58"/>
      <c r="AP432" s="58"/>
      <c r="AQ432" s="58"/>
      <c r="AR432" s="58"/>
    </row>
    <row r="433" spans="1:44" ht="15.75" customHeight="1" x14ac:dyDescent="0.25">
      <c r="A433" s="63"/>
      <c r="B433" s="62"/>
      <c r="C433" s="62"/>
      <c r="D433" s="62"/>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8"/>
      <c r="AI433" s="58"/>
      <c r="AJ433" s="58"/>
      <c r="AK433" s="58"/>
      <c r="AL433" s="58"/>
      <c r="AM433" s="58"/>
      <c r="AN433" s="58"/>
      <c r="AO433" s="58"/>
      <c r="AP433" s="58"/>
      <c r="AQ433" s="58"/>
      <c r="AR433" s="58"/>
    </row>
    <row r="434" spans="1:44" ht="15.75" customHeight="1" x14ac:dyDescent="0.25">
      <c r="A434" s="63"/>
      <c r="B434" s="62"/>
      <c r="C434" s="62"/>
      <c r="D434" s="62"/>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58"/>
      <c r="AK434" s="58"/>
      <c r="AL434" s="58"/>
      <c r="AM434" s="58"/>
      <c r="AN434" s="58"/>
      <c r="AO434" s="58"/>
      <c r="AP434" s="58"/>
      <c r="AQ434" s="58"/>
      <c r="AR434" s="58"/>
    </row>
    <row r="435" spans="1:44" ht="15.75" customHeight="1" x14ac:dyDescent="0.25">
      <c r="A435" s="63"/>
      <c r="B435" s="62"/>
      <c r="C435" s="62"/>
      <c r="D435" s="62"/>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8"/>
      <c r="AI435" s="58"/>
      <c r="AJ435" s="58"/>
      <c r="AK435" s="58"/>
      <c r="AL435" s="58"/>
      <c r="AM435" s="58"/>
      <c r="AN435" s="58"/>
      <c r="AO435" s="58"/>
      <c r="AP435" s="58"/>
      <c r="AQ435" s="58"/>
      <c r="AR435" s="58"/>
    </row>
    <row r="436" spans="1:44" ht="15.75" customHeight="1" x14ac:dyDescent="0.25">
      <c r="A436" s="63"/>
      <c r="B436" s="62"/>
      <c r="C436" s="62"/>
      <c r="D436" s="62"/>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8"/>
      <c r="AI436" s="58"/>
      <c r="AJ436" s="58"/>
      <c r="AK436" s="58"/>
      <c r="AL436" s="58"/>
      <c r="AM436" s="58"/>
      <c r="AN436" s="58"/>
      <c r="AO436" s="58"/>
      <c r="AP436" s="58"/>
      <c r="AQ436" s="58"/>
      <c r="AR436" s="58"/>
    </row>
    <row r="437" spans="1:44" ht="15.75" customHeight="1" x14ac:dyDescent="0.25">
      <c r="A437" s="63"/>
      <c r="B437" s="62"/>
      <c r="C437" s="62"/>
      <c r="D437" s="62"/>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58"/>
      <c r="AK437" s="58"/>
      <c r="AL437" s="58"/>
      <c r="AM437" s="58"/>
      <c r="AN437" s="58"/>
      <c r="AO437" s="58"/>
      <c r="AP437" s="58"/>
      <c r="AQ437" s="58"/>
      <c r="AR437" s="58"/>
    </row>
    <row r="438" spans="1:44" ht="15.75" customHeight="1" x14ac:dyDescent="0.25">
      <c r="A438" s="63"/>
      <c r="B438" s="62"/>
      <c r="C438" s="62"/>
      <c r="D438" s="62"/>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c r="AI438" s="58"/>
      <c r="AJ438" s="58"/>
      <c r="AK438" s="58"/>
      <c r="AL438" s="58"/>
      <c r="AM438" s="58"/>
      <c r="AN438" s="58"/>
      <c r="AO438" s="58"/>
      <c r="AP438" s="58"/>
      <c r="AQ438" s="58"/>
      <c r="AR438" s="58"/>
    </row>
    <row r="439" spans="1:44" ht="15.75" customHeight="1" x14ac:dyDescent="0.25">
      <c r="A439" s="63"/>
      <c r="B439" s="62"/>
      <c r="C439" s="62"/>
      <c r="D439" s="62"/>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8"/>
      <c r="AI439" s="58"/>
      <c r="AJ439" s="58"/>
      <c r="AK439" s="58"/>
      <c r="AL439" s="58"/>
      <c r="AM439" s="58"/>
      <c r="AN439" s="58"/>
      <c r="AO439" s="58"/>
      <c r="AP439" s="58"/>
      <c r="AQ439" s="58"/>
      <c r="AR439" s="58"/>
    </row>
    <row r="440" spans="1:44" ht="15.75" customHeight="1" x14ac:dyDescent="0.25">
      <c r="A440" s="63"/>
      <c r="B440" s="62"/>
      <c r="C440" s="62"/>
      <c r="D440" s="62"/>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58"/>
      <c r="AK440" s="58"/>
      <c r="AL440" s="58"/>
      <c r="AM440" s="58"/>
      <c r="AN440" s="58"/>
      <c r="AO440" s="58"/>
      <c r="AP440" s="58"/>
      <c r="AQ440" s="58"/>
      <c r="AR440" s="58"/>
    </row>
    <row r="441" spans="1:44" ht="15.75" customHeight="1" x14ac:dyDescent="0.25">
      <c r="A441" s="63"/>
      <c r="B441" s="62"/>
      <c r="C441" s="62"/>
      <c r="D441" s="62"/>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8"/>
      <c r="AI441" s="58"/>
      <c r="AJ441" s="58"/>
      <c r="AK441" s="58"/>
      <c r="AL441" s="58"/>
      <c r="AM441" s="58"/>
      <c r="AN441" s="58"/>
      <c r="AO441" s="58"/>
      <c r="AP441" s="58"/>
      <c r="AQ441" s="58"/>
      <c r="AR441" s="58"/>
    </row>
    <row r="442" spans="1:44" ht="15.75" customHeight="1" x14ac:dyDescent="0.25">
      <c r="A442" s="63"/>
      <c r="B442" s="62"/>
      <c r="C442" s="62"/>
      <c r="D442" s="62"/>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8"/>
      <c r="AI442" s="58"/>
      <c r="AJ442" s="58"/>
      <c r="AK442" s="58"/>
      <c r="AL442" s="58"/>
      <c r="AM442" s="58"/>
      <c r="AN442" s="58"/>
      <c r="AO442" s="58"/>
      <c r="AP442" s="58"/>
      <c r="AQ442" s="58"/>
      <c r="AR442" s="58"/>
    </row>
    <row r="443" spans="1:44" ht="15.75" customHeight="1" x14ac:dyDescent="0.25">
      <c r="A443" s="63"/>
      <c r="B443" s="62"/>
      <c r="C443" s="62"/>
      <c r="D443" s="62"/>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58"/>
      <c r="AK443" s="58"/>
      <c r="AL443" s="58"/>
      <c r="AM443" s="58"/>
      <c r="AN443" s="58"/>
      <c r="AO443" s="58"/>
      <c r="AP443" s="58"/>
      <c r="AQ443" s="58"/>
      <c r="AR443" s="58"/>
    </row>
    <row r="444" spans="1:44" ht="15.75" customHeight="1" x14ac:dyDescent="0.25">
      <c r="A444" s="63"/>
      <c r="B444" s="62"/>
      <c r="C444" s="62"/>
      <c r="D444" s="62"/>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8"/>
      <c r="AI444" s="58"/>
      <c r="AJ444" s="58"/>
      <c r="AK444" s="58"/>
      <c r="AL444" s="58"/>
      <c r="AM444" s="58"/>
      <c r="AN444" s="58"/>
      <c r="AO444" s="58"/>
      <c r="AP444" s="58"/>
      <c r="AQ444" s="58"/>
      <c r="AR444" s="58"/>
    </row>
    <row r="445" spans="1:44" ht="15.75" customHeight="1" x14ac:dyDescent="0.25">
      <c r="A445" s="63"/>
      <c r="B445" s="62"/>
      <c r="C445" s="62"/>
      <c r="D445" s="62"/>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8"/>
      <c r="AI445" s="58"/>
      <c r="AJ445" s="58"/>
      <c r="AK445" s="58"/>
      <c r="AL445" s="58"/>
      <c r="AM445" s="58"/>
      <c r="AN445" s="58"/>
      <c r="AO445" s="58"/>
      <c r="AP445" s="58"/>
      <c r="AQ445" s="58"/>
      <c r="AR445" s="58"/>
    </row>
    <row r="446" spans="1:44" ht="15.75" customHeight="1" x14ac:dyDescent="0.25">
      <c r="A446" s="63"/>
      <c r="B446" s="62"/>
      <c r="C446" s="62"/>
      <c r="D446" s="62"/>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58"/>
      <c r="AK446" s="58"/>
      <c r="AL446" s="58"/>
      <c r="AM446" s="58"/>
      <c r="AN446" s="58"/>
      <c r="AO446" s="58"/>
      <c r="AP446" s="58"/>
      <c r="AQ446" s="58"/>
      <c r="AR446" s="58"/>
    </row>
    <row r="447" spans="1:44" ht="15.75" customHeight="1" x14ac:dyDescent="0.25">
      <c r="A447" s="63"/>
      <c r="B447" s="62"/>
      <c r="C447" s="62"/>
      <c r="D447" s="62"/>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8"/>
      <c r="AI447" s="58"/>
      <c r="AJ447" s="58"/>
      <c r="AK447" s="58"/>
      <c r="AL447" s="58"/>
      <c r="AM447" s="58"/>
      <c r="AN447" s="58"/>
      <c r="AO447" s="58"/>
      <c r="AP447" s="58"/>
      <c r="AQ447" s="58"/>
      <c r="AR447" s="58"/>
    </row>
    <row r="448" spans="1:44" ht="15.75" customHeight="1" x14ac:dyDescent="0.25">
      <c r="A448" s="63"/>
      <c r="B448" s="62"/>
      <c r="C448" s="62"/>
      <c r="D448" s="62"/>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8"/>
      <c r="AI448" s="58"/>
      <c r="AJ448" s="58"/>
      <c r="AK448" s="58"/>
      <c r="AL448" s="58"/>
      <c r="AM448" s="58"/>
      <c r="AN448" s="58"/>
      <c r="AO448" s="58"/>
      <c r="AP448" s="58"/>
      <c r="AQ448" s="58"/>
      <c r="AR448" s="58"/>
    </row>
    <row r="449" spans="1:44" ht="15.75" customHeight="1" x14ac:dyDescent="0.25">
      <c r="A449" s="63"/>
      <c r="B449" s="62"/>
      <c r="C449" s="62"/>
      <c r="D449" s="62"/>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58"/>
      <c r="AK449" s="58"/>
      <c r="AL449" s="58"/>
      <c r="AM449" s="58"/>
      <c r="AN449" s="58"/>
      <c r="AO449" s="58"/>
      <c r="AP449" s="58"/>
      <c r="AQ449" s="58"/>
      <c r="AR449" s="58"/>
    </row>
    <row r="450" spans="1:44" ht="15.75" customHeight="1" x14ac:dyDescent="0.25">
      <c r="A450" s="63"/>
      <c r="B450" s="62"/>
      <c r="C450" s="62"/>
      <c r="D450" s="62"/>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8"/>
      <c r="AI450" s="58"/>
      <c r="AJ450" s="58"/>
      <c r="AK450" s="58"/>
      <c r="AL450" s="58"/>
      <c r="AM450" s="58"/>
      <c r="AN450" s="58"/>
      <c r="AO450" s="58"/>
      <c r="AP450" s="58"/>
      <c r="AQ450" s="58"/>
      <c r="AR450" s="58"/>
    </row>
    <row r="451" spans="1:44" ht="15.75" customHeight="1" x14ac:dyDescent="0.25">
      <c r="A451" s="63"/>
      <c r="B451" s="62"/>
      <c r="C451" s="62"/>
      <c r="D451" s="62"/>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8"/>
      <c r="AI451" s="58"/>
      <c r="AJ451" s="58"/>
      <c r="AK451" s="58"/>
      <c r="AL451" s="58"/>
      <c r="AM451" s="58"/>
      <c r="AN451" s="58"/>
      <c r="AO451" s="58"/>
      <c r="AP451" s="58"/>
      <c r="AQ451" s="58"/>
      <c r="AR451" s="58"/>
    </row>
    <row r="452" spans="1:44" ht="15.75" customHeight="1" x14ac:dyDescent="0.25">
      <c r="A452" s="63"/>
      <c r="B452" s="62"/>
      <c r="C452" s="62"/>
      <c r="D452" s="62"/>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58"/>
      <c r="AK452" s="58"/>
      <c r="AL452" s="58"/>
      <c r="AM452" s="58"/>
      <c r="AN452" s="58"/>
      <c r="AO452" s="58"/>
      <c r="AP452" s="58"/>
      <c r="AQ452" s="58"/>
      <c r="AR452" s="58"/>
    </row>
    <row r="453" spans="1:44" ht="15.75" customHeight="1" x14ac:dyDescent="0.25">
      <c r="A453" s="63"/>
      <c r="B453" s="62"/>
      <c r="C453" s="62"/>
      <c r="D453" s="62"/>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8"/>
      <c r="AI453" s="58"/>
      <c r="AJ453" s="58"/>
      <c r="AK453" s="58"/>
      <c r="AL453" s="58"/>
      <c r="AM453" s="58"/>
      <c r="AN453" s="58"/>
      <c r="AO453" s="58"/>
      <c r="AP453" s="58"/>
      <c r="AQ453" s="58"/>
      <c r="AR453" s="58"/>
    </row>
    <row r="454" spans="1:44" ht="15.75" customHeight="1" x14ac:dyDescent="0.25">
      <c r="A454" s="63"/>
      <c r="B454" s="62"/>
      <c r="C454" s="62"/>
      <c r="D454" s="62"/>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8"/>
      <c r="AI454" s="58"/>
      <c r="AJ454" s="58"/>
      <c r="AK454" s="58"/>
      <c r="AL454" s="58"/>
      <c r="AM454" s="58"/>
      <c r="AN454" s="58"/>
      <c r="AO454" s="58"/>
      <c r="AP454" s="58"/>
      <c r="AQ454" s="58"/>
      <c r="AR454" s="58"/>
    </row>
    <row r="455" spans="1:44" ht="15.75" customHeight="1" x14ac:dyDescent="0.25">
      <c r="A455" s="63"/>
      <c r="B455" s="62"/>
      <c r="C455" s="62"/>
      <c r="D455" s="62"/>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58"/>
      <c r="AK455" s="58"/>
      <c r="AL455" s="58"/>
      <c r="AM455" s="58"/>
      <c r="AN455" s="58"/>
      <c r="AO455" s="58"/>
      <c r="AP455" s="58"/>
      <c r="AQ455" s="58"/>
      <c r="AR455" s="58"/>
    </row>
    <row r="456" spans="1:44" ht="15.75" customHeight="1" x14ac:dyDescent="0.25">
      <c r="A456" s="63"/>
      <c r="B456" s="62"/>
      <c r="C456" s="62"/>
      <c r="D456" s="62"/>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8"/>
      <c r="AI456" s="58"/>
      <c r="AJ456" s="58"/>
      <c r="AK456" s="58"/>
      <c r="AL456" s="58"/>
      <c r="AM456" s="58"/>
      <c r="AN456" s="58"/>
      <c r="AO456" s="58"/>
      <c r="AP456" s="58"/>
      <c r="AQ456" s="58"/>
      <c r="AR456" s="58"/>
    </row>
    <row r="457" spans="1:44" ht="15.75" customHeight="1" x14ac:dyDescent="0.25">
      <c r="A457" s="63"/>
      <c r="B457" s="62"/>
      <c r="C457" s="62"/>
      <c r="D457" s="62"/>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8"/>
      <c r="AI457" s="58"/>
      <c r="AJ457" s="58"/>
      <c r="AK457" s="58"/>
      <c r="AL457" s="58"/>
      <c r="AM457" s="58"/>
      <c r="AN457" s="58"/>
      <c r="AO457" s="58"/>
      <c r="AP457" s="58"/>
      <c r="AQ457" s="58"/>
      <c r="AR457" s="58"/>
    </row>
    <row r="458" spans="1:44" ht="15.75" customHeight="1" x14ac:dyDescent="0.25">
      <c r="A458" s="63"/>
      <c r="B458" s="62"/>
      <c r="C458" s="62"/>
      <c r="D458" s="62"/>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58"/>
      <c r="AK458" s="58"/>
      <c r="AL458" s="58"/>
      <c r="AM458" s="58"/>
      <c r="AN458" s="58"/>
      <c r="AO458" s="58"/>
      <c r="AP458" s="58"/>
      <c r="AQ458" s="58"/>
      <c r="AR458" s="58"/>
    </row>
    <row r="459" spans="1:44" ht="15.75" customHeight="1" x14ac:dyDescent="0.25">
      <c r="A459" s="63"/>
      <c r="B459" s="62"/>
      <c r="C459" s="62"/>
      <c r="D459" s="62"/>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8"/>
      <c r="AI459" s="58"/>
      <c r="AJ459" s="58"/>
      <c r="AK459" s="58"/>
      <c r="AL459" s="58"/>
      <c r="AM459" s="58"/>
      <c r="AN459" s="58"/>
      <c r="AO459" s="58"/>
      <c r="AP459" s="58"/>
      <c r="AQ459" s="58"/>
      <c r="AR459" s="58"/>
    </row>
    <row r="460" spans="1:44" ht="15.75" customHeight="1" x14ac:dyDescent="0.25">
      <c r="A460" s="63"/>
      <c r="B460" s="62"/>
      <c r="C460" s="62"/>
      <c r="D460" s="62"/>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8"/>
      <c r="AI460" s="58"/>
      <c r="AJ460" s="58"/>
      <c r="AK460" s="58"/>
      <c r="AL460" s="58"/>
      <c r="AM460" s="58"/>
      <c r="AN460" s="58"/>
      <c r="AO460" s="58"/>
      <c r="AP460" s="58"/>
      <c r="AQ460" s="58"/>
      <c r="AR460" s="58"/>
    </row>
    <row r="461" spans="1:44" ht="15.75" customHeight="1" x14ac:dyDescent="0.25">
      <c r="A461" s="63"/>
      <c r="B461" s="62"/>
      <c r="C461" s="62"/>
      <c r="D461" s="62"/>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58"/>
      <c r="AK461" s="58"/>
      <c r="AL461" s="58"/>
      <c r="AM461" s="58"/>
      <c r="AN461" s="58"/>
      <c r="AO461" s="58"/>
      <c r="AP461" s="58"/>
      <c r="AQ461" s="58"/>
      <c r="AR461" s="58"/>
    </row>
    <row r="462" spans="1:44" ht="15.75" customHeight="1" x14ac:dyDescent="0.25">
      <c r="A462" s="63"/>
      <c r="B462" s="62"/>
      <c r="C462" s="62"/>
      <c r="D462" s="62"/>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8"/>
      <c r="AI462" s="58"/>
      <c r="AJ462" s="58"/>
      <c r="AK462" s="58"/>
      <c r="AL462" s="58"/>
      <c r="AM462" s="58"/>
      <c r="AN462" s="58"/>
      <c r="AO462" s="58"/>
      <c r="AP462" s="58"/>
      <c r="AQ462" s="58"/>
      <c r="AR462" s="58"/>
    </row>
    <row r="463" spans="1:44" ht="15.75" customHeight="1" x14ac:dyDescent="0.25">
      <c r="A463" s="63"/>
      <c r="B463" s="62"/>
      <c r="C463" s="62"/>
      <c r="D463" s="62"/>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8"/>
      <c r="AI463" s="58"/>
      <c r="AJ463" s="58"/>
      <c r="AK463" s="58"/>
      <c r="AL463" s="58"/>
      <c r="AM463" s="58"/>
      <c r="AN463" s="58"/>
      <c r="AO463" s="58"/>
      <c r="AP463" s="58"/>
      <c r="AQ463" s="58"/>
      <c r="AR463" s="58"/>
    </row>
    <row r="464" spans="1:44" ht="15.75" customHeight="1" x14ac:dyDescent="0.25">
      <c r="A464" s="63"/>
      <c r="B464" s="62"/>
      <c r="C464" s="62"/>
      <c r="D464" s="62"/>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58"/>
      <c r="AK464" s="58"/>
      <c r="AL464" s="58"/>
      <c r="AM464" s="58"/>
      <c r="AN464" s="58"/>
      <c r="AO464" s="58"/>
      <c r="AP464" s="58"/>
      <c r="AQ464" s="58"/>
      <c r="AR464" s="58"/>
    </row>
    <row r="465" spans="1:44" ht="15.75" customHeight="1" x14ac:dyDescent="0.25">
      <c r="A465" s="63"/>
      <c r="B465" s="62"/>
      <c r="C465" s="62"/>
      <c r="D465" s="62"/>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8"/>
      <c r="AI465" s="58"/>
      <c r="AJ465" s="58"/>
      <c r="AK465" s="58"/>
      <c r="AL465" s="58"/>
      <c r="AM465" s="58"/>
      <c r="AN465" s="58"/>
      <c r="AO465" s="58"/>
      <c r="AP465" s="58"/>
      <c r="AQ465" s="58"/>
      <c r="AR465" s="58"/>
    </row>
    <row r="466" spans="1:44" ht="15.75" customHeight="1" x14ac:dyDescent="0.25">
      <c r="A466" s="63"/>
      <c r="B466" s="62"/>
      <c r="C466" s="62"/>
      <c r="D466" s="62"/>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8"/>
      <c r="AI466" s="58"/>
      <c r="AJ466" s="58"/>
      <c r="AK466" s="58"/>
      <c r="AL466" s="58"/>
      <c r="AM466" s="58"/>
      <c r="AN466" s="58"/>
      <c r="AO466" s="58"/>
      <c r="AP466" s="58"/>
      <c r="AQ466" s="58"/>
      <c r="AR466" s="58"/>
    </row>
    <row r="467" spans="1:44" ht="15.75" customHeight="1" x14ac:dyDescent="0.25">
      <c r="A467" s="63"/>
      <c r="B467" s="62"/>
      <c r="C467" s="62"/>
      <c r="D467" s="62"/>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58"/>
      <c r="AK467" s="58"/>
      <c r="AL467" s="58"/>
      <c r="AM467" s="58"/>
      <c r="AN467" s="58"/>
      <c r="AO467" s="58"/>
      <c r="AP467" s="58"/>
      <c r="AQ467" s="58"/>
      <c r="AR467" s="58"/>
    </row>
    <row r="468" spans="1:44" ht="15.75" customHeight="1" x14ac:dyDescent="0.25">
      <c r="A468" s="63"/>
      <c r="B468" s="62"/>
      <c r="C468" s="62"/>
      <c r="D468" s="62"/>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8"/>
      <c r="AI468" s="58"/>
      <c r="AJ468" s="58"/>
      <c r="AK468" s="58"/>
      <c r="AL468" s="58"/>
      <c r="AM468" s="58"/>
      <c r="AN468" s="58"/>
      <c r="AO468" s="58"/>
      <c r="AP468" s="58"/>
      <c r="AQ468" s="58"/>
      <c r="AR468" s="58"/>
    </row>
    <row r="469" spans="1:44" ht="15.75" customHeight="1" x14ac:dyDescent="0.25">
      <c r="A469" s="63"/>
      <c r="B469" s="62"/>
      <c r="C469" s="62"/>
      <c r="D469" s="62"/>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8"/>
      <c r="AI469" s="58"/>
      <c r="AJ469" s="58"/>
      <c r="AK469" s="58"/>
      <c r="AL469" s="58"/>
      <c r="AM469" s="58"/>
      <c r="AN469" s="58"/>
      <c r="AO469" s="58"/>
      <c r="AP469" s="58"/>
      <c r="AQ469" s="58"/>
      <c r="AR469" s="58"/>
    </row>
    <row r="470" spans="1:44" ht="15.75" customHeight="1" x14ac:dyDescent="0.25">
      <c r="A470" s="63"/>
      <c r="B470" s="62"/>
      <c r="C470" s="62"/>
      <c r="D470" s="62"/>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58"/>
      <c r="AK470" s="58"/>
      <c r="AL470" s="58"/>
      <c r="AM470" s="58"/>
      <c r="AN470" s="58"/>
      <c r="AO470" s="58"/>
      <c r="AP470" s="58"/>
      <c r="AQ470" s="58"/>
      <c r="AR470" s="58"/>
    </row>
    <row r="471" spans="1:44" ht="15.75" customHeight="1" x14ac:dyDescent="0.25">
      <c r="A471" s="63"/>
      <c r="B471" s="62"/>
      <c r="C471" s="62"/>
      <c r="D471" s="62"/>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c r="AG471" s="58"/>
      <c r="AH471" s="58"/>
      <c r="AI471" s="58"/>
      <c r="AJ471" s="58"/>
      <c r="AK471" s="58"/>
      <c r="AL471" s="58"/>
      <c r="AM471" s="58"/>
      <c r="AN471" s="58"/>
      <c r="AO471" s="58"/>
      <c r="AP471" s="58"/>
      <c r="AQ471" s="58"/>
      <c r="AR471" s="58"/>
    </row>
    <row r="472" spans="1:44" ht="15.75" customHeight="1" x14ac:dyDescent="0.25">
      <c r="A472" s="63"/>
      <c r="B472" s="62"/>
      <c r="C472" s="62"/>
      <c r="D472" s="62"/>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c r="AG472" s="58"/>
      <c r="AH472" s="58"/>
      <c r="AI472" s="58"/>
      <c r="AJ472" s="58"/>
      <c r="AK472" s="58"/>
      <c r="AL472" s="58"/>
      <c r="AM472" s="58"/>
      <c r="AN472" s="58"/>
      <c r="AO472" s="58"/>
      <c r="AP472" s="58"/>
      <c r="AQ472" s="58"/>
      <c r="AR472" s="58"/>
    </row>
    <row r="473" spans="1:44" ht="15.75" customHeight="1" x14ac:dyDescent="0.25">
      <c r="A473" s="63"/>
      <c r="B473" s="62"/>
      <c r="C473" s="62"/>
      <c r="D473" s="62"/>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8"/>
      <c r="AI473" s="58"/>
      <c r="AJ473" s="58"/>
      <c r="AK473" s="58"/>
      <c r="AL473" s="58"/>
      <c r="AM473" s="58"/>
      <c r="AN473" s="58"/>
      <c r="AO473" s="58"/>
      <c r="AP473" s="58"/>
      <c r="AQ473" s="58"/>
      <c r="AR473" s="58"/>
    </row>
    <row r="474" spans="1:44" ht="15.75" customHeight="1" x14ac:dyDescent="0.25">
      <c r="A474" s="63"/>
      <c r="B474" s="62"/>
      <c r="C474" s="62"/>
      <c r="D474" s="62"/>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c r="AE474" s="58"/>
      <c r="AF474" s="58"/>
      <c r="AG474" s="58"/>
      <c r="AH474" s="58"/>
      <c r="AI474" s="58"/>
      <c r="AJ474" s="58"/>
      <c r="AK474" s="58"/>
      <c r="AL474" s="58"/>
      <c r="AM474" s="58"/>
      <c r="AN474" s="58"/>
      <c r="AO474" s="58"/>
      <c r="AP474" s="58"/>
      <c r="AQ474" s="58"/>
      <c r="AR474" s="58"/>
    </row>
    <row r="475" spans="1:44" ht="15.75" customHeight="1" x14ac:dyDescent="0.25">
      <c r="A475" s="63"/>
      <c r="B475" s="62"/>
      <c r="C475" s="62"/>
      <c r="D475" s="62"/>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c r="AG475" s="58"/>
      <c r="AH475" s="58"/>
      <c r="AI475" s="58"/>
      <c r="AJ475" s="58"/>
      <c r="AK475" s="58"/>
      <c r="AL475" s="58"/>
      <c r="AM475" s="58"/>
      <c r="AN475" s="58"/>
      <c r="AO475" s="58"/>
      <c r="AP475" s="58"/>
      <c r="AQ475" s="58"/>
      <c r="AR475" s="58"/>
    </row>
    <row r="476" spans="1:44" ht="15.75" customHeight="1" x14ac:dyDescent="0.25">
      <c r="A476" s="63"/>
      <c r="B476" s="62"/>
      <c r="C476" s="62"/>
      <c r="D476" s="62"/>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8"/>
      <c r="AI476" s="58"/>
      <c r="AJ476" s="58"/>
      <c r="AK476" s="58"/>
      <c r="AL476" s="58"/>
      <c r="AM476" s="58"/>
      <c r="AN476" s="58"/>
      <c r="AO476" s="58"/>
      <c r="AP476" s="58"/>
      <c r="AQ476" s="58"/>
      <c r="AR476" s="58"/>
    </row>
    <row r="477" spans="1:44" ht="15.75" customHeight="1" x14ac:dyDescent="0.25">
      <c r="A477" s="63"/>
      <c r="B477" s="62"/>
      <c r="C477" s="62"/>
      <c r="D477" s="62"/>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c r="AG477" s="58"/>
      <c r="AH477" s="58"/>
      <c r="AI477" s="58"/>
      <c r="AJ477" s="58"/>
      <c r="AK477" s="58"/>
      <c r="AL477" s="58"/>
      <c r="AM477" s="58"/>
      <c r="AN477" s="58"/>
      <c r="AO477" s="58"/>
      <c r="AP477" s="58"/>
      <c r="AQ477" s="58"/>
      <c r="AR477" s="58"/>
    </row>
    <row r="478" spans="1:44" ht="15.75" customHeight="1" x14ac:dyDescent="0.25">
      <c r="A478" s="63"/>
      <c r="B478" s="62"/>
      <c r="C478" s="62"/>
      <c r="D478" s="62"/>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c r="AG478" s="58"/>
      <c r="AH478" s="58"/>
      <c r="AI478" s="58"/>
      <c r="AJ478" s="58"/>
      <c r="AK478" s="58"/>
      <c r="AL478" s="58"/>
      <c r="AM478" s="58"/>
      <c r="AN478" s="58"/>
      <c r="AO478" s="58"/>
      <c r="AP478" s="58"/>
      <c r="AQ478" s="58"/>
      <c r="AR478" s="58"/>
    </row>
    <row r="479" spans="1:44" ht="15.75" customHeight="1" x14ac:dyDescent="0.25">
      <c r="A479" s="63"/>
      <c r="B479" s="62"/>
      <c r="C479" s="62"/>
      <c r="D479" s="62"/>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8"/>
      <c r="AI479" s="58"/>
      <c r="AJ479" s="58"/>
      <c r="AK479" s="58"/>
      <c r="AL479" s="58"/>
      <c r="AM479" s="58"/>
      <c r="AN479" s="58"/>
      <c r="AO479" s="58"/>
      <c r="AP479" s="58"/>
      <c r="AQ479" s="58"/>
      <c r="AR479" s="58"/>
    </row>
    <row r="480" spans="1:44" ht="15.75" customHeight="1" x14ac:dyDescent="0.25">
      <c r="A480" s="63"/>
      <c r="B480" s="62"/>
      <c r="C480" s="62"/>
      <c r="D480" s="62"/>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c r="AG480" s="58"/>
      <c r="AH480" s="58"/>
      <c r="AI480" s="58"/>
      <c r="AJ480" s="58"/>
      <c r="AK480" s="58"/>
      <c r="AL480" s="58"/>
      <c r="AM480" s="58"/>
      <c r="AN480" s="58"/>
      <c r="AO480" s="58"/>
      <c r="AP480" s="58"/>
      <c r="AQ480" s="58"/>
      <c r="AR480" s="58"/>
    </row>
    <row r="481" spans="1:44" ht="15.75" customHeight="1" x14ac:dyDescent="0.25">
      <c r="A481" s="63"/>
      <c r="B481" s="62"/>
      <c r="C481" s="62"/>
      <c r="D481" s="62"/>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c r="AG481" s="58"/>
      <c r="AH481" s="58"/>
      <c r="AI481" s="58"/>
      <c r="AJ481" s="58"/>
      <c r="AK481" s="58"/>
      <c r="AL481" s="58"/>
      <c r="AM481" s="58"/>
      <c r="AN481" s="58"/>
      <c r="AO481" s="58"/>
      <c r="AP481" s="58"/>
      <c r="AQ481" s="58"/>
      <c r="AR481" s="58"/>
    </row>
    <row r="482" spans="1:44" ht="15.75" customHeight="1" x14ac:dyDescent="0.25">
      <c r="A482" s="63"/>
      <c r="B482" s="62"/>
      <c r="C482" s="62"/>
      <c r="D482" s="62"/>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8"/>
      <c r="AI482" s="58"/>
      <c r="AJ482" s="58"/>
      <c r="AK482" s="58"/>
      <c r="AL482" s="58"/>
      <c r="AM482" s="58"/>
      <c r="AN482" s="58"/>
      <c r="AO482" s="58"/>
      <c r="AP482" s="58"/>
      <c r="AQ482" s="58"/>
      <c r="AR482" s="58"/>
    </row>
    <row r="483" spans="1:44" ht="15.75" customHeight="1" x14ac:dyDescent="0.25">
      <c r="A483" s="63"/>
      <c r="B483" s="62"/>
      <c r="C483" s="62"/>
      <c r="D483" s="62"/>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c r="AG483" s="58"/>
      <c r="AH483" s="58"/>
      <c r="AI483" s="58"/>
      <c r="AJ483" s="58"/>
      <c r="AK483" s="58"/>
      <c r="AL483" s="58"/>
      <c r="AM483" s="58"/>
      <c r="AN483" s="58"/>
      <c r="AO483" s="58"/>
      <c r="AP483" s="58"/>
      <c r="AQ483" s="58"/>
      <c r="AR483" s="58"/>
    </row>
    <row r="484" spans="1:44" ht="15.75" customHeight="1" x14ac:dyDescent="0.25">
      <c r="A484" s="63"/>
      <c r="B484" s="62"/>
      <c r="C484" s="62"/>
      <c r="D484" s="62"/>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c r="AE484" s="58"/>
      <c r="AF484" s="58"/>
      <c r="AG484" s="58"/>
      <c r="AH484" s="58"/>
      <c r="AI484" s="58"/>
      <c r="AJ484" s="58"/>
      <c r="AK484" s="58"/>
      <c r="AL484" s="58"/>
      <c r="AM484" s="58"/>
      <c r="AN484" s="58"/>
      <c r="AO484" s="58"/>
      <c r="AP484" s="58"/>
      <c r="AQ484" s="58"/>
      <c r="AR484" s="58"/>
    </row>
    <row r="485" spans="1:44" ht="15.75" customHeight="1" x14ac:dyDescent="0.25">
      <c r="A485" s="63"/>
      <c r="B485" s="62"/>
      <c r="C485" s="62"/>
      <c r="D485" s="62"/>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8"/>
      <c r="AI485" s="58"/>
      <c r="AJ485" s="58"/>
      <c r="AK485" s="58"/>
      <c r="AL485" s="58"/>
      <c r="AM485" s="58"/>
      <c r="AN485" s="58"/>
      <c r="AO485" s="58"/>
      <c r="AP485" s="58"/>
      <c r="AQ485" s="58"/>
      <c r="AR485" s="58"/>
    </row>
    <row r="486" spans="1:44" ht="15.75" customHeight="1" x14ac:dyDescent="0.25">
      <c r="A486" s="63"/>
      <c r="B486" s="62"/>
      <c r="C486" s="62"/>
      <c r="D486" s="62"/>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c r="AE486" s="58"/>
      <c r="AF486" s="58"/>
      <c r="AG486" s="58"/>
      <c r="AH486" s="58"/>
      <c r="AI486" s="58"/>
      <c r="AJ486" s="58"/>
      <c r="AK486" s="58"/>
      <c r="AL486" s="58"/>
      <c r="AM486" s="58"/>
      <c r="AN486" s="58"/>
      <c r="AO486" s="58"/>
      <c r="AP486" s="58"/>
      <c r="AQ486" s="58"/>
      <c r="AR486" s="58"/>
    </row>
    <row r="487" spans="1:44" ht="15.75" customHeight="1" x14ac:dyDescent="0.25">
      <c r="A487" s="63"/>
      <c r="B487" s="62"/>
      <c r="C487" s="62"/>
      <c r="D487" s="62"/>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c r="AG487" s="58"/>
      <c r="AH487" s="58"/>
      <c r="AI487" s="58"/>
      <c r="AJ487" s="58"/>
      <c r="AK487" s="58"/>
      <c r="AL487" s="58"/>
      <c r="AM487" s="58"/>
      <c r="AN487" s="58"/>
      <c r="AO487" s="58"/>
      <c r="AP487" s="58"/>
      <c r="AQ487" s="58"/>
      <c r="AR487" s="58"/>
    </row>
    <row r="488" spans="1:44" ht="15.75" customHeight="1" x14ac:dyDescent="0.25">
      <c r="A488" s="63"/>
      <c r="B488" s="62"/>
      <c r="C488" s="62"/>
      <c r="D488" s="62"/>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8"/>
      <c r="AI488" s="58"/>
      <c r="AJ488" s="58"/>
      <c r="AK488" s="58"/>
      <c r="AL488" s="58"/>
      <c r="AM488" s="58"/>
      <c r="AN488" s="58"/>
      <c r="AO488" s="58"/>
      <c r="AP488" s="58"/>
      <c r="AQ488" s="58"/>
      <c r="AR488" s="58"/>
    </row>
    <row r="489" spans="1:44" ht="15.75" customHeight="1" x14ac:dyDescent="0.25">
      <c r="A489" s="63"/>
      <c r="B489" s="62"/>
      <c r="C489" s="62"/>
      <c r="D489" s="62"/>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c r="AE489" s="58"/>
      <c r="AF489" s="58"/>
      <c r="AG489" s="58"/>
      <c r="AH489" s="58"/>
      <c r="AI489" s="58"/>
      <c r="AJ489" s="58"/>
      <c r="AK489" s="58"/>
      <c r="AL489" s="58"/>
      <c r="AM489" s="58"/>
      <c r="AN489" s="58"/>
      <c r="AO489" s="58"/>
      <c r="AP489" s="58"/>
      <c r="AQ489" s="58"/>
      <c r="AR489" s="58"/>
    </row>
    <row r="490" spans="1:44" ht="15.75" customHeight="1" x14ac:dyDescent="0.25">
      <c r="A490" s="63"/>
      <c r="B490" s="62"/>
      <c r="C490" s="62"/>
      <c r="D490" s="62"/>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c r="AE490" s="58"/>
      <c r="AF490" s="58"/>
      <c r="AG490" s="58"/>
      <c r="AH490" s="58"/>
      <c r="AI490" s="58"/>
      <c r="AJ490" s="58"/>
      <c r="AK490" s="58"/>
      <c r="AL490" s="58"/>
      <c r="AM490" s="58"/>
      <c r="AN490" s="58"/>
      <c r="AO490" s="58"/>
      <c r="AP490" s="58"/>
      <c r="AQ490" s="58"/>
      <c r="AR490" s="58"/>
    </row>
    <row r="491" spans="1:44" ht="15.75" customHeight="1" x14ac:dyDescent="0.25">
      <c r="A491" s="63"/>
      <c r="B491" s="62"/>
      <c r="C491" s="62"/>
      <c r="D491" s="62"/>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8"/>
      <c r="AI491" s="58"/>
      <c r="AJ491" s="58"/>
      <c r="AK491" s="58"/>
      <c r="AL491" s="58"/>
      <c r="AM491" s="58"/>
      <c r="AN491" s="58"/>
      <c r="AO491" s="58"/>
      <c r="AP491" s="58"/>
      <c r="AQ491" s="58"/>
      <c r="AR491" s="58"/>
    </row>
    <row r="492" spans="1:44" ht="15.75" customHeight="1" x14ac:dyDescent="0.25">
      <c r="A492" s="63"/>
      <c r="B492" s="62"/>
      <c r="C492" s="62"/>
      <c r="D492" s="62"/>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c r="AG492" s="58"/>
      <c r="AH492" s="58"/>
      <c r="AI492" s="58"/>
      <c r="AJ492" s="58"/>
      <c r="AK492" s="58"/>
      <c r="AL492" s="58"/>
      <c r="AM492" s="58"/>
      <c r="AN492" s="58"/>
      <c r="AO492" s="58"/>
      <c r="AP492" s="58"/>
      <c r="AQ492" s="58"/>
      <c r="AR492" s="58"/>
    </row>
    <row r="493" spans="1:44" ht="15.75" customHeight="1" x14ac:dyDescent="0.25">
      <c r="A493" s="63"/>
      <c r="B493" s="62"/>
      <c r="C493" s="62"/>
      <c r="D493" s="62"/>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c r="AE493" s="58"/>
      <c r="AF493" s="58"/>
      <c r="AG493" s="58"/>
      <c r="AH493" s="58"/>
      <c r="AI493" s="58"/>
      <c r="AJ493" s="58"/>
      <c r="AK493" s="58"/>
      <c r="AL493" s="58"/>
      <c r="AM493" s="58"/>
      <c r="AN493" s="58"/>
      <c r="AO493" s="58"/>
      <c r="AP493" s="58"/>
      <c r="AQ493" s="58"/>
      <c r="AR493" s="58"/>
    </row>
    <row r="494" spans="1:44" ht="15.75" customHeight="1" x14ac:dyDescent="0.25">
      <c r="A494" s="63"/>
      <c r="B494" s="62"/>
      <c r="C494" s="62"/>
      <c r="D494" s="62"/>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8"/>
      <c r="AI494" s="58"/>
      <c r="AJ494" s="58"/>
      <c r="AK494" s="58"/>
      <c r="AL494" s="58"/>
      <c r="AM494" s="58"/>
      <c r="AN494" s="58"/>
      <c r="AO494" s="58"/>
      <c r="AP494" s="58"/>
      <c r="AQ494" s="58"/>
      <c r="AR494" s="58"/>
    </row>
    <row r="495" spans="1:44" ht="15.75" customHeight="1" x14ac:dyDescent="0.25">
      <c r="A495" s="63"/>
      <c r="B495" s="62"/>
      <c r="C495" s="62"/>
      <c r="D495" s="62"/>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c r="AG495" s="58"/>
      <c r="AH495" s="58"/>
      <c r="AI495" s="58"/>
      <c r="AJ495" s="58"/>
      <c r="AK495" s="58"/>
      <c r="AL495" s="58"/>
      <c r="AM495" s="58"/>
      <c r="AN495" s="58"/>
      <c r="AO495" s="58"/>
      <c r="AP495" s="58"/>
      <c r="AQ495" s="58"/>
      <c r="AR495" s="58"/>
    </row>
    <row r="496" spans="1:44" ht="15.75" customHeight="1" x14ac:dyDescent="0.25">
      <c r="A496" s="63"/>
      <c r="B496" s="62"/>
      <c r="C496" s="62"/>
      <c r="D496" s="62"/>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c r="AE496" s="58"/>
      <c r="AF496" s="58"/>
      <c r="AG496" s="58"/>
      <c r="AH496" s="58"/>
      <c r="AI496" s="58"/>
      <c r="AJ496" s="58"/>
      <c r="AK496" s="58"/>
      <c r="AL496" s="58"/>
      <c r="AM496" s="58"/>
      <c r="AN496" s="58"/>
      <c r="AO496" s="58"/>
      <c r="AP496" s="58"/>
      <c r="AQ496" s="58"/>
      <c r="AR496" s="58"/>
    </row>
    <row r="497" spans="1:44" ht="15.75" customHeight="1" x14ac:dyDescent="0.25">
      <c r="A497" s="63"/>
      <c r="B497" s="62"/>
      <c r="C497" s="62"/>
      <c r="D497" s="62"/>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8"/>
      <c r="AI497" s="58"/>
      <c r="AJ497" s="58"/>
      <c r="AK497" s="58"/>
      <c r="AL497" s="58"/>
      <c r="AM497" s="58"/>
      <c r="AN497" s="58"/>
      <c r="AO497" s="58"/>
      <c r="AP497" s="58"/>
      <c r="AQ497" s="58"/>
      <c r="AR497" s="58"/>
    </row>
    <row r="498" spans="1:44" ht="15.75" customHeight="1" x14ac:dyDescent="0.25">
      <c r="A498" s="63"/>
      <c r="B498" s="62"/>
      <c r="C498" s="62"/>
      <c r="D498" s="62"/>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c r="AG498" s="58"/>
      <c r="AH498" s="58"/>
      <c r="AI498" s="58"/>
      <c r="AJ498" s="58"/>
      <c r="AK498" s="58"/>
      <c r="AL498" s="58"/>
      <c r="AM498" s="58"/>
      <c r="AN498" s="58"/>
      <c r="AO498" s="58"/>
      <c r="AP498" s="58"/>
      <c r="AQ498" s="58"/>
      <c r="AR498" s="58"/>
    </row>
    <row r="499" spans="1:44" ht="15.75" customHeight="1" x14ac:dyDescent="0.25">
      <c r="A499" s="63"/>
      <c r="B499" s="62"/>
      <c r="C499" s="62"/>
      <c r="D499" s="62"/>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c r="AG499" s="58"/>
      <c r="AH499" s="58"/>
      <c r="AI499" s="58"/>
      <c r="AJ499" s="58"/>
      <c r="AK499" s="58"/>
      <c r="AL499" s="58"/>
      <c r="AM499" s="58"/>
      <c r="AN499" s="58"/>
      <c r="AO499" s="58"/>
      <c r="AP499" s="58"/>
      <c r="AQ499" s="58"/>
      <c r="AR499" s="58"/>
    </row>
    <row r="500" spans="1:44" ht="15.75" customHeight="1" x14ac:dyDescent="0.25">
      <c r="A500" s="63"/>
      <c r="B500" s="62"/>
      <c r="C500" s="62"/>
      <c r="D500" s="62"/>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c r="AI500" s="58"/>
      <c r="AJ500" s="58"/>
      <c r="AK500" s="58"/>
      <c r="AL500" s="58"/>
      <c r="AM500" s="58"/>
      <c r="AN500" s="58"/>
      <c r="AO500" s="58"/>
      <c r="AP500" s="58"/>
      <c r="AQ500" s="58"/>
      <c r="AR500" s="58"/>
    </row>
    <row r="501" spans="1:44" ht="15.75" customHeight="1" x14ac:dyDescent="0.25">
      <c r="A501" s="63"/>
      <c r="B501" s="62"/>
      <c r="C501" s="62"/>
      <c r="D501" s="62"/>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c r="AE501" s="58"/>
      <c r="AF501" s="58"/>
      <c r="AG501" s="58"/>
      <c r="AH501" s="58"/>
      <c r="AI501" s="58"/>
      <c r="AJ501" s="58"/>
      <c r="AK501" s="58"/>
      <c r="AL501" s="58"/>
      <c r="AM501" s="58"/>
      <c r="AN501" s="58"/>
      <c r="AO501" s="58"/>
      <c r="AP501" s="58"/>
      <c r="AQ501" s="58"/>
      <c r="AR501" s="58"/>
    </row>
    <row r="502" spans="1:44" ht="15.75" customHeight="1" x14ac:dyDescent="0.25">
      <c r="A502" s="63"/>
      <c r="B502" s="62"/>
      <c r="C502" s="62"/>
      <c r="D502" s="62"/>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c r="AE502" s="58"/>
      <c r="AF502" s="58"/>
      <c r="AG502" s="58"/>
      <c r="AH502" s="58"/>
      <c r="AI502" s="58"/>
      <c r="AJ502" s="58"/>
      <c r="AK502" s="58"/>
      <c r="AL502" s="58"/>
      <c r="AM502" s="58"/>
      <c r="AN502" s="58"/>
      <c r="AO502" s="58"/>
      <c r="AP502" s="58"/>
      <c r="AQ502" s="58"/>
      <c r="AR502" s="58"/>
    </row>
    <row r="503" spans="1:44" ht="15.75" customHeight="1" x14ac:dyDescent="0.25">
      <c r="A503" s="63"/>
      <c r="B503" s="62"/>
      <c r="C503" s="62"/>
      <c r="D503" s="62"/>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c r="AE503" s="58"/>
      <c r="AF503" s="58"/>
      <c r="AG503" s="58"/>
      <c r="AH503" s="58"/>
      <c r="AI503" s="58"/>
      <c r="AJ503" s="58"/>
      <c r="AK503" s="58"/>
      <c r="AL503" s="58"/>
      <c r="AM503" s="58"/>
      <c r="AN503" s="58"/>
      <c r="AO503" s="58"/>
      <c r="AP503" s="58"/>
      <c r="AQ503" s="58"/>
      <c r="AR503" s="58"/>
    </row>
    <row r="504" spans="1:44" ht="15.75" customHeight="1" x14ac:dyDescent="0.25">
      <c r="A504" s="63"/>
      <c r="B504" s="62"/>
      <c r="C504" s="62"/>
      <c r="D504" s="62"/>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c r="AG504" s="58"/>
      <c r="AH504" s="58"/>
      <c r="AI504" s="58"/>
      <c r="AJ504" s="58"/>
      <c r="AK504" s="58"/>
      <c r="AL504" s="58"/>
      <c r="AM504" s="58"/>
      <c r="AN504" s="58"/>
      <c r="AO504" s="58"/>
      <c r="AP504" s="58"/>
      <c r="AQ504" s="58"/>
      <c r="AR504" s="58"/>
    </row>
    <row r="505" spans="1:44" ht="15.75" customHeight="1" x14ac:dyDescent="0.25">
      <c r="A505" s="63"/>
      <c r="B505" s="62"/>
      <c r="C505" s="62"/>
      <c r="D505" s="62"/>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c r="AG505" s="58"/>
      <c r="AH505" s="58"/>
      <c r="AI505" s="58"/>
      <c r="AJ505" s="58"/>
      <c r="AK505" s="58"/>
      <c r="AL505" s="58"/>
      <c r="AM505" s="58"/>
      <c r="AN505" s="58"/>
      <c r="AO505" s="58"/>
      <c r="AP505" s="58"/>
      <c r="AQ505" s="58"/>
      <c r="AR505" s="58"/>
    </row>
    <row r="506" spans="1:44" ht="15.75" customHeight="1" x14ac:dyDescent="0.25">
      <c r="A506" s="63"/>
      <c r="B506" s="62"/>
      <c r="C506" s="62"/>
      <c r="D506" s="62"/>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c r="AI506" s="58"/>
      <c r="AJ506" s="58"/>
      <c r="AK506" s="58"/>
      <c r="AL506" s="58"/>
      <c r="AM506" s="58"/>
      <c r="AN506" s="58"/>
      <c r="AO506" s="58"/>
      <c r="AP506" s="58"/>
      <c r="AQ506" s="58"/>
      <c r="AR506" s="58"/>
    </row>
    <row r="507" spans="1:44" ht="15.75" customHeight="1" x14ac:dyDescent="0.25">
      <c r="A507" s="63"/>
      <c r="B507" s="62"/>
      <c r="C507" s="62"/>
      <c r="D507" s="62"/>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c r="AG507" s="58"/>
      <c r="AH507" s="58"/>
      <c r="AI507" s="58"/>
      <c r="AJ507" s="58"/>
      <c r="AK507" s="58"/>
      <c r="AL507" s="58"/>
      <c r="AM507" s="58"/>
      <c r="AN507" s="58"/>
      <c r="AO507" s="58"/>
      <c r="AP507" s="58"/>
      <c r="AQ507" s="58"/>
      <c r="AR507" s="58"/>
    </row>
    <row r="508" spans="1:44" ht="15.75" customHeight="1" x14ac:dyDescent="0.25">
      <c r="A508" s="63"/>
      <c r="B508" s="62"/>
      <c r="C508" s="62"/>
      <c r="D508" s="62"/>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c r="AG508" s="58"/>
      <c r="AH508" s="58"/>
      <c r="AI508" s="58"/>
      <c r="AJ508" s="58"/>
      <c r="AK508" s="58"/>
      <c r="AL508" s="58"/>
      <c r="AM508" s="58"/>
      <c r="AN508" s="58"/>
      <c r="AO508" s="58"/>
      <c r="AP508" s="58"/>
      <c r="AQ508" s="58"/>
      <c r="AR508" s="58"/>
    </row>
    <row r="509" spans="1:44" ht="15.75" customHeight="1" x14ac:dyDescent="0.25">
      <c r="A509" s="63"/>
      <c r="B509" s="62"/>
      <c r="C509" s="62"/>
      <c r="D509" s="62"/>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c r="AI509" s="58"/>
      <c r="AJ509" s="58"/>
      <c r="AK509" s="58"/>
      <c r="AL509" s="58"/>
      <c r="AM509" s="58"/>
      <c r="AN509" s="58"/>
      <c r="AO509" s="58"/>
      <c r="AP509" s="58"/>
      <c r="AQ509" s="58"/>
      <c r="AR509" s="58"/>
    </row>
    <row r="510" spans="1:44" ht="15.75" customHeight="1" x14ac:dyDescent="0.25">
      <c r="A510" s="63"/>
      <c r="B510" s="62"/>
      <c r="C510" s="62"/>
      <c r="D510" s="62"/>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c r="AG510" s="58"/>
      <c r="AH510" s="58"/>
      <c r="AI510" s="58"/>
      <c r="AJ510" s="58"/>
      <c r="AK510" s="58"/>
      <c r="AL510" s="58"/>
      <c r="AM510" s="58"/>
      <c r="AN510" s="58"/>
      <c r="AO510" s="58"/>
      <c r="AP510" s="58"/>
      <c r="AQ510" s="58"/>
      <c r="AR510" s="58"/>
    </row>
    <row r="511" spans="1:44" ht="15.75" customHeight="1" x14ac:dyDescent="0.25">
      <c r="A511" s="63"/>
      <c r="B511" s="62"/>
      <c r="C511" s="62"/>
      <c r="D511" s="62"/>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c r="AG511" s="58"/>
      <c r="AH511" s="58"/>
      <c r="AI511" s="58"/>
      <c r="AJ511" s="58"/>
      <c r="AK511" s="58"/>
      <c r="AL511" s="58"/>
      <c r="AM511" s="58"/>
      <c r="AN511" s="58"/>
      <c r="AO511" s="58"/>
      <c r="AP511" s="58"/>
      <c r="AQ511" s="58"/>
      <c r="AR511" s="58"/>
    </row>
    <row r="512" spans="1:44" ht="15.75" customHeight="1" x14ac:dyDescent="0.25">
      <c r="A512" s="63"/>
      <c r="B512" s="62"/>
      <c r="C512" s="62"/>
      <c r="D512" s="62"/>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c r="AI512" s="58"/>
      <c r="AJ512" s="58"/>
      <c r="AK512" s="58"/>
      <c r="AL512" s="58"/>
      <c r="AM512" s="58"/>
      <c r="AN512" s="58"/>
      <c r="AO512" s="58"/>
      <c r="AP512" s="58"/>
      <c r="AQ512" s="58"/>
      <c r="AR512" s="58"/>
    </row>
    <row r="513" spans="1:44" ht="15.75" customHeight="1" x14ac:dyDescent="0.25">
      <c r="A513" s="63"/>
      <c r="B513" s="62"/>
      <c r="C513" s="62"/>
      <c r="D513" s="62"/>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c r="AG513" s="58"/>
      <c r="AH513" s="58"/>
      <c r="AI513" s="58"/>
      <c r="AJ513" s="58"/>
      <c r="AK513" s="58"/>
      <c r="AL513" s="58"/>
      <c r="AM513" s="58"/>
      <c r="AN513" s="58"/>
      <c r="AO513" s="58"/>
      <c r="AP513" s="58"/>
      <c r="AQ513" s="58"/>
      <c r="AR513" s="58"/>
    </row>
    <row r="514" spans="1:44" ht="15.75" customHeight="1" x14ac:dyDescent="0.25">
      <c r="A514" s="63"/>
      <c r="B514" s="62"/>
      <c r="C514" s="62"/>
      <c r="D514" s="62"/>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c r="AG514" s="58"/>
      <c r="AH514" s="58"/>
      <c r="AI514" s="58"/>
      <c r="AJ514" s="58"/>
      <c r="AK514" s="58"/>
      <c r="AL514" s="58"/>
      <c r="AM514" s="58"/>
      <c r="AN514" s="58"/>
      <c r="AO514" s="58"/>
      <c r="AP514" s="58"/>
      <c r="AQ514" s="58"/>
      <c r="AR514" s="58"/>
    </row>
    <row r="515" spans="1:44" ht="15.75" customHeight="1" x14ac:dyDescent="0.25">
      <c r="A515" s="63"/>
      <c r="B515" s="62"/>
      <c r="C515" s="62"/>
      <c r="D515" s="62"/>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c r="AI515" s="58"/>
      <c r="AJ515" s="58"/>
      <c r="AK515" s="58"/>
      <c r="AL515" s="58"/>
      <c r="AM515" s="58"/>
      <c r="AN515" s="58"/>
      <c r="AO515" s="58"/>
      <c r="AP515" s="58"/>
      <c r="AQ515" s="58"/>
      <c r="AR515" s="58"/>
    </row>
    <row r="516" spans="1:44" ht="15.75" customHeight="1" x14ac:dyDescent="0.25">
      <c r="A516" s="63"/>
      <c r="B516" s="62"/>
      <c r="C516" s="62"/>
      <c r="D516" s="62"/>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c r="AG516" s="58"/>
      <c r="AH516" s="58"/>
      <c r="AI516" s="58"/>
      <c r="AJ516" s="58"/>
      <c r="AK516" s="58"/>
      <c r="AL516" s="58"/>
      <c r="AM516" s="58"/>
      <c r="AN516" s="58"/>
      <c r="AO516" s="58"/>
      <c r="AP516" s="58"/>
      <c r="AQ516" s="58"/>
      <c r="AR516" s="58"/>
    </row>
    <row r="517" spans="1:44" ht="15.75" customHeight="1" x14ac:dyDescent="0.25">
      <c r="A517" s="63"/>
      <c r="B517" s="62"/>
      <c r="C517" s="62"/>
      <c r="D517" s="62"/>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c r="AG517" s="58"/>
      <c r="AH517" s="58"/>
      <c r="AI517" s="58"/>
      <c r="AJ517" s="58"/>
      <c r="AK517" s="58"/>
      <c r="AL517" s="58"/>
      <c r="AM517" s="58"/>
      <c r="AN517" s="58"/>
      <c r="AO517" s="58"/>
      <c r="AP517" s="58"/>
      <c r="AQ517" s="58"/>
      <c r="AR517" s="58"/>
    </row>
    <row r="518" spans="1:44" ht="15.75" customHeight="1" x14ac:dyDescent="0.25">
      <c r="A518" s="63"/>
      <c r="B518" s="62"/>
      <c r="C518" s="62"/>
      <c r="D518" s="62"/>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c r="AI518" s="58"/>
      <c r="AJ518" s="58"/>
      <c r="AK518" s="58"/>
      <c r="AL518" s="58"/>
      <c r="AM518" s="58"/>
      <c r="AN518" s="58"/>
      <c r="AO518" s="58"/>
      <c r="AP518" s="58"/>
      <c r="AQ518" s="58"/>
      <c r="AR518" s="58"/>
    </row>
    <row r="519" spans="1:44" ht="15.75" customHeight="1" x14ac:dyDescent="0.25">
      <c r="A519" s="63"/>
      <c r="B519" s="62"/>
      <c r="C519" s="62"/>
      <c r="D519" s="62"/>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c r="AG519" s="58"/>
      <c r="AH519" s="58"/>
      <c r="AI519" s="58"/>
      <c r="AJ519" s="58"/>
      <c r="AK519" s="58"/>
      <c r="AL519" s="58"/>
      <c r="AM519" s="58"/>
      <c r="AN519" s="58"/>
      <c r="AO519" s="58"/>
      <c r="AP519" s="58"/>
      <c r="AQ519" s="58"/>
      <c r="AR519" s="58"/>
    </row>
    <row r="520" spans="1:44" ht="15.75" customHeight="1" x14ac:dyDescent="0.25">
      <c r="A520" s="63"/>
      <c r="B520" s="62"/>
      <c r="C520" s="62"/>
      <c r="D520" s="62"/>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c r="AG520" s="58"/>
      <c r="AH520" s="58"/>
      <c r="AI520" s="58"/>
      <c r="AJ520" s="58"/>
      <c r="AK520" s="58"/>
      <c r="AL520" s="58"/>
      <c r="AM520" s="58"/>
      <c r="AN520" s="58"/>
      <c r="AO520" s="58"/>
      <c r="AP520" s="58"/>
      <c r="AQ520" s="58"/>
      <c r="AR520" s="58"/>
    </row>
    <row r="521" spans="1:44" ht="15.75" customHeight="1" x14ac:dyDescent="0.25">
      <c r="A521" s="63"/>
      <c r="B521" s="62"/>
      <c r="C521" s="62"/>
      <c r="D521" s="62"/>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c r="AI521" s="58"/>
      <c r="AJ521" s="58"/>
      <c r="AK521" s="58"/>
      <c r="AL521" s="58"/>
      <c r="AM521" s="58"/>
      <c r="AN521" s="58"/>
      <c r="AO521" s="58"/>
      <c r="AP521" s="58"/>
      <c r="AQ521" s="58"/>
      <c r="AR521" s="58"/>
    </row>
    <row r="522" spans="1:44" ht="15.75" customHeight="1" x14ac:dyDescent="0.25">
      <c r="A522" s="63"/>
      <c r="B522" s="62"/>
      <c r="C522" s="62"/>
      <c r="D522" s="62"/>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c r="AG522" s="58"/>
      <c r="AH522" s="58"/>
      <c r="AI522" s="58"/>
      <c r="AJ522" s="58"/>
      <c r="AK522" s="58"/>
      <c r="AL522" s="58"/>
      <c r="AM522" s="58"/>
      <c r="AN522" s="58"/>
      <c r="AO522" s="58"/>
      <c r="AP522" s="58"/>
      <c r="AQ522" s="58"/>
      <c r="AR522" s="58"/>
    </row>
    <row r="523" spans="1:44" ht="15.75" customHeight="1" x14ac:dyDescent="0.25">
      <c r="A523" s="63"/>
      <c r="B523" s="62"/>
      <c r="C523" s="62"/>
      <c r="D523" s="62"/>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c r="AG523" s="58"/>
      <c r="AH523" s="58"/>
      <c r="AI523" s="58"/>
      <c r="AJ523" s="58"/>
      <c r="AK523" s="58"/>
      <c r="AL523" s="58"/>
      <c r="AM523" s="58"/>
      <c r="AN523" s="58"/>
      <c r="AO523" s="58"/>
      <c r="AP523" s="58"/>
      <c r="AQ523" s="58"/>
      <c r="AR523" s="58"/>
    </row>
    <row r="524" spans="1:44" ht="15.75" customHeight="1" x14ac:dyDescent="0.25">
      <c r="A524" s="63"/>
      <c r="B524" s="62"/>
      <c r="C524" s="62"/>
      <c r="D524" s="62"/>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58"/>
      <c r="AK524" s="58"/>
      <c r="AL524" s="58"/>
      <c r="AM524" s="58"/>
      <c r="AN524" s="58"/>
      <c r="AO524" s="58"/>
      <c r="AP524" s="58"/>
      <c r="AQ524" s="58"/>
      <c r="AR524" s="58"/>
    </row>
    <row r="525" spans="1:44" ht="15.75" customHeight="1" x14ac:dyDescent="0.25">
      <c r="A525" s="63"/>
      <c r="B525" s="62"/>
      <c r="C525" s="62"/>
      <c r="D525" s="62"/>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c r="AG525" s="58"/>
      <c r="AH525" s="58"/>
      <c r="AI525" s="58"/>
      <c r="AJ525" s="58"/>
      <c r="AK525" s="58"/>
      <c r="AL525" s="58"/>
      <c r="AM525" s="58"/>
      <c r="AN525" s="58"/>
      <c r="AO525" s="58"/>
      <c r="AP525" s="58"/>
      <c r="AQ525" s="58"/>
      <c r="AR525" s="58"/>
    </row>
    <row r="526" spans="1:44" ht="15.75" customHeight="1" x14ac:dyDescent="0.25">
      <c r="A526" s="63"/>
      <c r="B526" s="62"/>
      <c r="C526" s="62"/>
      <c r="D526" s="62"/>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c r="AG526" s="58"/>
      <c r="AH526" s="58"/>
      <c r="AI526" s="58"/>
      <c r="AJ526" s="58"/>
      <c r="AK526" s="58"/>
      <c r="AL526" s="58"/>
      <c r="AM526" s="58"/>
      <c r="AN526" s="58"/>
      <c r="AO526" s="58"/>
      <c r="AP526" s="58"/>
      <c r="AQ526" s="58"/>
      <c r="AR526" s="58"/>
    </row>
    <row r="527" spans="1:44" ht="15.75" customHeight="1" x14ac:dyDescent="0.25">
      <c r="A527" s="63"/>
      <c r="B527" s="62"/>
      <c r="C527" s="62"/>
      <c r="D527" s="62"/>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c r="AI527" s="58"/>
      <c r="AJ527" s="58"/>
      <c r="AK527" s="58"/>
      <c r="AL527" s="58"/>
      <c r="AM527" s="58"/>
      <c r="AN527" s="58"/>
      <c r="AO527" s="58"/>
      <c r="AP527" s="58"/>
      <c r="AQ527" s="58"/>
      <c r="AR527" s="58"/>
    </row>
    <row r="528" spans="1:44" ht="15.75" customHeight="1" x14ac:dyDescent="0.25">
      <c r="A528" s="63"/>
      <c r="B528" s="62"/>
      <c r="C528" s="62"/>
      <c r="D528" s="62"/>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c r="AG528" s="58"/>
      <c r="AH528" s="58"/>
      <c r="AI528" s="58"/>
      <c r="AJ528" s="58"/>
      <c r="AK528" s="58"/>
      <c r="AL528" s="58"/>
      <c r="AM528" s="58"/>
      <c r="AN528" s="58"/>
      <c r="AO528" s="58"/>
      <c r="AP528" s="58"/>
      <c r="AQ528" s="58"/>
      <c r="AR528" s="58"/>
    </row>
    <row r="529" spans="1:44" ht="15.75" customHeight="1" x14ac:dyDescent="0.25">
      <c r="A529" s="63"/>
      <c r="B529" s="62"/>
      <c r="C529" s="62"/>
      <c r="D529" s="62"/>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c r="AG529" s="58"/>
      <c r="AH529" s="58"/>
      <c r="AI529" s="58"/>
      <c r="AJ529" s="58"/>
      <c r="AK529" s="58"/>
      <c r="AL529" s="58"/>
      <c r="AM529" s="58"/>
      <c r="AN529" s="58"/>
      <c r="AO529" s="58"/>
      <c r="AP529" s="58"/>
      <c r="AQ529" s="58"/>
      <c r="AR529" s="58"/>
    </row>
    <row r="530" spans="1:44" ht="15.75" customHeight="1" x14ac:dyDescent="0.25">
      <c r="A530" s="63"/>
      <c r="B530" s="62"/>
      <c r="C530" s="62"/>
      <c r="D530" s="62"/>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c r="AI530" s="58"/>
      <c r="AJ530" s="58"/>
      <c r="AK530" s="58"/>
      <c r="AL530" s="58"/>
      <c r="AM530" s="58"/>
      <c r="AN530" s="58"/>
      <c r="AO530" s="58"/>
      <c r="AP530" s="58"/>
      <c r="AQ530" s="58"/>
      <c r="AR530" s="58"/>
    </row>
    <row r="531" spans="1:44" ht="15.75" customHeight="1" x14ac:dyDescent="0.25">
      <c r="A531" s="63"/>
      <c r="B531" s="62"/>
      <c r="C531" s="62"/>
      <c r="D531" s="62"/>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c r="AG531" s="58"/>
      <c r="AH531" s="58"/>
      <c r="AI531" s="58"/>
      <c r="AJ531" s="58"/>
      <c r="AK531" s="58"/>
      <c r="AL531" s="58"/>
      <c r="AM531" s="58"/>
      <c r="AN531" s="58"/>
      <c r="AO531" s="58"/>
      <c r="AP531" s="58"/>
      <c r="AQ531" s="58"/>
      <c r="AR531" s="58"/>
    </row>
    <row r="532" spans="1:44" ht="15.75" customHeight="1" x14ac:dyDescent="0.25">
      <c r="A532" s="63"/>
      <c r="B532" s="62"/>
      <c r="C532" s="62"/>
      <c r="D532" s="62"/>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c r="AG532" s="58"/>
      <c r="AH532" s="58"/>
      <c r="AI532" s="58"/>
      <c r="AJ532" s="58"/>
      <c r="AK532" s="58"/>
      <c r="AL532" s="58"/>
      <c r="AM532" s="58"/>
      <c r="AN532" s="58"/>
      <c r="AO532" s="58"/>
      <c r="AP532" s="58"/>
      <c r="AQ532" s="58"/>
      <c r="AR532" s="58"/>
    </row>
    <row r="533" spans="1:44" ht="15.75" customHeight="1" x14ac:dyDescent="0.25">
      <c r="A533" s="63"/>
      <c r="B533" s="62"/>
      <c r="C533" s="62"/>
      <c r="D533" s="62"/>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c r="AI533" s="58"/>
      <c r="AJ533" s="58"/>
      <c r="AK533" s="58"/>
      <c r="AL533" s="58"/>
      <c r="AM533" s="58"/>
      <c r="AN533" s="58"/>
      <c r="AO533" s="58"/>
      <c r="AP533" s="58"/>
      <c r="AQ533" s="58"/>
      <c r="AR533" s="58"/>
    </row>
    <row r="534" spans="1:44" ht="15.75" customHeight="1" x14ac:dyDescent="0.25">
      <c r="A534" s="63"/>
      <c r="B534" s="62"/>
      <c r="C534" s="62"/>
      <c r="D534" s="62"/>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c r="AG534" s="58"/>
      <c r="AH534" s="58"/>
      <c r="AI534" s="58"/>
      <c r="AJ534" s="58"/>
      <c r="AK534" s="58"/>
      <c r="AL534" s="58"/>
      <c r="AM534" s="58"/>
      <c r="AN534" s="58"/>
      <c r="AO534" s="58"/>
      <c r="AP534" s="58"/>
      <c r="AQ534" s="58"/>
      <c r="AR534" s="58"/>
    </row>
    <row r="535" spans="1:44" ht="15.75" customHeight="1" x14ac:dyDescent="0.25">
      <c r="A535" s="63"/>
      <c r="B535" s="62"/>
      <c r="C535" s="62"/>
      <c r="D535" s="62"/>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c r="AG535" s="58"/>
      <c r="AH535" s="58"/>
      <c r="AI535" s="58"/>
      <c r="AJ535" s="58"/>
      <c r="AK535" s="58"/>
      <c r="AL535" s="58"/>
      <c r="AM535" s="58"/>
      <c r="AN535" s="58"/>
      <c r="AO535" s="58"/>
      <c r="AP535" s="58"/>
      <c r="AQ535" s="58"/>
      <c r="AR535" s="58"/>
    </row>
    <row r="536" spans="1:44" ht="15.75" customHeight="1" x14ac:dyDescent="0.25">
      <c r="A536" s="63"/>
      <c r="B536" s="62"/>
      <c r="C536" s="62"/>
      <c r="D536" s="62"/>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c r="AI536" s="58"/>
      <c r="AJ536" s="58"/>
      <c r="AK536" s="58"/>
      <c r="AL536" s="58"/>
      <c r="AM536" s="58"/>
      <c r="AN536" s="58"/>
      <c r="AO536" s="58"/>
      <c r="AP536" s="58"/>
      <c r="AQ536" s="58"/>
      <c r="AR536" s="58"/>
    </row>
    <row r="537" spans="1:44" ht="15.75" customHeight="1" x14ac:dyDescent="0.25">
      <c r="A537" s="63"/>
      <c r="B537" s="62"/>
      <c r="C537" s="62"/>
      <c r="D537" s="62"/>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c r="AE537" s="58"/>
      <c r="AF537" s="58"/>
      <c r="AG537" s="58"/>
      <c r="AH537" s="58"/>
      <c r="AI537" s="58"/>
      <c r="AJ537" s="58"/>
      <c r="AK537" s="58"/>
      <c r="AL537" s="58"/>
      <c r="AM537" s="58"/>
      <c r="AN537" s="58"/>
      <c r="AO537" s="58"/>
      <c r="AP537" s="58"/>
      <c r="AQ537" s="58"/>
      <c r="AR537" s="58"/>
    </row>
    <row r="538" spans="1:44" ht="15.75" customHeight="1" x14ac:dyDescent="0.25">
      <c r="A538" s="63"/>
      <c r="B538" s="62"/>
      <c r="C538" s="62"/>
      <c r="D538" s="62"/>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c r="AE538" s="58"/>
      <c r="AF538" s="58"/>
      <c r="AG538" s="58"/>
      <c r="AH538" s="58"/>
      <c r="AI538" s="58"/>
      <c r="AJ538" s="58"/>
      <c r="AK538" s="58"/>
      <c r="AL538" s="58"/>
      <c r="AM538" s="58"/>
      <c r="AN538" s="58"/>
      <c r="AO538" s="58"/>
      <c r="AP538" s="58"/>
      <c r="AQ538" s="58"/>
      <c r="AR538" s="58"/>
    </row>
    <row r="539" spans="1:44" ht="15.75" customHeight="1" x14ac:dyDescent="0.25">
      <c r="A539" s="63"/>
      <c r="B539" s="62"/>
      <c r="C539" s="62"/>
      <c r="D539" s="62"/>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c r="AE539" s="58"/>
      <c r="AF539" s="58"/>
      <c r="AG539" s="58"/>
      <c r="AH539" s="58"/>
      <c r="AI539" s="58"/>
      <c r="AJ539" s="58"/>
      <c r="AK539" s="58"/>
      <c r="AL539" s="58"/>
      <c r="AM539" s="58"/>
      <c r="AN539" s="58"/>
      <c r="AO539" s="58"/>
      <c r="AP539" s="58"/>
      <c r="AQ539" s="58"/>
      <c r="AR539" s="58"/>
    </row>
    <row r="540" spans="1:44" ht="15.75" customHeight="1" x14ac:dyDescent="0.25">
      <c r="A540" s="63"/>
      <c r="B540" s="62"/>
      <c r="C540" s="62"/>
      <c r="D540" s="62"/>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c r="AE540" s="58"/>
      <c r="AF540" s="58"/>
      <c r="AG540" s="58"/>
      <c r="AH540" s="58"/>
      <c r="AI540" s="58"/>
      <c r="AJ540" s="58"/>
      <c r="AK540" s="58"/>
      <c r="AL540" s="58"/>
      <c r="AM540" s="58"/>
      <c r="AN540" s="58"/>
      <c r="AO540" s="58"/>
      <c r="AP540" s="58"/>
      <c r="AQ540" s="58"/>
      <c r="AR540" s="58"/>
    </row>
    <row r="541" spans="1:44" ht="15.75" customHeight="1" x14ac:dyDescent="0.25">
      <c r="A541" s="63"/>
      <c r="B541" s="62"/>
      <c r="C541" s="62"/>
      <c r="D541" s="62"/>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c r="AE541" s="58"/>
      <c r="AF541" s="58"/>
      <c r="AG541" s="58"/>
      <c r="AH541" s="58"/>
      <c r="AI541" s="58"/>
      <c r="AJ541" s="58"/>
      <c r="AK541" s="58"/>
      <c r="AL541" s="58"/>
      <c r="AM541" s="58"/>
      <c r="AN541" s="58"/>
      <c r="AO541" s="58"/>
      <c r="AP541" s="58"/>
      <c r="AQ541" s="58"/>
      <c r="AR541" s="58"/>
    </row>
    <row r="542" spans="1:44" ht="15.75" customHeight="1" x14ac:dyDescent="0.25">
      <c r="A542" s="63"/>
      <c r="B542" s="62"/>
      <c r="C542" s="62"/>
      <c r="D542" s="62"/>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c r="AE542" s="58"/>
      <c r="AF542" s="58"/>
      <c r="AG542" s="58"/>
      <c r="AH542" s="58"/>
      <c r="AI542" s="58"/>
      <c r="AJ542" s="58"/>
      <c r="AK542" s="58"/>
      <c r="AL542" s="58"/>
      <c r="AM542" s="58"/>
      <c r="AN542" s="58"/>
      <c r="AO542" s="58"/>
      <c r="AP542" s="58"/>
      <c r="AQ542" s="58"/>
      <c r="AR542" s="58"/>
    </row>
    <row r="543" spans="1:44" ht="15.75" customHeight="1" x14ac:dyDescent="0.25">
      <c r="A543" s="63"/>
      <c r="B543" s="62"/>
      <c r="C543" s="62"/>
      <c r="D543" s="62"/>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c r="AE543" s="58"/>
      <c r="AF543" s="58"/>
      <c r="AG543" s="58"/>
      <c r="AH543" s="58"/>
      <c r="AI543" s="58"/>
      <c r="AJ543" s="58"/>
      <c r="AK543" s="58"/>
      <c r="AL543" s="58"/>
      <c r="AM543" s="58"/>
      <c r="AN543" s="58"/>
      <c r="AO543" s="58"/>
      <c r="AP543" s="58"/>
      <c r="AQ543" s="58"/>
      <c r="AR543" s="58"/>
    </row>
    <row r="544" spans="1:44" ht="15.75" customHeight="1" x14ac:dyDescent="0.25">
      <c r="A544" s="63"/>
      <c r="B544" s="62"/>
      <c r="C544" s="62"/>
      <c r="D544" s="62"/>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c r="AE544" s="58"/>
      <c r="AF544" s="58"/>
      <c r="AG544" s="58"/>
      <c r="AH544" s="58"/>
      <c r="AI544" s="58"/>
      <c r="AJ544" s="58"/>
      <c r="AK544" s="58"/>
      <c r="AL544" s="58"/>
      <c r="AM544" s="58"/>
      <c r="AN544" s="58"/>
      <c r="AO544" s="58"/>
      <c r="AP544" s="58"/>
      <c r="AQ544" s="58"/>
      <c r="AR544" s="58"/>
    </row>
    <row r="545" spans="1:44" ht="15.75" customHeight="1" x14ac:dyDescent="0.25">
      <c r="A545" s="63"/>
      <c r="B545" s="62"/>
      <c r="C545" s="62"/>
      <c r="D545" s="62"/>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c r="AE545" s="58"/>
      <c r="AF545" s="58"/>
      <c r="AG545" s="58"/>
      <c r="AH545" s="58"/>
      <c r="AI545" s="58"/>
      <c r="AJ545" s="58"/>
      <c r="AK545" s="58"/>
      <c r="AL545" s="58"/>
      <c r="AM545" s="58"/>
      <c r="AN545" s="58"/>
      <c r="AO545" s="58"/>
      <c r="AP545" s="58"/>
      <c r="AQ545" s="58"/>
      <c r="AR545" s="58"/>
    </row>
    <row r="546" spans="1:44" ht="15.75" customHeight="1" x14ac:dyDescent="0.25">
      <c r="A546" s="63"/>
      <c r="B546" s="62"/>
      <c r="C546" s="62"/>
      <c r="D546" s="62"/>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c r="AE546" s="58"/>
      <c r="AF546" s="58"/>
      <c r="AG546" s="58"/>
      <c r="AH546" s="58"/>
      <c r="AI546" s="58"/>
      <c r="AJ546" s="58"/>
      <c r="AK546" s="58"/>
      <c r="AL546" s="58"/>
      <c r="AM546" s="58"/>
      <c r="AN546" s="58"/>
      <c r="AO546" s="58"/>
      <c r="AP546" s="58"/>
      <c r="AQ546" s="58"/>
      <c r="AR546" s="58"/>
    </row>
    <row r="547" spans="1:44" ht="15.75" customHeight="1" x14ac:dyDescent="0.25">
      <c r="A547" s="63"/>
      <c r="B547" s="62"/>
      <c r="C547" s="62"/>
      <c r="D547" s="62"/>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c r="AE547" s="58"/>
      <c r="AF547" s="58"/>
      <c r="AG547" s="58"/>
      <c r="AH547" s="58"/>
      <c r="AI547" s="58"/>
      <c r="AJ547" s="58"/>
      <c r="AK547" s="58"/>
      <c r="AL547" s="58"/>
      <c r="AM547" s="58"/>
      <c r="AN547" s="58"/>
      <c r="AO547" s="58"/>
      <c r="AP547" s="58"/>
      <c r="AQ547" s="58"/>
      <c r="AR547" s="58"/>
    </row>
    <row r="548" spans="1:44" ht="15.75" customHeight="1" x14ac:dyDescent="0.25">
      <c r="A548" s="63"/>
      <c r="B548" s="62"/>
      <c r="C548" s="62"/>
      <c r="D548" s="62"/>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c r="AE548" s="58"/>
      <c r="AF548" s="58"/>
      <c r="AG548" s="58"/>
      <c r="AH548" s="58"/>
      <c r="AI548" s="58"/>
      <c r="AJ548" s="58"/>
      <c r="AK548" s="58"/>
      <c r="AL548" s="58"/>
      <c r="AM548" s="58"/>
      <c r="AN548" s="58"/>
      <c r="AO548" s="58"/>
      <c r="AP548" s="58"/>
      <c r="AQ548" s="58"/>
      <c r="AR548" s="58"/>
    </row>
    <row r="549" spans="1:44" ht="15.75" customHeight="1" x14ac:dyDescent="0.25">
      <c r="A549" s="63"/>
      <c r="B549" s="62"/>
      <c r="C549" s="62"/>
      <c r="D549" s="62"/>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c r="AE549" s="58"/>
      <c r="AF549" s="58"/>
      <c r="AG549" s="58"/>
      <c r="AH549" s="58"/>
      <c r="AI549" s="58"/>
      <c r="AJ549" s="58"/>
      <c r="AK549" s="58"/>
      <c r="AL549" s="58"/>
      <c r="AM549" s="58"/>
      <c r="AN549" s="58"/>
      <c r="AO549" s="58"/>
      <c r="AP549" s="58"/>
      <c r="AQ549" s="58"/>
      <c r="AR549" s="58"/>
    </row>
    <row r="550" spans="1:44" ht="15.75" customHeight="1" x14ac:dyDescent="0.25">
      <c r="A550" s="63"/>
      <c r="B550" s="62"/>
      <c r="C550" s="62"/>
      <c r="D550" s="62"/>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c r="AE550" s="58"/>
      <c r="AF550" s="58"/>
      <c r="AG550" s="58"/>
      <c r="AH550" s="58"/>
      <c r="AI550" s="58"/>
      <c r="AJ550" s="58"/>
      <c r="AK550" s="58"/>
      <c r="AL550" s="58"/>
      <c r="AM550" s="58"/>
      <c r="AN550" s="58"/>
      <c r="AO550" s="58"/>
      <c r="AP550" s="58"/>
      <c r="AQ550" s="58"/>
      <c r="AR550" s="58"/>
    </row>
    <row r="551" spans="1:44" ht="15.75" customHeight="1" x14ac:dyDescent="0.25">
      <c r="A551" s="63"/>
      <c r="B551" s="62"/>
      <c r="C551" s="62"/>
      <c r="D551" s="62"/>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c r="AE551" s="58"/>
      <c r="AF551" s="58"/>
      <c r="AG551" s="58"/>
      <c r="AH551" s="58"/>
      <c r="AI551" s="58"/>
      <c r="AJ551" s="58"/>
      <c r="AK551" s="58"/>
      <c r="AL551" s="58"/>
      <c r="AM551" s="58"/>
      <c r="AN551" s="58"/>
      <c r="AO551" s="58"/>
      <c r="AP551" s="58"/>
      <c r="AQ551" s="58"/>
      <c r="AR551" s="58"/>
    </row>
    <row r="552" spans="1:44" ht="15.75" customHeight="1" x14ac:dyDescent="0.25">
      <c r="A552" s="63"/>
      <c r="B552" s="62"/>
      <c r="C552" s="62"/>
      <c r="D552" s="62"/>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c r="AE552" s="58"/>
      <c r="AF552" s="58"/>
      <c r="AG552" s="58"/>
      <c r="AH552" s="58"/>
      <c r="AI552" s="58"/>
      <c r="AJ552" s="58"/>
      <c r="AK552" s="58"/>
      <c r="AL552" s="58"/>
      <c r="AM552" s="58"/>
      <c r="AN552" s="58"/>
      <c r="AO552" s="58"/>
      <c r="AP552" s="58"/>
      <c r="AQ552" s="58"/>
      <c r="AR552" s="58"/>
    </row>
    <row r="553" spans="1:44" ht="15.75" customHeight="1" x14ac:dyDescent="0.25">
      <c r="A553" s="63"/>
      <c r="B553" s="62"/>
      <c r="C553" s="62"/>
      <c r="D553" s="62"/>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c r="AE553" s="58"/>
      <c r="AF553" s="58"/>
      <c r="AG553" s="58"/>
      <c r="AH553" s="58"/>
      <c r="AI553" s="58"/>
      <c r="AJ553" s="58"/>
      <c r="AK553" s="58"/>
      <c r="AL553" s="58"/>
      <c r="AM553" s="58"/>
      <c r="AN553" s="58"/>
      <c r="AO553" s="58"/>
      <c r="AP553" s="58"/>
      <c r="AQ553" s="58"/>
      <c r="AR553" s="58"/>
    </row>
    <row r="554" spans="1:44" ht="15.75" customHeight="1" x14ac:dyDescent="0.25">
      <c r="A554" s="63"/>
      <c r="B554" s="62"/>
      <c r="C554" s="62"/>
      <c r="D554" s="62"/>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c r="AE554" s="58"/>
      <c r="AF554" s="58"/>
      <c r="AG554" s="58"/>
      <c r="AH554" s="58"/>
      <c r="AI554" s="58"/>
      <c r="AJ554" s="58"/>
      <c r="AK554" s="58"/>
      <c r="AL554" s="58"/>
      <c r="AM554" s="58"/>
      <c r="AN554" s="58"/>
      <c r="AO554" s="58"/>
      <c r="AP554" s="58"/>
      <c r="AQ554" s="58"/>
      <c r="AR554" s="58"/>
    </row>
    <row r="555" spans="1:44" ht="15.75" customHeight="1" x14ac:dyDescent="0.25">
      <c r="A555" s="63"/>
      <c r="B555" s="62"/>
      <c r="C555" s="62"/>
      <c r="D555" s="62"/>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c r="AE555" s="58"/>
      <c r="AF555" s="58"/>
      <c r="AG555" s="58"/>
      <c r="AH555" s="58"/>
      <c r="AI555" s="58"/>
      <c r="AJ555" s="58"/>
      <c r="AK555" s="58"/>
      <c r="AL555" s="58"/>
      <c r="AM555" s="58"/>
      <c r="AN555" s="58"/>
      <c r="AO555" s="58"/>
      <c r="AP555" s="58"/>
      <c r="AQ555" s="58"/>
      <c r="AR555" s="58"/>
    </row>
    <row r="556" spans="1:44" ht="15.75" customHeight="1" x14ac:dyDescent="0.25">
      <c r="A556" s="63"/>
      <c r="B556" s="62"/>
      <c r="C556" s="62"/>
      <c r="D556" s="62"/>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c r="AG556" s="58"/>
      <c r="AH556" s="58"/>
      <c r="AI556" s="58"/>
      <c r="AJ556" s="58"/>
      <c r="AK556" s="58"/>
      <c r="AL556" s="58"/>
      <c r="AM556" s="58"/>
      <c r="AN556" s="58"/>
      <c r="AO556" s="58"/>
      <c r="AP556" s="58"/>
      <c r="AQ556" s="58"/>
      <c r="AR556" s="58"/>
    </row>
    <row r="557" spans="1:44" ht="15.75" customHeight="1" x14ac:dyDescent="0.25">
      <c r="A557" s="63"/>
      <c r="B557" s="62"/>
      <c r="C557" s="62"/>
      <c r="D557" s="62"/>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c r="AE557" s="58"/>
      <c r="AF557" s="58"/>
      <c r="AG557" s="58"/>
      <c r="AH557" s="58"/>
      <c r="AI557" s="58"/>
      <c r="AJ557" s="58"/>
      <c r="AK557" s="58"/>
      <c r="AL557" s="58"/>
      <c r="AM557" s="58"/>
      <c r="AN557" s="58"/>
      <c r="AO557" s="58"/>
      <c r="AP557" s="58"/>
      <c r="AQ557" s="58"/>
      <c r="AR557" s="58"/>
    </row>
    <row r="558" spans="1:44" ht="15.75" customHeight="1" x14ac:dyDescent="0.25">
      <c r="A558" s="63"/>
      <c r="B558" s="62"/>
      <c r="C558" s="62"/>
      <c r="D558" s="62"/>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c r="AE558" s="58"/>
      <c r="AF558" s="58"/>
      <c r="AG558" s="58"/>
      <c r="AH558" s="58"/>
      <c r="AI558" s="58"/>
      <c r="AJ558" s="58"/>
      <c r="AK558" s="58"/>
      <c r="AL558" s="58"/>
      <c r="AM558" s="58"/>
      <c r="AN558" s="58"/>
      <c r="AO558" s="58"/>
      <c r="AP558" s="58"/>
      <c r="AQ558" s="58"/>
      <c r="AR558" s="58"/>
    </row>
    <row r="559" spans="1:44" ht="15.75" customHeight="1" x14ac:dyDescent="0.25">
      <c r="A559" s="63"/>
      <c r="B559" s="62"/>
      <c r="C559" s="62"/>
      <c r="D559" s="62"/>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c r="AE559" s="58"/>
      <c r="AF559" s="58"/>
      <c r="AG559" s="58"/>
      <c r="AH559" s="58"/>
      <c r="AI559" s="58"/>
      <c r="AJ559" s="58"/>
      <c r="AK559" s="58"/>
      <c r="AL559" s="58"/>
      <c r="AM559" s="58"/>
      <c r="AN559" s="58"/>
      <c r="AO559" s="58"/>
      <c r="AP559" s="58"/>
      <c r="AQ559" s="58"/>
      <c r="AR559" s="58"/>
    </row>
    <row r="560" spans="1:44" ht="15.75" customHeight="1" x14ac:dyDescent="0.25">
      <c r="A560" s="63"/>
      <c r="B560" s="62"/>
      <c r="C560" s="62"/>
      <c r="D560" s="62"/>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c r="AE560" s="58"/>
      <c r="AF560" s="58"/>
      <c r="AG560" s="58"/>
      <c r="AH560" s="58"/>
      <c r="AI560" s="58"/>
      <c r="AJ560" s="58"/>
      <c r="AK560" s="58"/>
      <c r="AL560" s="58"/>
      <c r="AM560" s="58"/>
      <c r="AN560" s="58"/>
      <c r="AO560" s="58"/>
      <c r="AP560" s="58"/>
      <c r="AQ560" s="58"/>
      <c r="AR560" s="58"/>
    </row>
    <row r="561" spans="1:44" ht="15.75" customHeight="1" x14ac:dyDescent="0.25">
      <c r="A561" s="63"/>
      <c r="B561" s="62"/>
      <c r="C561" s="62"/>
      <c r="D561" s="62"/>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c r="AE561" s="58"/>
      <c r="AF561" s="58"/>
      <c r="AG561" s="58"/>
      <c r="AH561" s="58"/>
      <c r="AI561" s="58"/>
      <c r="AJ561" s="58"/>
      <c r="AK561" s="58"/>
      <c r="AL561" s="58"/>
      <c r="AM561" s="58"/>
      <c r="AN561" s="58"/>
      <c r="AO561" s="58"/>
      <c r="AP561" s="58"/>
      <c r="AQ561" s="58"/>
      <c r="AR561" s="58"/>
    </row>
    <row r="562" spans="1:44" ht="15.75" customHeight="1" x14ac:dyDescent="0.25">
      <c r="A562" s="63"/>
      <c r="B562" s="62"/>
      <c r="C562" s="62"/>
      <c r="D562" s="62"/>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c r="AE562" s="58"/>
      <c r="AF562" s="58"/>
      <c r="AG562" s="58"/>
      <c r="AH562" s="58"/>
      <c r="AI562" s="58"/>
      <c r="AJ562" s="58"/>
      <c r="AK562" s="58"/>
      <c r="AL562" s="58"/>
      <c r="AM562" s="58"/>
      <c r="AN562" s="58"/>
      <c r="AO562" s="58"/>
      <c r="AP562" s="58"/>
      <c r="AQ562" s="58"/>
      <c r="AR562" s="58"/>
    </row>
    <row r="563" spans="1:44" ht="15.75" customHeight="1" x14ac:dyDescent="0.25">
      <c r="A563" s="63"/>
      <c r="B563" s="62"/>
      <c r="C563" s="62"/>
      <c r="D563" s="62"/>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c r="AE563" s="58"/>
      <c r="AF563" s="58"/>
      <c r="AG563" s="58"/>
      <c r="AH563" s="58"/>
      <c r="AI563" s="58"/>
      <c r="AJ563" s="58"/>
      <c r="AK563" s="58"/>
      <c r="AL563" s="58"/>
      <c r="AM563" s="58"/>
      <c r="AN563" s="58"/>
      <c r="AO563" s="58"/>
      <c r="AP563" s="58"/>
      <c r="AQ563" s="58"/>
      <c r="AR563" s="58"/>
    </row>
    <row r="564" spans="1:44" ht="15.75" customHeight="1" x14ac:dyDescent="0.25">
      <c r="A564" s="63"/>
      <c r="B564" s="62"/>
      <c r="C564" s="62"/>
      <c r="D564" s="62"/>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c r="AE564" s="58"/>
      <c r="AF564" s="58"/>
      <c r="AG564" s="58"/>
      <c r="AH564" s="58"/>
      <c r="AI564" s="58"/>
      <c r="AJ564" s="58"/>
      <c r="AK564" s="58"/>
      <c r="AL564" s="58"/>
      <c r="AM564" s="58"/>
      <c r="AN564" s="58"/>
      <c r="AO564" s="58"/>
      <c r="AP564" s="58"/>
      <c r="AQ564" s="58"/>
      <c r="AR564" s="58"/>
    </row>
    <row r="565" spans="1:44" ht="15.75" customHeight="1" x14ac:dyDescent="0.25">
      <c r="A565" s="63"/>
      <c r="B565" s="62"/>
      <c r="C565" s="62"/>
      <c r="D565" s="62"/>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c r="AE565" s="58"/>
      <c r="AF565" s="58"/>
      <c r="AG565" s="58"/>
      <c r="AH565" s="58"/>
      <c r="AI565" s="58"/>
      <c r="AJ565" s="58"/>
      <c r="AK565" s="58"/>
      <c r="AL565" s="58"/>
      <c r="AM565" s="58"/>
      <c r="AN565" s="58"/>
      <c r="AO565" s="58"/>
      <c r="AP565" s="58"/>
      <c r="AQ565" s="58"/>
      <c r="AR565" s="58"/>
    </row>
    <row r="566" spans="1:44" ht="15.75" customHeight="1" x14ac:dyDescent="0.25">
      <c r="A566" s="63"/>
      <c r="B566" s="62"/>
      <c r="C566" s="62"/>
      <c r="D566" s="62"/>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c r="AE566" s="58"/>
      <c r="AF566" s="58"/>
      <c r="AG566" s="58"/>
      <c r="AH566" s="58"/>
      <c r="AI566" s="58"/>
      <c r="AJ566" s="58"/>
      <c r="AK566" s="58"/>
      <c r="AL566" s="58"/>
      <c r="AM566" s="58"/>
      <c r="AN566" s="58"/>
      <c r="AO566" s="58"/>
      <c r="AP566" s="58"/>
      <c r="AQ566" s="58"/>
      <c r="AR566" s="58"/>
    </row>
    <row r="567" spans="1:44" ht="15.75" customHeight="1" x14ac:dyDescent="0.25">
      <c r="A567" s="63"/>
      <c r="B567" s="62"/>
      <c r="C567" s="62"/>
      <c r="D567" s="62"/>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c r="AE567" s="58"/>
      <c r="AF567" s="58"/>
      <c r="AG567" s="58"/>
      <c r="AH567" s="58"/>
      <c r="AI567" s="58"/>
      <c r="AJ567" s="58"/>
      <c r="AK567" s="58"/>
      <c r="AL567" s="58"/>
      <c r="AM567" s="58"/>
      <c r="AN567" s="58"/>
      <c r="AO567" s="58"/>
      <c r="AP567" s="58"/>
      <c r="AQ567" s="58"/>
      <c r="AR567" s="58"/>
    </row>
    <row r="568" spans="1:44" ht="15.75" customHeight="1" x14ac:dyDescent="0.25">
      <c r="A568" s="63"/>
      <c r="B568" s="62"/>
      <c r="C568" s="62"/>
      <c r="D568" s="62"/>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c r="AE568" s="58"/>
      <c r="AF568" s="58"/>
      <c r="AG568" s="58"/>
      <c r="AH568" s="58"/>
      <c r="AI568" s="58"/>
      <c r="AJ568" s="58"/>
      <c r="AK568" s="58"/>
      <c r="AL568" s="58"/>
      <c r="AM568" s="58"/>
      <c r="AN568" s="58"/>
      <c r="AO568" s="58"/>
      <c r="AP568" s="58"/>
      <c r="AQ568" s="58"/>
      <c r="AR568" s="58"/>
    </row>
    <row r="569" spans="1:44" ht="15.75" customHeight="1" x14ac:dyDescent="0.25">
      <c r="A569" s="63"/>
      <c r="B569" s="62"/>
      <c r="C569" s="62"/>
      <c r="D569" s="62"/>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c r="AE569" s="58"/>
      <c r="AF569" s="58"/>
      <c r="AG569" s="58"/>
      <c r="AH569" s="58"/>
      <c r="AI569" s="58"/>
      <c r="AJ569" s="58"/>
      <c r="AK569" s="58"/>
      <c r="AL569" s="58"/>
      <c r="AM569" s="58"/>
      <c r="AN569" s="58"/>
      <c r="AO569" s="58"/>
      <c r="AP569" s="58"/>
      <c r="AQ569" s="58"/>
      <c r="AR569" s="58"/>
    </row>
    <row r="570" spans="1:44" ht="15.75" customHeight="1" x14ac:dyDescent="0.25">
      <c r="A570" s="63"/>
      <c r="B570" s="62"/>
      <c r="C570" s="62"/>
      <c r="D570" s="62"/>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c r="AE570" s="58"/>
      <c r="AF570" s="58"/>
      <c r="AG570" s="58"/>
      <c r="AH570" s="58"/>
      <c r="AI570" s="58"/>
      <c r="AJ570" s="58"/>
      <c r="AK570" s="58"/>
      <c r="AL570" s="58"/>
      <c r="AM570" s="58"/>
      <c r="AN570" s="58"/>
      <c r="AO570" s="58"/>
      <c r="AP570" s="58"/>
      <c r="AQ570" s="58"/>
      <c r="AR570" s="58"/>
    </row>
    <row r="571" spans="1:44" ht="15.75" customHeight="1" x14ac:dyDescent="0.25">
      <c r="A571" s="63"/>
      <c r="B571" s="62"/>
      <c r="C571" s="62"/>
      <c r="D571" s="62"/>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c r="AE571" s="58"/>
      <c r="AF571" s="58"/>
      <c r="AG571" s="58"/>
      <c r="AH571" s="58"/>
      <c r="AI571" s="58"/>
      <c r="AJ571" s="58"/>
      <c r="AK571" s="58"/>
      <c r="AL571" s="58"/>
      <c r="AM571" s="58"/>
      <c r="AN571" s="58"/>
      <c r="AO571" s="58"/>
      <c r="AP571" s="58"/>
      <c r="AQ571" s="58"/>
      <c r="AR571" s="58"/>
    </row>
    <row r="572" spans="1:44" ht="15.75" customHeight="1" x14ac:dyDescent="0.25">
      <c r="A572" s="63"/>
      <c r="B572" s="62"/>
      <c r="C572" s="62"/>
      <c r="D572" s="62"/>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c r="AE572" s="58"/>
      <c r="AF572" s="58"/>
      <c r="AG572" s="58"/>
      <c r="AH572" s="58"/>
      <c r="AI572" s="58"/>
      <c r="AJ572" s="58"/>
      <c r="AK572" s="58"/>
      <c r="AL572" s="58"/>
      <c r="AM572" s="58"/>
      <c r="AN572" s="58"/>
      <c r="AO572" s="58"/>
      <c r="AP572" s="58"/>
      <c r="AQ572" s="58"/>
      <c r="AR572" s="58"/>
    </row>
    <row r="573" spans="1:44" ht="15.75" customHeight="1" x14ac:dyDescent="0.25">
      <c r="A573" s="63"/>
      <c r="B573" s="62"/>
      <c r="C573" s="62"/>
      <c r="D573" s="62"/>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c r="AE573" s="58"/>
      <c r="AF573" s="58"/>
      <c r="AG573" s="58"/>
      <c r="AH573" s="58"/>
      <c r="AI573" s="58"/>
      <c r="AJ573" s="58"/>
      <c r="AK573" s="58"/>
      <c r="AL573" s="58"/>
      <c r="AM573" s="58"/>
      <c r="AN573" s="58"/>
      <c r="AO573" s="58"/>
      <c r="AP573" s="58"/>
      <c r="AQ573" s="58"/>
      <c r="AR573" s="58"/>
    </row>
    <row r="574" spans="1:44" ht="15.75" customHeight="1" x14ac:dyDescent="0.25">
      <c r="A574" s="63"/>
      <c r="B574" s="62"/>
      <c r="C574" s="62"/>
      <c r="D574" s="62"/>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c r="AE574" s="58"/>
      <c r="AF574" s="58"/>
      <c r="AG574" s="58"/>
      <c r="AH574" s="58"/>
      <c r="AI574" s="58"/>
      <c r="AJ574" s="58"/>
      <c r="AK574" s="58"/>
      <c r="AL574" s="58"/>
      <c r="AM574" s="58"/>
      <c r="AN574" s="58"/>
      <c r="AO574" s="58"/>
      <c r="AP574" s="58"/>
      <c r="AQ574" s="58"/>
      <c r="AR574" s="58"/>
    </row>
    <row r="575" spans="1:44" ht="15.75" customHeight="1" x14ac:dyDescent="0.25">
      <c r="A575" s="63"/>
      <c r="B575" s="62"/>
      <c r="C575" s="62"/>
      <c r="D575" s="62"/>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c r="AE575" s="58"/>
      <c r="AF575" s="58"/>
      <c r="AG575" s="58"/>
      <c r="AH575" s="58"/>
      <c r="AI575" s="58"/>
      <c r="AJ575" s="58"/>
      <c r="AK575" s="58"/>
      <c r="AL575" s="58"/>
      <c r="AM575" s="58"/>
      <c r="AN575" s="58"/>
      <c r="AO575" s="58"/>
      <c r="AP575" s="58"/>
      <c r="AQ575" s="58"/>
      <c r="AR575" s="58"/>
    </row>
    <row r="576" spans="1:44" ht="15.75" customHeight="1" x14ac:dyDescent="0.25">
      <c r="A576" s="63"/>
      <c r="B576" s="62"/>
      <c r="C576" s="62"/>
      <c r="D576" s="62"/>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c r="AE576" s="58"/>
      <c r="AF576" s="58"/>
      <c r="AG576" s="58"/>
      <c r="AH576" s="58"/>
      <c r="AI576" s="58"/>
      <c r="AJ576" s="58"/>
      <c r="AK576" s="58"/>
      <c r="AL576" s="58"/>
      <c r="AM576" s="58"/>
      <c r="AN576" s="58"/>
      <c r="AO576" s="58"/>
      <c r="AP576" s="58"/>
      <c r="AQ576" s="58"/>
      <c r="AR576" s="58"/>
    </row>
    <row r="577" spans="1:44" ht="15.75" customHeight="1" x14ac:dyDescent="0.25">
      <c r="A577" s="63"/>
      <c r="B577" s="62"/>
      <c r="C577" s="62"/>
      <c r="D577" s="62"/>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c r="AE577" s="58"/>
      <c r="AF577" s="58"/>
      <c r="AG577" s="58"/>
      <c r="AH577" s="58"/>
      <c r="AI577" s="58"/>
      <c r="AJ577" s="58"/>
      <c r="AK577" s="58"/>
      <c r="AL577" s="58"/>
      <c r="AM577" s="58"/>
      <c r="AN577" s="58"/>
      <c r="AO577" s="58"/>
      <c r="AP577" s="58"/>
      <c r="AQ577" s="58"/>
      <c r="AR577" s="58"/>
    </row>
    <row r="578" spans="1:44" ht="15.75" customHeight="1" x14ac:dyDescent="0.25">
      <c r="A578" s="63"/>
      <c r="B578" s="62"/>
      <c r="C578" s="62"/>
      <c r="D578" s="62"/>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c r="AE578" s="58"/>
      <c r="AF578" s="58"/>
      <c r="AG578" s="58"/>
      <c r="AH578" s="58"/>
      <c r="AI578" s="58"/>
      <c r="AJ578" s="58"/>
      <c r="AK578" s="58"/>
      <c r="AL578" s="58"/>
      <c r="AM578" s="58"/>
      <c r="AN578" s="58"/>
      <c r="AO578" s="58"/>
      <c r="AP578" s="58"/>
      <c r="AQ578" s="58"/>
      <c r="AR578" s="58"/>
    </row>
    <row r="579" spans="1:44" ht="15.75" customHeight="1" x14ac:dyDescent="0.25">
      <c r="A579" s="63"/>
      <c r="B579" s="62"/>
      <c r="C579" s="62"/>
      <c r="D579" s="62"/>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c r="AE579" s="58"/>
      <c r="AF579" s="58"/>
      <c r="AG579" s="58"/>
      <c r="AH579" s="58"/>
      <c r="AI579" s="58"/>
      <c r="AJ579" s="58"/>
      <c r="AK579" s="58"/>
      <c r="AL579" s="58"/>
      <c r="AM579" s="58"/>
      <c r="AN579" s="58"/>
      <c r="AO579" s="58"/>
      <c r="AP579" s="58"/>
      <c r="AQ579" s="58"/>
      <c r="AR579" s="58"/>
    </row>
    <row r="580" spans="1:44" ht="15.75" customHeight="1" x14ac:dyDescent="0.25">
      <c r="A580" s="63"/>
      <c r="B580" s="62"/>
      <c r="C580" s="62"/>
      <c r="D580" s="62"/>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c r="AE580" s="58"/>
      <c r="AF580" s="58"/>
      <c r="AG580" s="58"/>
      <c r="AH580" s="58"/>
      <c r="AI580" s="58"/>
      <c r="AJ580" s="58"/>
      <c r="AK580" s="58"/>
      <c r="AL580" s="58"/>
      <c r="AM580" s="58"/>
      <c r="AN580" s="58"/>
      <c r="AO580" s="58"/>
      <c r="AP580" s="58"/>
      <c r="AQ580" s="58"/>
      <c r="AR580" s="58"/>
    </row>
    <row r="581" spans="1:44" ht="15.75" customHeight="1" x14ac:dyDescent="0.25">
      <c r="A581" s="63"/>
      <c r="B581" s="62"/>
      <c r="C581" s="62"/>
      <c r="D581" s="62"/>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c r="AE581" s="58"/>
      <c r="AF581" s="58"/>
      <c r="AG581" s="58"/>
      <c r="AH581" s="58"/>
      <c r="AI581" s="58"/>
      <c r="AJ581" s="58"/>
      <c r="AK581" s="58"/>
      <c r="AL581" s="58"/>
      <c r="AM581" s="58"/>
      <c r="AN581" s="58"/>
      <c r="AO581" s="58"/>
      <c r="AP581" s="58"/>
      <c r="AQ581" s="58"/>
      <c r="AR581" s="58"/>
    </row>
    <row r="582" spans="1:44" ht="15.75" customHeight="1" x14ac:dyDescent="0.25">
      <c r="A582" s="63"/>
      <c r="B582" s="62"/>
      <c r="C582" s="62"/>
      <c r="D582" s="62"/>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c r="AE582" s="58"/>
      <c r="AF582" s="58"/>
      <c r="AG582" s="58"/>
      <c r="AH582" s="58"/>
      <c r="AI582" s="58"/>
      <c r="AJ582" s="58"/>
      <c r="AK582" s="58"/>
      <c r="AL582" s="58"/>
      <c r="AM582" s="58"/>
      <c r="AN582" s="58"/>
      <c r="AO582" s="58"/>
      <c r="AP582" s="58"/>
      <c r="AQ582" s="58"/>
      <c r="AR582" s="58"/>
    </row>
    <row r="583" spans="1:44" ht="15.75" customHeight="1" x14ac:dyDescent="0.25">
      <c r="A583" s="63"/>
      <c r="B583" s="62"/>
      <c r="C583" s="62"/>
      <c r="D583" s="62"/>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c r="AE583" s="58"/>
      <c r="AF583" s="58"/>
      <c r="AG583" s="58"/>
      <c r="AH583" s="58"/>
      <c r="AI583" s="58"/>
      <c r="AJ583" s="58"/>
      <c r="AK583" s="58"/>
      <c r="AL583" s="58"/>
      <c r="AM583" s="58"/>
      <c r="AN583" s="58"/>
      <c r="AO583" s="58"/>
      <c r="AP583" s="58"/>
      <c r="AQ583" s="58"/>
      <c r="AR583" s="58"/>
    </row>
    <row r="584" spans="1:44" ht="15.75" customHeight="1" x14ac:dyDescent="0.25">
      <c r="A584" s="63"/>
      <c r="B584" s="62"/>
      <c r="C584" s="62"/>
      <c r="D584" s="62"/>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c r="AE584" s="58"/>
      <c r="AF584" s="58"/>
      <c r="AG584" s="58"/>
      <c r="AH584" s="58"/>
      <c r="AI584" s="58"/>
      <c r="AJ584" s="58"/>
      <c r="AK584" s="58"/>
      <c r="AL584" s="58"/>
      <c r="AM584" s="58"/>
      <c r="AN584" s="58"/>
      <c r="AO584" s="58"/>
      <c r="AP584" s="58"/>
      <c r="AQ584" s="58"/>
      <c r="AR584" s="58"/>
    </row>
    <row r="585" spans="1:44" ht="15.75" customHeight="1" x14ac:dyDescent="0.25">
      <c r="A585" s="63"/>
      <c r="B585" s="62"/>
      <c r="C585" s="62"/>
      <c r="D585" s="62"/>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c r="AE585" s="58"/>
      <c r="AF585" s="58"/>
      <c r="AG585" s="58"/>
      <c r="AH585" s="58"/>
      <c r="AI585" s="58"/>
      <c r="AJ585" s="58"/>
      <c r="AK585" s="58"/>
      <c r="AL585" s="58"/>
      <c r="AM585" s="58"/>
      <c r="AN585" s="58"/>
      <c r="AO585" s="58"/>
      <c r="AP585" s="58"/>
      <c r="AQ585" s="58"/>
      <c r="AR585" s="58"/>
    </row>
    <row r="586" spans="1:44" ht="15.75" customHeight="1" x14ac:dyDescent="0.25">
      <c r="A586" s="63"/>
      <c r="B586" s="62"/>
      <c r="C586" s="62"/>
      <c r="D586" s="62"/>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c r="AE586" s="58"/>
      <c r="AF586" s="58"/>
      <c r="AG586" s="58"/>
      <c r="AH586" s="58"/>
      <c r="AI586" s="58"/>
      <c r="AJ586" s="58"/>
      <c r="AK586" s="58"/>
      <c r="AL586" s="58"/>
      <c r="AM586" s="58"/>
      <c r="AN586" s="58"/>
      <c r="AO586" s="58"/>
      <c r="AP586" s="58"/>
      <c r="AQ586" s="58"/>
      <c r="AR586" s="58"/>
    </row>
    <row r="587" spans="1:44" ht="15.75" customHeight="1" x14ac:dyDescent="0.25">
      <c r="A587" s="63"/>
      <c r="B587" s="62"/>
      <c r="C587" s="62"/>
      <c r="D587" s="62"/>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c r="AE587" s="58"/>
      <c r="AF587" s="58"/>
      <c r="AG587" s="58"/>
      <c r="AH587" s="58"/>
      <c r="AI587" s="58"/>
      <c r="AJ587" s="58"/>
      <c r="AK587" s="58"/>
      <c r="AL587" s="58"/>
      <c r="AM587" s="58"/>
      <c r="AN587" s="58"/>
      <c r="AO587" s="58"/>
      <c r="AP587" s="58"/>
      <c r="AQ587" s="58"/>
      <c r="AR587" s="58"/>
    </row>
    <row r="588" spans="1:44" ht="15.75" customHeight="1" x14ac:dyDescent="0.25">
      <c r="A588" s="63"/>
      <c r="B588" s="62"/>
      <c r="C588" s="62"/>
      <c r="D588" s="62"/>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c r="AE588" s="58"/>
      <c r="AF588" s="58"/>
      <c r="AG588" s="58"/>
      <c r="AH588" s="58"/>
      <c r="AI588" s="58"/>
      <c r="AJ588" s="58"/>
      <c r="AK588" s="58"/>
      <c r="AL588" s="58"/>
      <c r="AM588" s="58"/>
      <c r="AN588" s="58"/>
      <c r="AO588" s="58"/>
      <c r="AP588" s="58"/>
      <c r="AQ588" s="58"/>
      <c r="AR588" s="58"/>
    </row>
    <row r="589" spans="1:44" ht="15.75" customHeight="1" x14ac:dyDescent="0.25">
      <c r="A589" s="63"/>
      <c r="B589" s="62"/>
      <c r="C589" s="62"/>
      <c r="D589" s="62"/>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c r="AE589" s="58"/>
      <c r="AF589" s="58"/>
      <c r="AG589" s="58"/>
      <c r="AH589" s="58"/>
      <c r="AI589" s="58"/>
      <c r="AJ589" s="58"/>
      <c r="AK589" s="58"/>
      <c r="AL589" s="58"/>
      <c r="AM589" s="58"/>
      <c r="AN589" s="58"/>
      <c r="AO589" s="58"/>
      <c r="AP589" s="58"/>
      <c r="AQ589" s="58"/>
      <c r="AR589" s="58"/>
    </row>
    <row r="590" spans="1:44" ht="15.75" customHeight="1" x14ac:dyDescent="0.25">
      <c r="A590" s="63"/>
      <c r="B590" s="62"/>
      <c r="C590" s="62"/>
      <c r="D590" s="62"/>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c r="AE590" s="58"/>
      <c r="AF590" s="58"/>
      <c r="AG590" s="58"/>
      <c r="AH590" s="58"/>
      <c r="AI590" s="58"/>
      <c r="AJ590" s="58"/>
      <c r="AK590" s="58"/>
      <c r="AL590" s="58"/>
      <c r="AM590" s="58"/>
      <c r="AN590" s="58"/>
      <c r="AO590" s="58"/>
      <c r="AP590" s="58"/>
      <c r="AQ590" s="58"/>
      <c r="AR590" s="58"/>
    </row>
    <row r="591" spans="1:44" ht="15.75" customHeight="1" x14ac:dyDescent="0.25">
      <c r="A591" s="63"/>
      <c r="B591" s="62"/>
      <c r="C591" s="62"/>
      <c r="D591" s="62"/>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c r="AE591" s="58"/>
      <c r="AF591" s="58"/>
      <c r="AG591" s="58"/>
      <c r="AH591" s="58"/>
      <c r="AI591" s="58"/>
      <c r="AJ591" s="58"/>
      <c r="AK591" s="58"/>
      <c r="AL591" s="58"/>
      <c r="AM591" s="58"/>
      <c r="AN591" s="58"/>
      <c r="AO591" s="58"/>
      <c r="AP591" s="58"/>
      <c r="AQ591" s="58"/>
      <c r="AR591" s="58"/>
    </row>
    <row r="592" spans="1:44" ht="15.75" customHeight="1" x14ac:dyDescent="0.25">
      <c r="A592" s="63"/>
      <c r="B592" s="62"/>
      <c r="C592" s="62"/>
      <c r="D592" s="62"/>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c r="AE592" s="58"/>
      <c r="AF592" s="58"/>
      <c r="AG592" s="58"/>
      <c r="AH592" s="58"/>
      <c r="AI592" s="58"/>
      <c r="AJ592" s="58"/>
      <c r="AK592" s="58"/>
      <c r="AL592" s="58"/>
      <c r="AM592" s="58"/>
      <c r="AN592" s="58"/>
      <c r="AO592" s="58"/>
      <c r="AP592" s="58"/>
      <c r="AQ592" s="58"/>
      <c r="AR592" s="58"/>
    </row>
    <row r="593" spans="1:44" ht="15.75" customHeight="1" x14ac:dyDescent="0.25">
      <c r="A593" s="63"/>
      <c r="B593" s="62"/>
      <c r="C593" s="62"/>
      <c r="D593" s="62"/>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c r="AE593" s="58"/>
      <c r="AF593" s="58"/>
      <c r="AG593" s="58"/>
      <c r="AH593" s="58"/>
      <c r="AI593" s="58"/>
      <c r="AJ593" s="58"/>
      <c r="AK593" s="58"/>
      <c r="AL593" s="58"/>
      <c r="AM593" s="58"/>
      <c r="AN593" s="58"/>
      <c r="AO593" s="58"/>
      <c r="AP593" s="58"/>
      <c r="AQ593" s="58"/>
      <c r="AR593" s="58"/>
    </row>
    <row r="594" spans="1:44" ht="15.75" customHeight="1" x14ac:dyDescent="0.25">
      <c r="A594" s="63"/>
      <c r="B594" s="62"/>
      <c r="C594" s="62"/>
      <c r="D594" s="62"/>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c r="AE594" s="58"/>
      <c r="AF594" s="58"/>
      <c r="AG594" s="58"/>
      <c r="AH594" s="58"/>
      <c r="AI594" s="58"/>
      <c r="AJ594" s="58"/>
      <c r="AK594" s="58"/>
      <c r="AL594" s="58"/>
      <c r="AM594" s="58"/>
      <c r="AN594" s="58"/>
      <c r="AO594" s="58"/>
      <c r="AP594" s="58"/>
      <c r="AQ594" s="58"/>
      <c r="AR594" s="58"/>
    </row>
    <row r="595" spans="1:44" ht="15.75" customHeight="1" x14ac:dyDescent="0.25">
      <c r="A595" s="63"/>
      <c r="B595" s="62"/>
      <c r="C595" s="62"/>
      <c r="D595" s="62"/>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c r="AE595" s="58"/>
      <c r="AF595" s="58"/>
      <c r="AG595" s="58"/>
      <c r="AH595" s="58"/>
      <c r="AI595" s="58"/>
      <c r="AJ595" s="58"/>
      <c r="AK595" s="58"/>
      <c r="AL595" s="58"/>
      <c r="AM595" s="58"/>
      <c r="AN595" s="58"/>
      <c r="AO595" s="58"/>
      <c r="AP595" s="58"/>
      <c r="AQ595" s="58"/>
      <c r="AR595" s="58"/>
    </row>
    <row r="596" spans="1:44" ht="15.75" customHeight="1" x14ac:dyDescent="0.25">
      <c r="A596" s="63"/>
      <c r="B596" s="62"/>
      <c r="C596" s="62"/>
      <c r="D596" s="62"/>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c r="AE596" s="58"/>
      <c r="AF596" s="58"/>
      <c r="AG596" s="58"/>
      <c r="AH596" s="58"/>
      <c r="AI596" s="58"/>
      <c r="AJ596" s="58"/>
      <c r="AK596" s="58"/>
      <c r="AL596" s="58"/>
      <c r="AM596" s="58"/>
      <c r="AN596" s="58"/>
      <c r="AO596" s="58"/>
      <c r="AP596" s="58"/>
      <c r="AQ596" s="58"/>
      <c r="AR596" s="58"/>
    </row>
    <row r="597" spans="1:44" ht="15.75" customHeight="1" x14ac:dyDescent="0.25">
      <c r="A597" s="63"/>
      <c r="B597" s="62"/>
      <c r="C597" s="62"/>
      <c r="D597" s="62"/>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c r="AE597" s="58"/>
      <c r="AF597" s="58"/>
      <c r="AG597" s="58"/>
      <c r="AH597" s="58"/>
      <c r="AI597" s="58"/>
      <c r="AJ597" s="58"/>
      <c r="AK597" s="58"/>
      <c r="AL597" s="58"/>
      <c r="AM597" s="58"/>
      <c r="AN597" s="58"/>
      <c r="AO597" s="58"/>
      <c r="AP597" s="58"/>
      <c r="AQ597" s="58"/>
      <c r="AR597" s="58"/>
    </row>
    <row r="598" spans="1:44" ht="15.75" customHeight="1" x14ac:dyDescent="0.25">
      <c r="A598" s="63"/>
      <c r="B598" s="62"/>
      <c r="C598" s="62"/>
      <c r="D598" s="62"/>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c r="AE598" s="58"/>
      <c r="AF598" s="58"/>
      <c r="AG598" s="58"/>
      <c r="AH598" s="58"/>
      <c r="AI598" s="58"/>
      <c r="AJ598" s="58"/>
      <c r="AK598" s="58"/>
      <c r="AL598" s="58"/>
      <c r="AM598" s="58"/>
      <c r="AN598" s="58"/>
      <c r="AO598" s="58"/>
      <c r="AP598" s="58"/>
      <c r="AQ598" s="58"/>
      <c r="AR598" s="58"/>
    </row>
    <row r="599" spans="1:44" ht="15.75" customHeight="1" x14ac:dyDescent="0.25">
      <c r="A599" s="63"/>
      <c r="B599" s="62"/>
      <c r="C599" s="62"/>
      <c r="D599" s="62"/>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c r="AE599" s="58"/>
      <c r="AF599" s="58"/>
      <c r="AG599" s="58"/>
      <c r="AH599" s="58"/>
      <c r="AI599" s="58"/>
      <c r="AJ599" s="58"/>
      <c r="AK599" s="58"/>
      <c r="AL599" s="58"/>
      <c r="AM599" s="58"/>
      <c r="AN599" s="58"/>
      <c r="AO599" s="58"/>
      <c r="AP599" s="58"/>
      <c r="AQ599" s="58"/>
      <c r="AR599" s="58"/>
    </row>
    <row r="600" spans="1:44" ht="15.75" customHeight="1" x14ac:dyDescent="0.25">
      <c r="A600" s="63"/>
      <c r="B600" s="62"/>
      <c r="C600" s="62"/>
      <c r="D600" s="62"/>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c r="AE600" s="58"/>
      <c r="AF600" s="58"/>
      <c r="AG600" s="58"/>
      <c r="AH600" s="58"/>
      <c r="AI600" s="58"/>
      <c r="AJ600" s="58"/>
      <c r="AK600" s="58"/>
      <c r="AL600" s="58"/>
      <c r="AM600" s="58"/>
      <c r="AN600" s="58"/>
      <c r="AO600" s="58"/>
      <c r="AP600" s="58"/>
      <c r="AQ600" s="58"/>
      <c r="AR600" s="58"/>
    </row>
    <row r="601" spans="1:44" ht="15.75" customHeight="1" x14ac:dyDescent="0.25">
      <c r="A601" s="63"/>
      <c r="B601" s="62"/>
      <c r="C601" s="62"/>
      <c r="D601" s="62"/>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c r="AE601" s="58"/>
      <c r="AF601" s="58"/>
      <c r="AG601" s="58"/>
      <c r="AH601" s="58"/>
      <c r="AI601" s="58"/>
      <c r="AJ601" s="58"/>
      <c r="AK601" s="58"/>
      <c r="AL601" s="58"/>
      <c r="AM601" s="58"/>
      <c r="AN601" s="58"/>
      <c r="AO601" s="58"/>
      <c r="AP601" s="58"/>
      <c r="AQ601" s="58"/>
      <c r="AR601" s="58"/>
    </row>
    <row r="602" spans="1:44" ht="15.75" customHeight="1" x14ac:dyDescent="0.25">
      <c r="A602" s="63"/>
      <c r="B602" s="62"/>
      <c r="C602" s="62"/>
      <c r="D602" s="62"/>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c r="AE602" s="58"/>
      <c r="AF602" s="58"/>
      <c r="AG602" s="58"/>
      <c r="AH602" s="58"/>
      <c r="AI602" s="58"/>
      <c r="AJ602" s="58"/>
      <c r="AK602" s="58"/>
      <c r="AL602" s="58"/>
      <c r="AM602" s="58"/>
      <c r="AN602" s="58"/>
      <c r="AO602" s="58"/>
      <c r="AP602" s="58"/>
      <c r="AQ602" s="58"/>
      <c r="AR602" s="58"/>
    </row>
    <row r="603" spans="1:44" ht="15.75" customHeight="1" x14ac:dyDescent="0.25">
      <c r="A603" s="63"/>
      <c r="B603" s="62"/>
      <c r="C603" s="62"/>
      <c r="D603" s="62"/>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c r="AE603" s="58"/>
      <c r="AF603" s="58"/>
      <c r="AG603" s="58"/>
      <c r="AH603" s="58"/>
      <c r="AI603" s="58"/>
      <c r="AJ603" s="58"/>
      <c r="AK603" s="58"/>
      <c r="AL603" s="58"/>
      <c r="AM603" s="58"/>
      <c r="AN603" s="58"/>
      <c r="AO603" s="58"/>
      <c r="AP603" s="58"/>
      <c r="AQ603" s="58"/>
      <c r="AR603" s="58"/>
    </row>
    <row r="604" spans="1:44" ht="15.75" customHeight="1" x14ac:dyDescent="0.25">
      <c r="A604" s="63"/>
      <c r="B604" s="62"/>
      <c r="C604" s="62"/>
      <c r="D604" s="62"/>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c r="AE604" s="58"/>
      <c r="AF604" s="58"/>
      <c r="AG604" s="58"/>
      <c r="AH604" s="58"/>
      <c r="AI604" s="58"/>
      <c r="AJ604" s="58"/>
      <c r="AK604" s="58"/>
      <c r="AL604" s="58"/>
      <c r="AM604" s="58"/>
      <c r="AN604" s="58"/>
      <c r="AO604" s="58"/>
      <c r="AP604" s="58"/>
      <c r="AQ604" s="58"/>
      <c r="AR604" s="58"/>
    </row>
    <row r="605" spans="1:44" ht="15.75" customHeight="1" x14ac:dyDescent="0.25">
      <c r="A605" s="63"/>
      <c r="B605" s="62"/>
      <c r="C605" s="62"/>
      <c r="D605" s="62"/>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c r="AE605" s="58"/>
      <c r="AF605" s="58"/>
      <c r="AG605" s="58"/>
      <c r="AH605" s="58"/>
      <c r="AI605" s="58"/>
      <c r="AJ605" s="58"/>
      <c r="AK605" s="58"/>
      <c r="AL605" s="58"/>
      <c r="AM605" s="58"/>
      <c r="AN605" s="58"/>
      <c r="AO605" s="58"/>
      <c r="AP605" s="58"/>
      <c r="AQ605" s="58"/>
      <c r="AR605" s="58"/>
    </row>
    <row r="606" spans="1:44" ht="15.75" customHeight="1" x14ac:dyDescent="0.25">
      <c r="A606" s="63"/>
      <c r="B606" s="62"/>
      <c r="C606" s="62"/>
      <c r="D606" s="62"/>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c r="AE606" s="58"/>
      <c r="AF606" s="58"/>
      <c r="AG606" s="58"/>
      <c r="AH606" s="58"/>
      <c r="AI606" s="58"/>
      <c r="AJ606" s="58"/>
      <c r="AK606" s="58"/>
      <c r="AL606" s="58"/>
      <c r="AM606" s="58"/>
      <c r="AN606" s="58"/>
      <c r="AO606" s="58"/>
      <c r="AP606" s="58"/>
      <c r="AQ606" s="58"/>
      <c r="AR606" s="58"/>
    </row>
    <row r="607" spans="1:44" ht="15.75" customHeight="1" x14ac:dyDescent="0.25">
      <c r="A607" s="63"/>
      <c r="B607" s="62"/>
      <c r="C607" s="62"/>
      <c r="D607" s="62"/>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c r="AE607" s="58"/>
      <c r="AF607" s="58"/>
      <c r="AG607" s="58"/>
      <c r="AH607" s="58"/>
      <c r="AI607" s="58"/>
      <c r="AJ607" s="58"/>
      <c r="AK607" s="58"/>
      <c r="AL607" s="58"/>
      <c r="AM607" s="58"/>
      <c r="AN607" s="58"/>
      <c r="AO607" s="58"/>
      <c r="AP607" s="58"/>
      <c r="AQ607" s="58"/>
      <c r="AR607" s="58"/>
    </row>
    <row r="608" spans="1:44" ht="15.75" customHeight="1" x14ac:dyDescent="0.25">
      <c r="A608" s="63"/>
      <c r="B608" s="62"/>
      <c r="C608" s="62"/>
      <c r="D608" s="62"/>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c r="AE608" s="58"/>
      <c r="AF608" s="58"/>
      <c r="AG608" s="58"/>
      <c r="AH608" s="58"/>
      <c r="AI608" s="58"/>
      <c r="AJ608" s="58"/>
      <c r="AK608" s="58"/>
      <c r="AL608" s="58"/>
      <c r="AM608" s="58"/>
      <c r="AN608" s="58"/>
      <c r="AO608" s="58"/>
      <c r="AP608" s="58"/>
      <c r="AQ608" s="58"/>
      <c r="AR608" s="58"/>
    </row>
    <row r="609" spans="1:44" ht="15.75" customHeight="1" x14ac:dyDescent="0.25">
      <c r="A609" s="63"/>
      <c r="B609" s="62"/>
      <c r="C609" s="62"/>
      <c r="D609" s="62"/>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c r="AE609" s="58"/>
      <c r="AF609" s="58"/>
      <c r="AG609" s="58"/>
      <c r="AH609" s="58"/>
      <c r="AI609" s="58"/>
      <c r="AJ609" s="58"/>
      <c r="AK609" s="58"/>
      <c r="AL609" s="58"/>
      <c r="AM609" s="58"/>
      <c r="AN609" s="58"/>
      <c r="AO609" s="58"/>
      <c r="AP609" s="58"/>
      <c r="AQ609" s="58"/>
      <c r="AR609" s="58"/>
    </row>
    <row r="610" spans="1:44" ht="15.75" customHeight="1" x14ac:dyDescent="0.25">
      <c r="A610" s="63"/>
      <c r="B610" s="62"/>
      <c r="C610" s="62"/>
      <c r="D610" s="62"/>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c r="AE610" s="58"/>
      <c r="AF610" s="58"/>
      <c r="AG610" s="58"/>
      <c r="AH610" s="58"/>
      <c r="AI610" s="58"/>
      <c r="AJ610" s="58"/>
      <c r="AK610" s="58"/>
      <c r="AL610" s="58"/>
      <c r="AM610" s="58"/>
      <c r="AN610" s="58"/>
      <c r="AO610" s="58"/>
      <c r="AP610" s="58"/>
      <c r="AQ610" s="58"/>
      <c r="AR610" s="58"/>
    </row>
    <row r="611" spans="1:44" ht="15.75" customHeight="1" x14ac:dyDescent="0.25">
      <c r="A611" s="63"/>
      <c r="B611" s="62"/>
      <c r="C611" s="62"/>
      <c r="D611" s="62"/>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c r="AE611" s="58"/>
      <c r="AF611" s="58"/>
      <c r="AG611" s="58"/>
      <c r="AH611" s="58"/>
      <c r="AI611" s="58"/>
      <c r="AJ611" s="58"/>
      <c r="AK611" s="58"/>
      <c r="AL611" s="58"/>
      <c r="AM611" s="58"/>
      <c r="AN611" s="58"/>
      <c r="AO611" s="58"/>
      <c r="AP611" s="58"/>
      <c r="AQ611" s="58"/>
      <c r="AR611" s="58"/>
    </row>
    <row r="612" spans="1:44" ht="15.75" customHeight="1" x14ac:dyDescent="0.25">
      <c r="A612" s="63"/>
      <c r="B612" s="62"/>
      <c r="C612" s="62"/>
      <c r="D612" s="62"/>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c r="AE612" s="58"/>
      <c r="AF612" s="58"/>
      <c r="AG612" s="58"/>
      <c r="AH612" s="58"/>
      <c r="AI612" s="58"/>
      <c r="AJ612" s="58"/>
      <c r="AK612" s="58"/>
      <c r="AL612" s="58"/>
      <c r="AM612" s="58"/>
      <c r="AN612" s="58"/>
      <c r="AO612" s="58"/>
      <c r="AP612" s="58"/>
      <c r="AQ612" s="58"/>
      <c r="AR612" s="58"/>
    </row>
    <row r="613" spans="1:44" ht="15.75" customHeight="1" x14ac:dyDescent="0.25">
      <c r="A613" s="63"/>
      <c r="B613" s="62"/>
      <c r="C613" s="62"/>
      <c r="D613" s="62"/>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c r="AE613" s="58"/>
      <c r="AF613" s="58"/>
      <c r="AG613" s="58"/>
      <c r="AH613" s="58"/>
      <c r="AI613" s="58"/>
      <c r="AJ613" s="58"/>
      <c r="AK613" s="58"/>
      <c r="AL613" s="58"/>
      <c r="AM613" s="58"/>
      <c r="AN613" s="58"/>
      <c r="AO613" s="58"/>
      <c r="AP613" s="58"/>
      <c r="AQ613" s="58"/>
      <c r="AR613" s="58"/>
    </row>
    <row r="614" spans="1:44" ht="15.75" customHeight="1" x14ac:dyDescent="0.25">
      <c r="A614" s="63"/>
      <c r="B614" s="62"/>
      <c r="C614" s="62"/>
      <c r="D614" s="62"/>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c r="AE614" s="58"/>
      <c r="AF614" s="58"/>
      <c r="AG614" s="58"/>
      <c r="AH614" s="58"/>
      <c r="AI614" s="58"/>
      <c r="AJ614" s="58"/>
      <c r="AK614" s="58"/>
      <c r="AL614" s="58"/>
      <c r="AM614" s="58"/>
      <c r="AN614" s="58"/>
      <c r="AO614" s="58"/>
      <c r="AP614" s="58"/>
      <c r="AQ614" s="58"/>
      <c r="AR614" s="58"/>
    </row>
    <row r="615" spans="1:44" ht="15.75" customHeight="1" x14ac:dyDescent="0.25">
      <c r="A615" s="63"/>
      <c r="B615" s="62"/>
      <c r="C615" s="62"/>
      <c r="D615" s="62"/>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c r="AE615" s="58"/>
      <c r="AF615" s="58"/>
      <c r="AG615" s="58"/>
      <c r="AH615" s="58"/>
      <c r="AI615" s="58"/>
      <c r="AJ615" s="58"/>
      <c r="AK615" s="58"/>
      <c r="AL615" s="58"/>
      <c r="AM615" s="58"/>
      <c r="AN615" s="58"/>
      <c r="AO615" s="58"/>
      <c r="AP615" s="58"/>
      <c r="AQ615" s="58"/>
      <c r="AR615" s="58"/>
    </row>
    <row r="616" spans="1:44" ht="15.75" customHeight="1" x14ac:dyDescent="0.25">
      <c r="A616" s="63"/>
      <c r="B616" s="62"/>
      <c r="C616" s="62"/>
      <c r="D616" s="62"/>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c r="AE616" s="58"/>
      <c r="AF616" s="58"/>
      <c r="AG616" s="58"/>
      <c r="AH616" s="58"/>
      <c r="AI616" s="58"/>
      <c r="AJ616" s="58"/>
      <c r="AK616" s="58"/>
      <c r="AL616" s="58"/>
      <c r="AM616" s="58"/>
      <c r="AN616" s="58"/>
      <c r="AO616" s="58"/>
      <c r="AP616" s="58"/>
      <c r="AQ616" s="58"/>
      <c r="AR616" s="58"/>
    </row>
    <row r="617" spans="1:44" ht="15.75" customHeight="1" x14ac:dyDescent="0.25">
      <c r="A617" s="63"/>
      <c r="B617" s="62"/>
      <c r="C617" s="62"/>
      <c r="D617" s="62"/>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c r="AE617" s="58"/>
      <c r="AF617" s="58"/>
      <c r="AG617" s="58"/>
      <c r="AH617" s="58"/>
      <c r="AI617" s="58"/>
      <c r="AJ617" s="58"/>
      <c r="AK617" s="58"/>
      <c r="AL617" s="58"/>
      <c r="AM617" s="58"/>
      <c r="AN617" s="58"/>
      <c r="AO617" s="58"/>
      <c r="AP617" s="58"/>
      <c r="AQ617" s="58"/>
      <c r="AR617" s="58"/>
    </row>
    <row r="618" spans="1:44" ht="15.75" customHeight="1" x14ac:dyDescent="0.25">
      <c r="A618" s="63"/>
      <c r="B618" s="62"/>
      <c r="C618" s="62"/>
      <c r="D618" s="62"/>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c r="AG618" s="58"/>
      <c r="AH618" s="58"/>
      <c r="AI618" s="58"/>
      <c r="AJ618" s="58"/>
      <c r="AK618" s="58"/>
      <c r="AL618" s="58"/>
      <c r="AM618" s="58"/>
      <c r="AN618" s="58"/>
      <c r="AO618" s="58"/>
      <c r="AP618" s="58"/>
      <c r="AQ618" s="58"/>
      <c r="AR618" s="58"/>
    </row>
    <row r="619" spans="1:44" ht="15.75" customHeight="1" x14ac:dyDescent="0.25">
      <c r="A619" s="63"/>
      <c r="B619" s="62"/>
      <c r="C619" s="62"/>
      <c r="D619" s="62"/>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c r="AE619" s="58"/>
      <c r="AF619" s="58"/>
      <c r="AG619" s="58"/>
      <c r="AH619" s="58"/>
      <c r="AI619" s="58"/>
      <c r="AJ619" s="58"/>
      <c r="AK619" s="58"/>
      <c r="AL619" s="58"/>
      <c r="AM619" s="58"/>
      <c r="AN619" s="58"/>
      <c r="AO619" s="58"/>
      <c r="AP619" s="58"/>
      <c r="AQ619" s="58"/>
      <c r="AR619" s="58"/>
    </row>
    <row r="620" spans="1:44" ht="15.75" customHeight="1" x14ac:dyDescent="0.25">
      <c r="A620" s="63"/>
      <c r="B620" s="62"/>
      <c r="C620" s="62"/>
      <c r="D620" s="62"/>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c r="AE620" s="58"/>
      <c r="AF620" s="58"/>
      <c r="AG620" s="58"/>
      <c r="AH620" s="58"/>
      <c r="AI620" s="58"/>
      <c r="AJ620" s="58"/>
      <c r="AK620" s="58"/>
      <c r="AL620" s="58"/>
      <c r="AM620" s="58"/>
      <c r="AN620" s="58"/>
      <c r="AO620" s="58"/>
      <c r="AP620" s="58"/>
      <c r="AQ620" s="58"/>
      <c r="AR620" s="58"/>
    </row>
    <row r="621" spans="1:44" ht="15.75" customHeight="1" x14ac:dyDescent="0.25">
      <c r="A621" s="63"/>
      <c r="B621" s="62"/>
      <c r="C621" s="62"/>
      <c r="D621" s="62"/>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c r="AE621" s="58"/>
      <c r="AF621" s="58"/>
      <c r="AG621" s="58"/>
      <c r="AH621" s="58"/>
      <c r="AI621" s="58"/>
      <c r="AJ621" s="58"/>
      <c r="AK621" s="58"/>
      <c r="AL621" s="58"/>
      <c r="AM621" s="58"/>
      <c r="AN621" s="58"/>
      <c r="AO621" s="58"/>
      <c r="AP621" s="58"/>
      <c r="AQ621" s="58"/>
      <c r="AR621" s="58"/>
    </row>
    <row r="622" spans="1:44" ht="15.75" customHeight="1" x14ac:dyDescent="0.25">
      <c r="A622" s="63"/>
      <c r="B622" s="62"/>
      <c r="C622" s="62"/>
      <c r="D622" s="62"/>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c r="AE622" s="58"/>
      <c r="AF622" s="58"/>
      <c r="AG622" s="58"/>
      <c r="AH622" s="58"/>
      <c r="AI622" s="58"/>
      <c r="AJ622" s="58"/>
      <c r="AK622" s="58"/>
      <c r="AL622" s="58"/>
      <c r="AM622" s="58"/>
      <c r="AN622" s="58"/>
      <c r="AO622" s="58"/>
      <c r="AP622" s="58"/>
      <c r="AQ622" s="58"/>
      <c r="AR622" s="58"/>
    </row>
    <row r="623" spans="1:44" ht="15.75" customHeight="1" x14ac:dyDescent="0.25">
      <c r="A623" s="63"/>
      <c r="B623" s="62"/>
      <c r="C623" s="62"/>
      <c r="D623" s="62"/>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c r="AE623" s="58"/>
      <c r="AF623" s="58"/>
      <c r="AG623" s="58"/>
      <c r="AH623" s="58"/>
      <c r="AI623" s="58"/>
      <c r="AJ623" s="58"/>
      <c r="AK623" s="58"/>
      <c r="AL623" s="58"/>
      <c r="AM623" s="58"/>
      <c r="AN623" s="58"/>
      <c r="AO623" s="58"/>
      <c r="AP623" s="58"/>
      <c r="AQ623" s="58"/>
      <c r="AR623" s="58"/>
    </row>
    <row r="624" spans="1:44" ht="15.75" customHeight="1" x14ac:dyDescent="0.25">
      <c r="A624" s="63"/>
      <c r="B624" s="62"/>
      <c r="C624" s="62"/>
      <c r="D624" s="62"/>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c r="AE624" s="58"/>
      <c r="AF624" s="58"/>
      <c r="AG624" s="58"/>
      <c r="AH624" s="58"/>
      <c r="AI624" s="58"/>
      <c r="AJ624" s="58"/>
      <c r="AK624" s="58"/>
      <c r="AL624" s="58"/>
      <c r="AM624" s="58"/>
      <c r="AN624" s="58"/>
      <c r="AO624" s="58"/>
      <c r="AP624" s="58"/>
      <c r="AQ624" s="58"/>
      <c r="AR624" s="58"/>
    </row>
    <row r="625" spans="1:44" ht="15.75" customHeight="1" x14ac:dyDescent="0.25">
      <c r="A625" s="63"/>
      <c r="B625" s="62"/>
      <c r="C625" s="62"/>
      <c r="D625" s="62"/>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c r="AE625" s="58"/>
      <c r="AF625" s="58"/>
      <c r="AG625" s="58"/>
      <c r="AH625" s="58"/>
      <c r="AI625" s="58"/>
      <c r="AJ625" s="58"/>
      <c r="AK625" s="58"/>
      <c r="AL625" s="58"/>
      <c r="AM625" s="58"/>
      <c r="AN625" s="58"/>
      <c r="AO625" s="58"/>
      <c r="AP625" s="58"/>
      <c r="AQ625" s="58"/>
      <c r="AR625" s="58"/>
    </row>
    <row r="626" spans="1:44" ht="15.75" customHeight="1" x14ac:dyDescent="0.25">
      <c r="A626" s="63"/>
      <c r="B626" s="62"/>
      <c r="C626" s="62"/>
      <c r="D626" s="62"/>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c r="AE626" s="58"/>
      <c r="AF626" s="58"/>
      <c r="AG626" s="58"/>
      <c r="AH626" s="58"/>
      <c r="AI626" s="58"/>
      <c r="AJ626" s="58"/>
      <c r="AK626" s="58"/>
      <c r="AL626" s="58"/>
      <c r="AM626" s="58"/>
      <c r="AN626" s="58"/>
      <c r="AO626" s="58"/>
      <c r="AP626" s="58"/>
      <c r="AQ626" s="58"/>
      <c r="AR626" s="58"/>
    </row>
    <row r="627" spans="1:44" ht="15.75" customHeight="1" x14ac:dyDescent="0.25">
      <c r="A627" s="63"/>
      <c r="B627" s="62"/>
      <c r="C627" s="62"/>
      <c r="D627" s="62"/>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c r="AE627" s="58"/>
      <c r="AF627" s="58"/>
      <c r="AG627" s="58"/>
      <c r="AH627" s="58"/>
      <c r="AI627" s="58"/>
      <c r="AJ627" s="58"/>
      <c r="AK627" s="58"/>
      <c r="AL627" s="58"/>
      <c r="AM627" s="58"/>
      <c r="AN627" s="58"/>
      <c r="AO627" s="58"/>
      <c r="AP627" s="58"/>
      <c r="AQ627" s="58"/>
      <c r="AR627" s="58"/>
    </row>
    <row r="628" spans="1:44" ht="15.75" customHeight="1" x14ac:dyDescent="0.25">
      <c r="A628" s="63"/>
      <c r="B628" s="62"/>
      <c r="C628" s="62"/>
      <c r="D628" s="62"/>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c r="AE628" s="58"/>
      <c r="AF628" s="58"/>
      <c r="AG628" s="58"/>
      <c r="AH628" s="58"/>
      <c r="AI628" s="58"/>
      <c r="AJ628" s="58"/>
      <c r="AK628" s="58"/>
      <c r="AL628" s="58"/>
      <c r="AM628" s="58"/>
      <c r="AN628" s="58"/>
      <c r="AO628" s="58"/>
      <c r="AP628" s="58"/>
      <c r="AQ628" s="58"/>
      <c r="AR628" s="58"/>
    </row>
    <row r="629" spans="1:44" ht="15.75" customHeight="1" x14ac:dyDescent="0.25">
      <c r="A629" s="63"/>
      <c r="B629" s="62"/>
      <c r="C629" s="62"/>
      <c r="D629" s="62"/>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c r="AE629" s="58"/>
      <c r="AF629" s="58"/>
      <c r="AG629" s="58"/>
      <c r="AH629" s="58"/>
      <c r="AI629" s="58"/>
      <c r="AJ629" s="58"/>
      <c r="AK629" s="58"/>
      <c r="AL629" s="58"/>
      <c r="AM629" s="58"/>
      <c r="AN629" s="58"/>
      <c r="AO629" s="58"/>
      <c r="AP629" s="58"/>
      <c r="AQ629" s="58"/>
      <c r="AR629" s="58"/>
    </row>
    <row r="630" spans="1:44" ht="15.75" customHeight="1" x14ac:dyDescent="0.25">
      <c r="A630" s="63"/>
      <c r="B630" s="62"/>
      <c r="C630" s="62"/>
      <c r="D630" s="62"/>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c r="AE630" s="58"/>
      <c r="AF630" s="58"/>
      <c r="AG630" s="58"/>
      <c r="AH630" s="58"/>
      <c r="AI630" s="58"/>
      <c r="AJ630" s="58"/>
      <c r="AK630" s="58"/>
      <c r="AL630" s="58"/>
      <c r="AM630" s="58"/>
      <c r="AN630" s="58"/>
      <c r="AO630" s="58"/>
      <c r="AP630" s="58"/>
      <c r="AQ630" s="58"/>
      <c r="AR630" s="58"/>
    </row>
    <row r="631" spans="1:44" ht="15.75" customHeight="1" x14ac:dyDescent="0.25">
      <c r="A631" s="63"/>
      <c r="B631" s="62"/>
      <c r="C631" s="62"/>
      <c r="D631" s="62"/>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c r="AE631" s="58"/>
      <c r="AF631" s="58"/>
      <c r="AG631" s="58"/>
      <c r="AH631" s="58"/>
      <c r="AI631" s="58"/>
      <c r="AJ631" s="58"/>
      <c r="AK631" s="58"/>
      <c r="AL631" s="58"/>
      <c r="AM631" s="58"/>
      <c r="AN631" s="58"/>
      <c r="AO631" s="58"/>
      <c r="AP631" s="58"/>
      <c r="AQ631" s="58"/>
      <c r="AR631" s="58"/>
    </row>
    <row r="632" spans="1:44" ht="15.75" customHeight="1" x14ac:dyDescent="0.25">
      <c r="A632" s="63"/>
      <c r="B632" s="62"/>
      <c r="C632" s="62"/>
      <c r="D632" s="62"/>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c r="AE632" s="58"/>
      <c r="AF632" s="58"/>
      <c r="AG632" s="58"/>
      <c r="AH632" s="58"/>
      <c r="AI632" s="58"/>
      <c r="AJ632" s="58"/>
      <c r="AK632" s="58"/>
      <c r="AL632" s="58"/>
      <c r="AM632" s="58"/>
      <c r="AN632" s="58"/>
      <c r="AO632" s="58"/>
      <c r="AP632" s="58"/>
      <c r="AQ632" s="58"/>
      <c r="AR632" s="58"/>
    </row>
    <row r="633" spans="1:44" ht="15.75" customHeight="1" x14ac:dyDescent="0.25">
      <c r="A633" s="63"/>
      <c r="B633" s="62"/>
      <c r="C633" s="62"/>
      <c r="D633" s="62"/>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c r="AE633" s="58"/>
      <c r="AF633" s="58"/>
      <c r="AG633" s="58"/>
      <c r="AH633" s="58"/>
      <c r="AI633" s="58"/>
      <c r="AJ633" s="58"/>
      <c r="AK633" s="58"/>
      <c r="AL633" s="58"/>
      <c r="AM633" s="58"/>
      <c r="AN633" s="58"/>
      <c r="AO633" s="58"/>
      <c r="AP633" s="58"/>
      <c r="AQ633" s="58"/>
      <c r="AR633" s="58"/>
    </row>
    <row r="634" spans="1:44" ht="15.75" customHeight="1" x14ac:dyDescent="0.25">
      <c r="A634" s="63"/>
      <c r="B634" s="62"/>
      <c r="C634" s="62"/>
      <c r="D634" s="62"/>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c r="AE634" s="58"/>
      <c r="AF634" s="58"/>
      <c r="AG634" s="58"/>
      <c r="AH634" s="58"/>
      <c r="AI634" s="58"/>
      <c r="AJ634" s="58"/>
      <c r="AK634" s="58"/>
      <c r="AL634" s="58"/>
      <c r="AM634" s="58"/>
      <c r="AN634" s="58"/>
      <c r="AO634" s="58"/>
      <c r="AP634" s="58"/>
      <c r="AQ634" s="58"/>
      <c r="AR634" s="58"/>
    </row>
    <row r="635" spans="1:44" ht="15.75" customHeight="1" x14ac:dyDescent="0.25">
      <c r="A635" s="63"/>
      <c r="B635" s="62"/>
      <c r="C635" s="62"/>
      <c r="D635" s="62"/>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c r="AE635" s="58"/>
      <c r="AF635" s="58"/>
      <c r="AG635" s="58"/>
      <c r="AH635" s="58"/>
      <c r="AI635" s="58"/>
      <c r="AJ635" s="58"/>
      <c r="AK635" s="58"/>
      <c r="AL635" s="58"/>
      <c r="AM635" s="58"/>
      <c r="AN635" s="58"/>
      <c r="AO635" s="58"/>
      <c r="AP635" s="58"/>
      <c r="AQ635" s="58"/>
      <c r="AR635" s="58"/>
    </row>
    <row r="636" spans="1:44" ht="15.75" customHeight="1" x14ac:dyDescent="0.25">
      <c r="A636" s="63"/>
      <c r="B636" s="62"/>
      <c r="C636" s="62"/>
      <c r="D636" s="62"/>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c r="AE636" s="58"/>
      <c r="AF636" s="58"/>
      <c r="AG636" s="58"/>
      <c r="AH636" s="58"/>
      <c r="AI636" s="58"/>
      <c r="AJ636" s="58"/>
      <c r="AK636" s="58"/>
      <c r="AL636" s="58"/>
      <c r="AM636" s="58"/>
      <c r="AN636" s="58"/>
      <c r="AO636" s="58"/>
      <c r="AP636" s="58"/>
      <c r="AQ636" s="58"/>
      <c r="AR636" s="58"/>
    </row>
    <row r="637" spans="1:44" ht="15.75" customHeight="1" x14ac:dyDescent="0.25">
      <c r="A637" s="63"/>
      <c r="B637" s="62"/>
      <c r="C637" s="62"/>
      <c r="D637" s="62"/>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c r="AE637" s="58"/>
      <c r="AF637" s="58"/>
      <c r="AG637" s="58"/>
      <c r="AH637" s="58"/>
      <c r="AI637" s="58"/>
      <c r="AJ637" s="58"/>
      <c r="AK637" s="58"/>
      <c r="AL637" s="58"/>
      <c r="AM637" s="58"/>
      <c r="AN637" s="58"/>
      <c r="AO637" s="58"/>
      <c r="AP637" s="58"/>
      <c r="AQ637" s="58"/>
      <c r="AR637" s="58"/>
    </row>
    <row r="638" spans="1:44" ht="15.75" customHeight="1" x14ac:dyDescent="0.25">
      <c r="A638" s="63"/>
      <c r="B638" s="62"/>
      <c r="C638" s="62"/>
      <c r="D638" s="62"/>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8"/>
      <c r="AI638" s="58"/>
      <c r="AJ638" s="58"/>
      <c r="AK638" s="58"/>
      <c r="AL638" s="58"/>
      <c r="AM638" s="58"/>
      <c r="AN638" s="58"/>
      <c r="AO638" s="58"/>
      <c r="AP638" s="58"/>
      <c r="AQ638" s="58"/>
      <c r="AR638" s="58"/>
    </row>
    <row r="639" spans="1:44" ht="15.75" customHeight="1" x14ac:dyDescent="0.25">
      <c r="A639" s="63"/>
      <c r="B639" s="62"/>
      <c r="C639" s="62"/>
      <c r="D639" s="62"/>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c r="AE639" s="58"/>
      <c r="AF639" s="58"/>
      <c r="AG639" s="58"/>
      <c r="AH639" s="58"/>
      <c r="AI639" s="58"/>
      <c r="AJ639" s="58"/>
      <c r="AK639" s="58"/>
      <c r="AL639" s="58"/>
      <c r="AM639" s="58"/>
      <c r="AN639" s="58"/>
      <c r="AO639" s="58"/>
      <c r="AP639" s="58"/>
      <c r="AQ639" s="58"/>
      <c r="AR639" s="58"/>
    </row>
    <row r="640" spans="1:44" ht="15.75" customHeight="1" x14ac:dyDescent="0.25">
      <c r="A640" s="63"/>
      <c r="B640" s="62"/>
      <c r="C640" s="62"/>
      <c r="D640" s="62"/>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c r="AE640" s="58"/>
      <c r="AF640" s="58"/>
      <c r="AG640" s="58"/>
      <c r="AH640" s="58"/>
      <c r="AI640" s="58"/>
      <c r="AJ640" s="58"/>
      <c r="AK640" s="58"/>
      <c r="AL640" s="58"/>
      <c r="AM640" s="58"/>
      <c r="AN640" s="58"/>
      <c r="AO640" s="58"/>
      <c r="AP640" s="58"/>
      <c r="AQ640" s="58"/>
      <c r="AR640" s="58"/>
    </row>
    <row r="641" spans="1:44" ht="15.75" customHeight="1" x14ac:dyDescent="0.25">
      <c r="A641" s="63"/>
      <c r="B641" s="62"/>
      <c r="C641" s="62"/>
      <c r="D641" s="62"/>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c r="AE641" s="58"/>
      <c r="AF641" s="58"/>
      <c r="AG641" s="58"/>
      <c r="AH641" s="58"/>
      <c r="AI641" s="58"/>
      <c r="AJ641" s="58"/>
      <c r="AK641" s="58"/>
      <c r="AL641" s="58"/>
      <c r="AM641" s="58"/>
      <c r="AN641" s="58"/>
      <c r="AO641" s="58"/>
      <c r="AP641" s="58"/>
      <c r="AQ641" s="58"/>
      <c r="AR641" s="58"/>
    </row>
    <row r="642" spans="1:44" ht="15.75" customHeight="1" x14ac:dyDescent="0.25">
      <c r="A642" s="63"/>
      <c r="B642" s="62"/>
      <c r="C642" s="62"/>
      <c r="D642" s="62"/>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c r="AE642" s="58"/>
      <c r="AF642" s="58"/>
      <c r="AG642" s="58"/>
      <c r="AH642" s="58"/>
      <c r="AI642" s="58"/>
      <c r="AJ642" s="58"/>
      <c r="AK642" s="58"/>
      <c r="AL642" s="58"/>
      <c r="AM642" s="58"/>
      <c r="AN642" s="58"/>
      <c r="AO642" s="58"/>
      <c r="AP642" s="58"/>
      <c r="AQ642" s="58"/>
      <c r="AR642" s="58"/>
    </row>
    <row r="643" spans="1:44" ht="15.75" customHeight="1" x14ac:dyDescent="0.25">
      <c r="A643" s="63"/>
      <c r="B643" s="62"/>
      <c r="C643" s="62"/>
      <c r="D643" s="62"/>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c r="AE643" s="58"/>
      <c r="AF643" s="58"/>
      <c r="AG643" s="58"/>
      <c r="AH643" s="58"/>
      <c r="AI643" s="58"/>
      <c r="AJ643" s="58"/>
      <c r="AK643" s="58"/>
      <c r="AL643" s="58"/>
      <c r="AM643" s="58"/>
      <c r="AN643" s="58"/>
      <c r="AO643" s="58"/>
      <c r="AP643" s="58"/>
      <c r="AQ643" s="58"/>
      <c r="AR643" s="58"/>
    </row>
    <row r="644" spans="1:44" ht="15.75" customHeight="1" x14ac:dyDescent="0.25">
      <c r="A644" s="63"/>
      <c r="B644" s="62"/>
      <c r="C644" s="62"/>
      <c r="D644" s="62"/>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c r="AE644" s="58"/>
      <c r="AF644" s="58"/>
      <c r="AG644" s="58"/>
      <c r="AH644" s="58"/>
      <c r="AI644" s="58"/>
      <c r="AJ644" s="58"/>
      <c r="AK644" s="58"/>
      <c r="AL644" s="58"/>
      <c r="AM644" s="58"/>
      <c r="AN644" s="58"/>
      <c r="AO644" s="58"/>
      <c r="AP644" s="58"/>
      <c r="AQ644" s="58"/>
      <c r="AR644" s="58"/>
    </row>
    <row r="645" spans="1:44" ht="15.75" customHeight="1" x14ac:dyDescent="0.25">
      <c r="A645" s="63"/>
      <c r="B645" s="62"/>
      <c r="C645" s="62"/>
      <c r="D645" s="62"/>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c r="AE645" s="58"/>
      <c r="AF645" s="58"/>
      <c r="AG645" s="58"/>
      <c r="AH645" s="58"/>
      <c r="AI645" s="58"/>
      <c r="AJ645" s="58"/>
      <c r="AK645" s="58"/>
      <c r="AL645" s="58"/>
      <c r="AM645" s="58"/>
      <c r="AN645" s="58"/>
      <c r="AO645" s="58"/>
      <c r="AP645" s="58"/>
      <c r="AQ645" s="58"/>
      <c r="AR645" s="58"/>
    </row>
    <row r="646" spans="1:44" ht="15.75" customHeight="1" x14ac:dyDescent="0.25">
      <c r="A646" s="63"/>
      <c r="B646" s="62"/>
      <c r="C646" s="62"/>
      <c r="D646" s="62"/>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c r="AE646" s="58"/>
      <c r="AF646" s="58"/>
      <c r="AG646" s="58"/>
      <c r="AH646" s="58"/>
      <c r="AI646" s="58"/>
      <c r="AJ646" s="58"/>
      <c r="AK646" s="58"/>
      <c r="AL646" s="58"/>
      <c r="AM646" s="58"/>
      <c r="AN646" s="58"/>
      <c r="AO646" s="58"/>
      <c r="AP646" s="58"/>
      <c r="AQ646" s="58"/>
      <c r="AR646" s="58"/>
    </row>
    <row r="647" spans="1:44" ht="15.75" customHeight="1" x14ac:dyDescent="0.25">
      <c r="A647" s="63"/>
      <c r="B647" s="62"/>
      <c r="C647" s="62"/>
      <c r="D647" s="62"/>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c r="AE647" s="58"/>
      <c r="AF647" s="58"/>
      <c r="AG647" s="58"/>
      <c r="AH647" s="58"/>
      <c r="AI647" s="58"/>
      <c r="AJ647" s="58"/>
      <c r="AK647" s="58"/>
      <c r="AL647" s="58"/>
      <c r="AM647" s="58"/>
      <c r="AN647" s="58"/>
      <c r="AO647" s="58"/>
      <c r="AP647" s="58"/>
      <c r="AQ647" s="58"/>
      <c r="AR647" s="58"/>
    </row>
    <row r="648" spans="1:44" ht="15.75" customHeight="1" x14ac:dyDescent="0.25">
      <c r="A648" s="63"/>
      <c r="B648" s="62"/>
      <c r="C648" s="62"/>
      <c r="D648" s="62"/>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c r="AE648" s="58"/>
      <c r="AF648" s="58"/>
      <c r="AG648" s="58"/>
      <c r="AH648" s="58"/>
      <c r="AI648" s="58"/>
      <c r="AJ648" s="58"/>
      <c r="AK648" s="58"/>
      <c r="AL648" s="58"/>
      <c r="AM648" s="58"/>
      <c r="AN648" s="58"/>
      <c r="AO648" s="58"/>
      <c r="AP648" s="58"/>
      <c r="AQ648" s="58"/>
      <c r="AR648" s="58"/>
    </row>
    <row r="649" spans="1:44" ht="15.75" customHeight="1" x14ac:dyDescent="0.25">
      <c r="A649" s="63"/>
      <c r="B649" s="62"/>
      <c r="C649" s="62"/>
      <c r="D649" s="62"/>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c r="AE649" s="58"/>
      <c r="AF649" s="58"/>
      <c r="AG649" s="58"/>
      <c r="AH649" s="58"/>
      <c r="AI649" s="58"/>
      <c r="AJ649" s="58"/>
      <c r="AK649" s="58"/>
      <c r="AL649" s="58"/>
      <c r="AM649" s="58"/>
      <c r="AN649" s="58"/>
      <c r="AO649" s="58"/>
      <c r="AP649" s="58"/>
      <c r="AQ649" s="58"/>
      <c r="AR649" s="58"/>
    </row>
    <row r="650" spans="1:44" ht="15.75" customHeight="1" x14ac:dyDescent="0.25">
      <c r="A650" s="63"/>
      <c r="B650" s="62"/>
      <c r="C650" s="62"/>
      <c r="D650" s="62"/>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c r="AE650" s="58"/>
      <c r="AF650" s="58"/>
      <c r="AG650" s="58"/>
      <c r="AH650" s="58"/>
      <c r="AI650" s="58"/>
      <c r="AJ650" s="58"/>
      <c r="AK650" s="58"/>
      <c r="AL650" s="58"/>
      <c r="AM650" s="58"/>
      <c r="AN650" s="58"/>
      <c r="AO650" s="58"/>
      <c r="AP650" s="58"/>
      <c r="AQ650" s="58"/>
      <c r="AR650" s="58"/>
    </row>
    <row r="651" spans="1:44" ht="15.75" customHeight="1" x14ac:dyDescent="0.25">
      <c r="A651" s="63"/>
      <c r="B651" s="62"/>
      <c r="C651" s="62"/>
      <c r="D651" s="62"/>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c r="AE651" s="58"/>
      <c r="AF651" s="58"/>
      <c r="AG651" s="58"/>
      <c r="AH651" s="58"/>
      <c r="AI651" s="58"/>
      <c r="AJ651" s="58"/>
      <c r="AK651" s="58"/>
      <c r="AL651" s="58"/>
      <c r="AM651" s="58"/>
      <c r="AN651" s="58"/>
      <c r="AO651" s="58"/>
      <c r="AP651" s="58"/>
      <c r="AQ651" s="58"/>
      <c r="AR651" s="58"/>
    </row>
    <row r="652" spans="1:44" ht="15.75" customHeight="1" x14ac:dyDescent="0.25">
      <c r="A652" s="63"/>
      <c r="B652" s="62"/>
      <c r="C652" s="62"/>
      <c r="D652" s="62"/>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c r="AE652" s="58"/>
      <c r="AF652" s="58"/>
      <c r="AG652" s="58"/>
      <c r="AH652" s="58"/>
      <c r="AI652" s="58"/>
      <c r="AJ652" s="58"/>
      <c r="AK652" s="58"/>
      <c r="AL652" s="58"/>
      <c r="AM652" s="58"/>
      <c r="AN652" s="58"/>
      <c r="AO652" s="58"/>
      <c r="AP652" s="58"/>
      <c r="AQ652" s="58"/>
      <c r="AR652" s="58"/>
    </row>
    <row r="653" spans="1:44" ht="15.75" customHeight="1" x14ac:dyDescent="0.25">
      <c r="A653" s="63"/>
      <c r="B653" s="62"/>
      <c r="C653" s="62"/>
      <c r="D653" s="62"/>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c r="AE653" s="58"/>
      <c r="AF653" s="58"/>
      <c r="AG653" s="58"/>
      <c r="AH653" s="58"/>
      <c r="AI653" s="58"/>
      <c r="AJ653" s="58"/>
      <c r="AK653" s="58"/>
      <c r="AL653" s="58"/>
      <c r="AM653" s="58"/>
      <c r="AN653" s="58"/>
      <c r="AO653" s="58"/>
      <c r="AP653" s="58"/>
      <c r="AQ653" s="58"/>
      <c r="AR653" s="58"/>
    </row>
    <row r="654" spans="1:44" ht="15.75" customHeight="1" x14ac:dyDescent="0.25">
      <c r="A654" s="63"/>
      <c r="B654" s="62"/>
      <c r="C654" s="62"/>
      <c r="D654" s="62"/>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c r="AE654" s="58"/>
      <c r="AF654" s="58"/>
      <c r="AG654" s="58"/>
      <c r="AH654" s="58"/>
      <c r="AI654" s="58"/>
      <c r="AJ654" s="58"/>
      <c r="AK654" s="58"/>
      <c r="AL654" s="58"/>
      <c r="AM654" s="58"/>
      <c r="AN654" s="58"/>
      <c r="AO654" s="58"/>
      <c r="AP654" s="58"/>
      <c r="AQ654" s="58"/>
      <c r="AR654" s="58"/>
    </row>
    <row r="655" spans="1:44" ht="15.75" customHeight="1" x14ac:dyDescent="0.25">
      <c r="A655" s="63"/>
      <c r="B655" s="62"/>
      <c r="C655" s="62"/>
      <c r="D655" s="62"/>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c r="AE655" s="58"/>
      <c r="AF655" s="58"/>
      <c r="AG655" s="58"/>
      <c r="AH655" s="58"/>
      <c r="AI655" s="58"/>
      <c r="AJ655" s="58"/>
      <c r="AK655" s="58"/>
      <c r="AL655" s="58"/>
      <c r="AM655" s="58"/>
      <c r="AN655" s="58"/>
      <c r="AO655" s="58"/>
      <c r="AP655" s="58"/>
      <c r="AQ655" s="58"/>
      <c r="AR655" s="58"/>
    </row>
    <row r="656" spans="1:44" ht="15.75" customHeight="1" x14ac:dyDescent="0.25">
      <c r="A656" s="63"/>
      <c r="B656" s="62"/>
      <c r="C656" s="62"/>
      <c r="D656" s="62"/>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c r="AE656" s="58"/>
      <c r="AF656" s="58"/>
      <c r="AG656" s="58"/>
      <c r="AH656" s="58"/>
      <c r="AI656" s="58"/>
      <c r="AJ656" s="58"/>
      <c r="AK656" s="58"/>
      <c r="AL656" s="58"/>
      <c r="AM656" s="58"/>
      <c r="AN656" s="58"/>
      <c r="AO656" s="58"/>
      <c r="AP656" s="58"/>
      <c r="AQ656" s="58"/>
      <c r="AR656" s="58"/>
    </row>
    <row r="657" spans="1:44" ht="15.75" customHeight="1" x14ac:dyDescent="0.25">
      <c r="A657" s="63"/>
      <c r="B657" s="62"/>
      <c r="C657" s="62"/>
      <c r="D657" s="62"/>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c r="AE657" s="58"/>
      <c r="AF657" s="58"/>
      <c r="AG657" s="58"/>
      <c r="AH657" s="58"/>
      <c r="AI657" s="58"/>
      <c r="AJ657" s="58"/>
      <c r="AK657" s="58"/>
      <c r="AL657" s="58"/>
      <c r="AM657" s="58"/>
      <c r="AN657" s="58"/>
      <c r="AO657" s="58"/>
      <c r="AP657" s="58"/>
      <c r="AQ657" s="58"/>
      <c r="AR657" s="58"/>
    </row>
    <row r="658" spans="1:44" ht="15.75" customHeight="1" x14ac:dyDescent="0.25">
      <c r="A658" s="63"/>
      <c r="B658" s="62"/>
      <c r="C658" s="62"/>
      <c r="D658" s="62"/>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c r="AE658" s="58"/>
      <c r="AF658" s="58"/>
      <c r="AG658" s="58"/>
      <c r="AH658" s="58"/>
      <c r="AI658" s="58"/>
      <c r="AJ658" s="58"/>
      <c r="AK658" s="58"/>
      <c r="AL658" s="58"/>
      <c r="AM658" s="58"/>
      <c r="AN658" s="58"/>
      <c r="AO658" s="58"/>
      <c r="AP658" s="58"/>
      <c r="AQ658" s="58"/>
      <c r="AR658" s="58"/>
    </row>
    <row r="659" spans="1:44" ht="15.75" customHeight="1" x14ac:dyDescent="0.25">
      <c r="A659" s="63"/>
      <c r="B659" s="62"/>
      <c r="C659" s="62"/>
      <c r="D659" s="62"/>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c r="AE659" s="58"/>
      <c r="AF659" s="58"/>
      <c r="AG659" s="58"/>
      <c r="AH659" s="58"/>
      <c r="AI659" s="58"/>
      <c r="AJ659" s="58"/>
      <c r="AK659" s="58"/>
      <c r="AL659" s="58"/>
      <c r="AM659" s="58"/>
      <c r="AN659" s="58"/>
      <c r="AO659" s="58"/>
      <c r="AP659" s="58"/>
      <c r="AQ659" s="58"/>
      <c r="AR659" s="58"/>
    </row>
    <row r="660" spans="1:44" ht="15.75" customHeight="1" x14ac:dyDescent="0.25">
      <c r="A660" s="63"/>
      <c r="B660" s="62"/>
      <c r="C660" s="62"/>
      <c r="D660" s="62"/>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c r="AE660" s="58"/>
      <c r="AF660" s="58"/>
      <c r="AG660" s="58"/>
      <c r="AH660" s="58"/>
      <c r="AI660" s="58"/>
      <c r="AJ660" s="58"/>
      <c r="AK660" s="58"/>
      <c r="AL660" s="58"/>
      <c r="AM660" s="58"/>
      <c r="AN660" s="58"/>
      <c r="AO660" s="58"/>
      <c r="AP660" s="58"/>
      <c r="AQ660" s="58"/>
      <c r="AR660" s="58"/>
    </row>
    <row r="661" spans="1:44" ht="15.75" customHeight="1" x14ac:dyDescent="0.25">
      <c r="A661" s="63"/>
      <c r="B661" s="62"/>
      <c r="C661" s="62"/>
      <c r="D661" s="62"/>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c r="AE661" s="58"/>
      <c r="AF661" s="58"/>
      <c r="AG661" s="58"/>
      <c r="AH661" s="58"/>
      <c r="AI661" s="58"/>
      <c r="AJ661" s="58"/>
      <c r="AK661" s="58"/>
      <c r="AL661" s="58"/>
      <c r="AM661" s="58"/>
      <c r="AN661" s="58"/>
      <c r="AO661" s="58"/>
      <c r="AP661" s="58"/>
      <c r="AQ661" s="58"/>
      <c r="AR661" s="58"/>
    </row>
    <row r="662" spans="1:44" ht="15.75" customHeight="1" x14ac:dyDescent="0.25">
      <c r="A662" s="63"/>
      <c r="B662" s="62"/>
      <c r="C662" s="62"/>
      <c r="D662" s="62"/>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c r="AE662" s="58"/>
      <c r="AF662" s="58"/>
      <c r="AG662" s="58"/>
      <c r="AH662" s="58"/>
      <c r="AI662" s="58"/>
      <c r="AJ662" s="58"/>
      <c r="AK662" s="58"/>
      <c r="AL662" s="58"/>
      <c r="AM662" s="58"/>
      <c r="AN662" s="58"/>
      <c r="AO662" s="58"/>
      <c r="AP662" s="58"/>
      <c r="AQ662" s="58"/>
      <c r="AR662" s="58"/>
    </row>
    <row r="663" spans="1:44" ht="15.75" customHeight="1" x14ac:dyDescent="0.25">
      <c r="A663" s="63"/>
      <c r="B663" s="62"/>
      <c r="C663" s="62"/>
      <c r="D663" s="62"/>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c r="AE663" s="58"/>
      <c r="AF663" s="58"/>
      <c r="AG663" s="58"/>
      <c r="AH663" s="58"/>
      <c r="AI663" s="58"/>
      <c r="AJ663" s="58"/>
      <c r="AK663" s="58"/>
      <c r="AL663" s="58"/>
      <c r="AM663" s="58"/>
      <c r="AN663" s="58"/>
      <c r="AO663" s="58"/>
      <c r="AP663" s="58"/>
      <c r="AQ663" s="58"/>
      <c r="AR663" s="58"/>
    </row>
    <row r="664" spans="1:44" ht="15.75" customHeight="1" x14ac:dyDescent="0.25">
      <c r="A664" s="63"/>
      <c r="B664" s="62"/>
      <c r="C664" s="62"/>
      <c r="D664" s="62"/>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c r="AE664" s="58"/>
      <c r="AF664" s="58"/>
      <c r="AG664" s="58"/>
      <c r="AH664" s="58"/>
      <c r="AI664" s="58"/>
      <c r="AJ664" s="58"/>
      <c r="AK664" s="58"/>
      <c r="AL664" s="58"/>
      <c r="AM664" s="58"/>
      <c r="AN664" s="58"/>
      <c r="AO664" s="58"/>
      <c r="AP664" s="58"/>
      <c r="AQ664" s="58"/>
      <c r="AR664" s="58"/>
    </row>
    <row r="665" spans="1:44" ht="15.75" customHeight="1" x14ac:dyDescent="0.25">
      <c r="A665" s="63"/>
      <c r="B665" s="62"/>
      <c r="C665" s="62"/>
      <c r="D665" s="62"/>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c r="AE665" s="58"/>
      <c r="AF665" s="58"/>
      <c r="AG665" s="58"/>
      <c r="AH665" s="58"/>
      <c r="AI665" s="58"/>
      <c r="AJ665" s="58"/>
      <c r="AK665" s="58"/>
      <c r="AL665" s="58"/>
      <c r="AM665" s="58"/>
      <c r="AN665" s="58"/>
      <c r="AO665" s="58"/>
      <c r="AP665" s="58"/>
      <c r="AQ665" s="58"/>
      <c r="AR665" s="58"/>
    </row>
    <row r="666" spans="1:44" ht="15.75" customHeight="1" x14ac:dyDescent="0.25">
      <c r="A666" s="63"/>
      <c r="B666" s="62"/>
      <c r="C666" s="62"/>
      <c r="D666" s="62"/>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c r="AE666" s="58"/>
      <c r="AF666" s="58"/>
      <c r="AG666" s="58"/>
      <c r="AH666" s="58"/>
      <c r="AI666" s="58"/>
      <c r="AJ666" s="58"/>
      <c r="AK666" s="58"/>
      <c r="AL666" s="58"/>
      <c r="AM666" s="58"/>
      <c r="AN666" s="58"/>
      <c r="AO666" s="58"/>
      <c r="AP666" s="58"/>
      <c r="AQ666" s="58"/>
      <c r="AR666" s="58"/>
    </row>
    <row r="667" spans="1:44" ht="15.75" customHeight="1" x14ac:dyDescent="0.25">
      <c r="A667" s="63"/>
      <c r="B667" s="62"/>
      <c r="C667" s="62"/>
      <c r="D667" s="62"/>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c r="AE667" s="58"/>
      <c r="AF667" s="58"/>
      <c r="AG667" s="58"/>
      <c r="AH667" s="58"/>
      <c r="AI667" s="58"/>
      <c r="AJ667" s="58"/>
      <c r="AK667" s="58"/>
      <c r="AL667" s="58"/>
      <c r="AM667" s="58"/>
      <c r="AN667" s="58"/>
      <c r="AO667" s="58"/>
      <c r="AP667" s="58"/>
      <c r="AQ667" s="58"/>
      <c r="AR667" s="58"/>
    </row>
    <row r="668" spans="1:44" ht="15.75" customHeight="1" x14ac:dyDescent="0.25">
      <c r="A668" s="63"/>
      <c r="B668" s="62"/>
      <c r="C668" s="62"/>
      <c r="D668" s="62"/>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c r="AE668" s="58"/>
      <c r="AF668" s="58"/>
      <c r="AG668" s="58"/>
      <c r="AH668" s="58"/>
      <c r="AI668" s="58"/>
      <c r="AJ668" s="58"/>
      <c r="AK668" s="58"/>
      <c r="AL668" s="58"/>
      <c r="AM668" s="58"/>
      <c r="AN668" s="58"/>
      <c r="AO668" s="58"/>
      <c r="AP668" s="58"/>
      <c r="AQ668" s="58"/>
      <c r="AR668" s="58"/>
    </row>
    <row r="669" spans="1:44" ht="15.75" customHeight="1" x14ac:dyDescent="0.25">
      <c r="A669" s="63"/>
      <c r="B669" s="62"/>
      <c r="C669" s="62"/>
      <c r="D669" s="62"/>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c r="AE669" s="58"/>
      <c r="AF669" s="58"/>
      <c r="AG669" s="58"/>
      <c r="AH669" s="58"/>
      <c r="AI669" s="58"/>
      <c r="AJ669" s="58"/>
      <c r="AK669" s="58"/>
      <c r="AL669" s="58"/>
      <c r="AM669" s="58"/>
      <c r="AN669" s="58"/>
      <c r="AO669" s="58"/>
      <c r="AP669" s="58"/>
      <c r="AQ669" s="58"/>
      <c r="AR669" s="58"/>
    </row>
    <row r="670" spans="1:44" ht="15.75" customHeight="1" x14ac:dyDescent="0.25">
      <c r="A670" s="63"/>
      <c r="B670" s="62"/>
      <c r="C670" s="62"/>
      <c r="D670" s="62"/>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c r="AE670" s="58"/>
      <c r="AF670" s="58"/>
      <c r="AG670" s="58"/>
      <c r="AH670" s="58"/>
      <c r="AI670" s="58"/>
      <c r="AJ670" s="58"/>
      <c r="AK670" s="58"/>
      <c r="AL670" s="58"/>
      <c r="AM670" s="58"/>
      <c r="AN670" s="58"/>
      <c r="AO670" s="58"/>
      <c r="AP670" s="58"/>
      <c r="AQ670" s="58"/>
      <c r="AR670" s="58"/>
    </row>
    <row r="671" spans="1:44" ht="15.75" customHeight="1" x14ac:dyDescent="0.25">
      <c r="A671" s="63"/>
      <c r="B671" s="62"/>
      <c r="C671" s="62"/>
      <c r="D671" s="62"/>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c r="AE671" s="58"/>
      <c r="AF671" s="58"/>
      <c r="AG671" s="58"/>
      <c r="AH671" s="58"/>
      <c r="AI671" s="58"/>
      <c r="AJ671" s="58"/>
      <c r="AK671" s="58"/>
      <c r="AL671" s="58"/>
      <c r="AM671" s="58"/>
      <c r="AN671" s="58"/>
      <c r="AO671" s="58"/>
      <c r="AP671" s="58"/>
      <c r="AQ671" s="58"/>
      <c r="AR671" s="58"/>
    </row>
    <row r="672" spans="1:44" ht="15.75" customHeight="1" x14ac:dyDescent="0.25">
      <c r="A672" s="63"/>
      <c r="B672" s="62"/>
      <c r="C672" s="62"/>
      <c r="D672" s="62"/>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c r="AE672" s="58"/>
      <c r="AF672" s="58"/>
      <c r="AG672" s="58"/>
      <c r="AH672" s="58"/>
      <c r="AI672" s="58"/>
      <c r="AJ672" s="58"/>
      <c r="AK672" s="58"/>
      <c r="AL672" s="58"/>
      <c r="AM672" s="58"/>
      <c r="AN672" s="58"/>
      <c r="AO672" s="58"/>
      <c r="AP672" s="58"/>
      <c r="AQ672" s="58"/>
      <c r="AR672" s="58"/>
    </row>
    <row r="673" spans="1:44" ht="15.75" customHeight="1" x14ac:dyDescent="0.25">
      <c r="A673" s="63"/>
      <c r="B673" s="62"/>
      <c r="C673" s="62"/>
      <c r="D673" s="62"/>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c r="AE673" s="58"/>
      <c r="AF673" s="58"/>
      <c r="AG673" s="58"/>
      <c r="AH673" s="58"/>
      <c r="AI673" s="58"/>
      <c r="AJ673" s="58"/>
      <c r="AK673" s="58"/>
      <c r="AL673" s="58"/>
      <c r="AM673" s="58"/>
      <c r="AN673" s="58"/>
      <c r="AO673" s="58"/>
      <c r="AP673" s="58"/>
      <c r="AQ673" s="58"/>
      <c r="AR673" s="58"/>
    </row>
    <row r="674" spans="1:44" ht="15.75" customHeight="1" x14ac:dyDescent="0.25">
      <c r="A674" s="63"/>
      <c r="B674" s="62"/>
      <c r="C674" s="62"/>
      <c r="D674" s="62"/>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c r="AE674" s="58"/>
      <c r="AF674" s="58"/>
      <c r="AG674" s="58"/>
      <c r="AH674" s="58"/>
      <c r="AI674" s="58"/>
      <c r="AJ674" s="58"/>
      <c r="AK674" s="58"/>
      <c r="AL674" s="58"/>
      <c r="AM674" s="58"/>
      <c r="AN674" s="58"/>
      <c r="AO674" s="58"/>
      <c r="AP674" s="58"/>
      <c r="AQ674" s="58"/>
      <c r="AR674" s="58"/>
    </row>
    <row r="675" spans="1:44" ht="15.75" customHeight="1" x14ac:dyDescent="0.25">
      <c r="A675" s="63"/>
      <c r="B675" s="62"/>
      <c r="C675" s="62"/>
      <c r="D675" s="62"/>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c r="AE675" s="58"/>
      <c r="AF675" s="58"/>
      <c r="AG675" s="58"/>
      <c r="AH675" s="58"/>
      <c r="AI675" s="58"/>
      <c r="AJ675" s="58"/>
      <c r="AK675" s="58"/>
      <c r="AL675" s="58"/>
      <c r="AM675" s="58"/>
      <c r="AN675" s="58"/>
      <c r="AO675" s="58"/>
      <c r="AP675" s="58"/>
      <c r="AQ675" s="58"/>
      <c r="AR675" s="58"/>
    </row>
    <row r="676" spans="1:44" ht="15.75" customHeight="1" x14ac:dyDescent="0.25">
      <c r="A676" s="63"/>
      <c r="B676" s="62"/>
      <c r="C676" s="62"/>
      <c r="D676" s="62"/>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c r="AE676" s="58"/>
      <c r="AF676" s="58"/>
      <c r="AG676" s="58"/>
      <c r="AH676" s="58"/>
      <c r="AI676" s="58"/>
      <c r="AJ676" s="58"/>
      <c r="AK676" s="58"/>
      <c r="AL676" s="58"/>
      <c r="AM676" s="58"/>
      <c r="AN676" s="58"/>
      <c r="AO676" s="58"/>
      <c r="AP676" s="58"/>
      <c r="AQ676" s="58"/>
      <c r="AR676" s="58"/>
    </row>
    <row r="677" spans="1:44" ht="15.75" customHeight="1" x14ac:dyDescent="0.25">
      <c r="A677" s="63"/>
      <c r="B677" s="62"/>
      <c r="C677" s="62"/>
      <c r="D677" s="62"/>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c r="AE677" s="58"/>
      <c r="AF677" s="58"/>
      <c r="AG677" s="58"/>
      <c r="AH677" s="58"/>
      <c r="AI677" s="58"/>
      <c r="AJ677" s="58"/>
      <c r="AK677" s="58"/>
      <c r="AL677" s="58"/>
      <c r="AM677" s="58"/>
      <c r="AN677" s="58"/>
      <c r="AO677" s="58"/>
      <c r="AP677" s="58"/>
      <c r="AQ677" s="58"/>
      <c r="AR677" s="58"/>
    </row>
    <row r="678" spans="1:44" ht="15.75" customHeight="1" x14ac:dyDescent="0.25">
      <c r="A678" s="63"/>
      <c r="B678" s="62"/>
      <c r="C678" s="62"/>
      <c r="D678" s="62"/>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c r="AE678" s="58"/>
      <c r="AF678" s="58"/>
      <c r="AG678" s="58"/>
      <c r="AH678" s="58"/>
      <c r="AI678" s="58"/>
      <c r="AJ678" s="58"/>
      <c r="AK678" s="58"/>
      <c r="AL678" s="58"/>
      <c r="AM678" s="58"/>
      <c r="AN678" s="58"/>
      <c r="AO678" s="58"/>
      <c r="AP678" s="58"/>
      <c r="AQ678" s="58"/>
      <c r="AR678" s="58"/>
    </row>
    <row r="679" spans="1:44" ht="15.75" customHeight="1" x14ac:dyDescent="0.25">
      <c r="A679" s="63"/>
      <c r="B679" s="62"/>
      <c r="C679" s="62"/>
      <c r="D679" s="62"/>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c r="AE679" s="58"/>
      <c r="AF679" s="58"/>
      <c r="AG679" s="58"/>
      <c r="AH679" s="58"/>
      <c r="AI679" s="58"/>
      <c r="AJ679" s="58"/>
      <c r="AK679" s="58"/>
      <c r="AL679" s="58"/>
      <c r="AM679" s="58"/>
      <c r="AN679" s="58"/>
      <c r="AO679" s="58"/>
      <c r="AP679" s="58"/>
      <c r="AQ679" s="58"/>
      <c r="AR679" s="58"/>
    </row>
    <row r="680" spans="1:44" ht="15.75" customHeight="1" x14ac:dyDescent="0.25">
      <c r="A680" s="63"/>
      <c r="B680" s="62"/>
      <c r="C680" s="62"/>
      <c r="D680" s="62"/>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c r="AE680" s="58"/>
      <c r="AF680" s="58"/>
      <c r="AG680" s="58"/>
      <c r="AH680" s="58"/>
      <c r="AI680" s="58"/>
      <c r="AJ680" s="58"/>
      <c r="AK680" s="58"/>
      <c r="AL680" s="58"/>
      <c r="AM680" s="58"/>
      <c r="AN680" s="58"/>
      <c r="AO680" s="58"/>
      <c r="AP680" s="58"/>
      <c r="AQ680" s="58"/>
      <c r="AR680" s="58"/>
    </row>
    <row r="681" spans="1:44" ht="15.75" customHeight="1" x14ac:dyDescent="0.25">
      <c r="A681" s="63"/>
      <c r="B681" s="62"/>
      <c r="C681" s="62"/>
      <c r="D681" s="62"/>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c r="AE681" s="58"/>
      <c r="AF681" s="58"/>
      <c r="AG681" s="58"/>
      <c r="AH681" s="58"/>
      <c r="AI681" s="58"/>
      <c r="AJ681" s="58"/>
      <c r="AK681" s="58"/>
      <c r="AL681" s="58"/>
      <c r="AM681" s="58"/>
      <c r="AN681" s="58"/>
      <c r="AO681" s="58"/>
      <c r="AP681" s="58"/>
      <c r="AQ681" s="58"/>
      <c r="AR681" s="58"/>
    </row>
    <row r="682" spans="1:44" ht="15.75" customHeight="1" x14ac:dyDescent="0.25">
      <c r="A682" s="63"/>
      <c r="B682" s="62"/>
      <c r="C682" s="62"/>
      <c r="D682" s="62"/>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c r="AE682" s="58"/>
      <c r="AF682" s="58"/>
      <c r="AG682" s="58"/>
      <c r="AH682" s="58"/>
      <c r="AI682" s="58"/>
      <c r="AJ682" s="58"/>
      <c r="AK682" s="58"/>
      <c r="AL682" s="58"/>
      <c r="AM682" s="58"/>
      <c r="AN682" s="58"/>
      <c r="AO682" s="58"/>
      <c r="AP682" s="58"/>
      <c r="AQ682" s="58"/>
      <c r="AR682" s="58"/>
    </row>
    <row r="683" spans="1:44" ht="15.75" customHeight="1" x14ac:dyDescent="0.25">
      <c r="A683" s="63"/>
      <c r="B683" s="62"/>
      <c r="C683" s="62"/>
      <c r="D683" s="62"/>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c r="AE683" s="58"/>
      <c r="AF683" s="58"/>
      <c r="AG683" s="58"/>
      <c r="AH683" s="58"/>
      <c r="AI683" s="58"/>
      <c r="AJ683" s="58"/>
      <c r="AK683" s="58"/>
      <c r="AL683" s="58"/>
      <c r="AM683" s="58"/>
      <c r="AN683" s="58"/>
      <c r="AO683" s="58"/>
      <c r="AP683" s="58"/>
      <c r="AQ683" s="58"/>
      <c r="AR683" s="58"/>
    </row>
    <row r="684" spans="1:44" ht="15.75" customHeight="1" x14ac:dyDescent="0.25">
      <c r="A684" s="63"/>
      <c r="B684" s="62"/>
      <c r="C684" s="62"/>
      <c r="D684" s="62"/>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c r="AE684" s="58"/>
      <c r="AF684" s="58"/>
      <c r="AG684" s="58"/>
      <c r="AH684" s="58"/>
      <c r="AI684" s="58"/>
      <c r="AJ684" s="58"/>
      <c r="AK684" s="58"/>
      <c r="AL684" s="58"/>
      <c r="AM684" s="58"/>
      <c r="AN684" s="58"/>
      <c r="AO684" s="58"/>
      <c r="AP684" s="58"/>
      <c r="AQ684" s="58"/>
      <c r="AR684" s="58"/>
    </row>
    <row r="685" spans="1:44" ht="15.75" customHeight="1" x14ac:dyDescent="0.25">
      <c r="A685" s="63"/>
      <c r="B685" s="62"/>
      <c r="C685" s="62"/>
      <c r="D685" s="62"/>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c r="AE685" s="58"/>
      <c r="AF685" s="58"/>
      <c r="AG685" s="58"/>
      <c r="AH685" s="58"/>
      <c r="AI685" s="58"/>
      <c r="AJ685" s="58"/>
      <c r="AK685" s="58"/>
      <c r="AL685" s="58"/>
      <c r="AM685" s="58"/>
      <c r="AN685" s="58"/>
      <c r="AO685" s="58"/>
      <c r="AP685" s="58"/>
      <c r="AQ685" s="58"/>
      <c r="AR685" s="58"/>
    </row>
    <row r="686" spans="1:44" ht="15.75" customHeight="1" x14ac:dyDescent="0.25">
      <c r="A686" s="63"/>
      <c r="B686" s="62"/>
      <c r="C686" s="62"/>
      <c r="D686" s="62"/>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c r="AE686" s="58"/>
      <c r="AF686" s="58"/>
      <c r="AG686" s="58"/>
      <c r="AH686" s="58"/>
      <c r="AI686" s="58"/>
      <c r="AJ686" s="58"/>
      <c r="AK686" s="58"/>
      <c r="AL686" s="58"/>
      <c r="AM686" s="58"/>
      <c r="AN686" s="58"/>
      <c r="AO686" s="58"/>
      <c r="AP686" s="58"/>
      <c r="AQ686" s="58"/>
      <c r="AR686" s="58"/>
    </row>
    <row r="687" spans="1:44" ht="15.75" customHeight="1" x14ac:dyDescent="0.25">
      <c r="A687" s="63"/>
      <c r="B687" s="62"/>
      <c r="C687" s="62"/>
      <c r="D687" s="62"/>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c r="AE687" s="58"/>
      <c r="AF687" s="58"/>
      <c r="AG687" s="58"/>
      <c r="AH687" s="58"/>
      <c r="AI687" s="58"/>
      <c r="AJ687" s="58"/>
      <c r="AK687" s="58"/>
      <c r="AL687" s="58"/>
      <c r="AM687" s="58"/>
      <c r="AN687" s="58"/>
      <c r="AO687" s="58"/>
      <c r="AP687" s="58"/>
      <c r="AQ687" s="58"/>
      <c r="AR687" s="58"/>
    </row>
    <row r="688" spans="1:44" ht="15.75" customHeight="1" x14ac:dyDescent="0.25">
      <c r="A688" s="63"/>
      <c r="B688" s="62"/>
      <c r="C688" s="62"/>
      <c r="D688" s="62"/>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c r="AE688" s="58"/>
      <c r="AF688" s="58"/>
      <c r="AG688" s="58"/>
      <c r="AH688" s="58"/>
      <c r="AI688" s="58"/>
      <c r="AJ688" s="58"/>
      <c r="AK688" s="58"/>
      <c r="AL688" s="58"/>
      <c r="AM688" s="58"/>
      <c r="AN688" s="58"/>
      <c r="AO688" s="58"/>
      <c r="AP688" s="58"/>
      <c r="AQ688" s="58"/>
      <c r="AR688" s="58"/>
    </row>
    <row r="689" spans="1:44" ht="15.75" customHeight="1" x14ac:dyDescent="0.25">
      <c r="A689" s="63"/>
      <c r="B689" s="62"/>
      <c r="C689" s="62"/>
      <c r="D689" s="62"/>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c r="AE689" s="58"/>
      <c r="AF689" s="58"/>
      <c r="AG689" s="58"/>
      <c r="AH689" s="58"/>
      <c r="AI689" s="58"/>
      <c r="AJ689" s="58"/>
      <c r="AK689" s="58"/>
      <c r="AL689" s="58"/>
      <c r="AM689" s="58"/>
      <c r="AN689" s="58"/>
      <c r="AO689" s="58"/>
      <c r="AP689" s="58"/>
      <c r="AQ689" s="58"/>
      <c r="AR689" s="58"/>
    </row>
    <row r="690" spans="1:44" ht="15.75" customHeight="1" x14ac:dyDescent="0.25">
      <c r="A690" s="63"/>
      <c r="B690" s="62"/>
      <c r="C690" s="62"/>
      <c r="D690" s="62"/>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c r="AE690" s="58"/>
      <c r="AF690" s="58"/>
      <c r="AG690" s="58"/>
      <c r="AH690" s="58"/>
      <c r="AI690" s="58"/>
      <c r="AJ690" s="58"/>
      <c r="AK690" s="58"/>
      <c r="AL690" s="58"/>
      <c r="AM690" s="58"/>
      <c r="AN690" s="58"/>
      <c r="AO690" s="58"/>
      <c r="AP690" s="58"/>
      <c r="AQ690" s="58"/>
      <c r="AR690" s="58"/>
    </row>
    <row r="691" spans="1:44" ht="15.75" customHeight="1" x14ac:dyDescent="0.25">
      <c r="A691" s="63"/>
      <c r="B691" s="62"/>
      <c r="C691" s="62"/>
      <c r="D691" s="62"/>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c r="AE691" s="58"/>
      <c r="AF691" s="58"/>
      <c r="AG691" s="58"/>
      <c r="AH691" s="58"/>
      <c r="AI691" s="58"/>
      <c r="AJ691" s="58"/>
      <c r="AK691" s="58"/>
      <c r="AL691" s="58"/>
      <c r="AM691" s="58"/>
      <c r="AN691" s="58"/>
      <c r="AO691" s="58"/>
      <c r="AP691" s="58"/>
      <c r="AQ691" s="58"/>
      <c r="AR691" s="58"/>
    </row>
    <row r="692" spans="1:44" ht="15.75" customHeight="1" x14ac:dyDescent="0.25">
      <c r="A692" s="63"/>
      <c r="B692" s="62"/>
      <c r="C692" s="62"/>
      <c r="D692" s="62"/>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c r="AE692" s="58"/>
      <c r="AF692" s="58"/>
      <c r="AG692" s="58"/>
      <c r="AH692" s="58"/>
      <c r="AI692" s="58"/>
      <c r="AJ692" s="58"/>
      <c r="AK692" s="58"/>
      <c r="AL692" s="58"/>
      <c r="AM692" s="58"/>
      <c r="AN692" s="58"/>
      <c r="AO692" s="58"/>
      <c r="AP692" s="58"/>
      <c r="AQ692" s="58"/>
      <c r="AR692" s="58"/>
    </row>
    <row r="693" spans="1:44" ht="15.75" customHeight="1" x14ac:dyDescent="0.25">
      <c r="A693" s="63"/>
      <c r="B693" s="62"/>
      <c r="C693" s="62"/>
      <c r="D693" s="62"/>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c r="AE693" s="58"/>
      <c r="AF693" s="58"/>
      <c r="AG693" s="58"/>
      <c r="AH693" s="58"/>
      <c r="AI693" s="58"/>
      <c r="AJ693" s="58"/>
      <c r="AK693" s="58"/>
      <c r="AL693" s="58"/>
      <c r="AM693" s="58"/>
      <c r="AN693" s="58"/>
      <c r="AO693" s="58"/>
      <c r="AP693" s="58"/>
      <c r="AQ693" s="58"/>
      <c r="AR693" s="58"/>
    </row>
    <row r="694" spans="1:44" ht="15.75" customHeight="1" x14ac:dyDescent="0.25">
      <c r="A694" s="63"/>
      <c r="B694" s="62"/>
      <c r="C694" s="62"/>
      <c r="D694" s="62"/>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c r="AE694" s="58"/>
      <c r="AF694" s="58"/>
      <c r="AG694" s="58"/>
      <c r="AH694" s="58"/>
      <c r="AI694" s="58"/>
      <c r="AJ694" s="58"/>
      <c r="AK694" s="58"/>
      <c r="AL694" s="58"/>
      <c r="AM694" s="58"/>
      <c r="AN694" s="58"/>
      <c r="AO694" s="58"/>
      <c r="AP694" s="58"/>
      <c r="AQ694" s="58"/>
      <c r="AR694" s="58"/>
    </row>
    <row r="695" spans="1:44" ht="15.75" customHeight="1" x14ac:dyDescent="0.25">
      <c r="A695" s="63"/>
      <c r="B695" s="62"/>
      <c r="C695" s="62"/>
      <c r="D695" s="62"/>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c r="AE695" s="58"/>
      <c r="AF695" s="58"/>
      <c r="AG695" s="58"/>
      <c r="AH695" s="58"/>
      <c r="AI695" s="58"/>
      <c r="AJ695" s="58"/>
      <c r="AK695" s="58"/>
      <c r="AL695" s="58"/>
      <c r="AM695" s="58"/>
      <c r="AN695" s="58"/>
      <c r="AO695" s="58"/>
      <c r="AP695" s="58"/>
      <c r="AQ695" s="58"/>
      <c r="AR695" s="58"/>
    </row>
    <row r="696" spans="1:44" ht="15.75" customHeight="1" x14ac:dyDescent="0.25">
      <c r="A696" s="63"/>
      <c r="B696" s="62"/>
      <c r="C696" s="62"/>
      <c r="D696" s="62"/>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c r="AE696" s="58"/>
      <c r="AF696" s="58"/>
      <c r="AG696" s="58"/>
      <c r="AH696" s="58"/>
      <c r="AI696" s="58"/>
      <c r="AJ696" s="58"/>
      <c r="AK696" s="58"/>
      <c r="AL696" s="58"/>
      <c r="AM696" s="58"/>
      <c r="AN696" s="58"/>
      <c r="AO696" s="58"/>
      <c r="AP696" s="58"/>
      <c r="AQ696" s="58"/>
      <c r="AR696" s="58"/>
    </row>
    <row r="697" spans="1:44" ht="15.75" customHeight="1" x14ac:dyDescent="0.25">
      <c r="A697" s="63"/>
      <c r="B697" s="62"/>
      <c r="C697" s="62"/>
      <c r="D697" s="62"/>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c r="AE697" s="58"/>
      <c r="AF697" s="58"/>
      <c r="AG697" s="58"/>
      <c r="AH697" s="58"/>
      <c r="AI697" s="58"/>
      <c r="AJ697" s="58"/>
      <c r="AK697" s="58"/>
      <c r="AL697" s="58"/>
      <c r="AM697" s="58"/>
      <c r="AN697" s="58"/>
      <c r="AO697" s="58"/>
      <c r="AP697" s="58"/>
      <c r="AQ697" s="58"/>
      <c r="AR697" s="58"/>
    </row>
    <row r="698" spans="1:44" ht="15.75" customHeight="1" x14ac:dyDescent="0.25">
      <c r="A698" s="63"/>
      <c r="B698" s="62"/>
      <c r="C698" s="62"/>
      <c r="D698" s="62"/>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c r="AE698" s="58"/>
      <c r="AF698" s="58"/>
      <c r="AG698" s="58"/>
      <c r="AH698" s="58"/>
      <c r="AI698" s="58"/>
      <c r="AJ698" s="58"/>
      <c r="AK698" s="58"/>
      <c r="AL698" s="58"/>
      <c r="AM698" s="58"/>
      <c r="AN698" s="58"/>
      <c r="AO698" s="58"/>
      <c r="AP698" s="58"/>
      <c r="AQ698" s="58"/>
      <c r="AR698" s="58"/>
    </row>
    <row r="699" spans="1:44" ht="15.75" customHeight="1" x14ac:dyDescent="0.25">
      <c r="A699" s="63"/>
      <c r="B699" s="62"/>
      <c r="C699" s="62"/>
      <c r="D699" s="62"/>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c r="AE699" s="58"/>
      <c r="AF699" s="58"/>
      <c r="AG699" s="58"/>
      <c r="AH699" s="58"/>
      <c r="AI699" s="58"/>
      <c r="AJ699" s="58"/>
      <c r="AK699" s="58"/>
      <c r="AL699" s="58"/>
      <c r="AM699" s="58"/>
      <c r="AN699" s="58"/>
      <c r="AO699" s="58"/>
      <c r="AP699" s="58"/>
      <c r="AQ699" s="58"/>
      <c r="AR699" s="58"/>
    </row>
    <row r="700" spans="1:44" ht="15.75" customHeight="1" x14ac:dyDescent="0.25">
      <c r="A700" s="63"/>
      <c r="B700" s="62"/>
      <c r="C700" s="62"/>
      <c r="D700" s="62"/>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c r="AE700" s="58"/>
      <c r="AF700" s="58"/>
      <c r="AG700" s="58"/>
      <c r="AH700" s="58"/>
      <c r="AI700" s="58"/>
      <c r="AJ700" s="58"/>
      <c r="AK700" s="58"/>
      <c r="AL700" s="58"/>
      <c r="AM700" s="58"/>
      <c r="AN700" s="58"/>
      <c r="AO700" s="58"/>
      <c r="AP700" s="58"/>
      <c r="AQ700" s="58"/>
      <c r="AR700" s="58"/>
    </row>
    <row r="701" spans="1:44" ht="15.75" customHeight="1" x14ac:dyDescent="0.25">
      <c r="A701" s="63"/>
      <c r="B701" s="62"/>
      <c r="C701" s="62"/>
      <c r="D701" s="62"/>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c r="AE701" s="58"/>
      <c r="AF701" s="58"/>
      <c r="AG701" s="58"/>
      <c r="AH701" s="58"/>
      <c r="AI701" s="58"/>
      <c r="AJ701" s="58"/>
      <c r="AK701" s="58"/>
      <c r="AL701" s="58"/>
      <c r="AM701" s="58"/>
      <c r="AN701" s="58"/>
      <c r="AO701" s="58"/>
      <c r="AP701" s="58"/>
      <c r="AQ701" s="58"/>
      <c r="AR701" s="58"/>
    </row>
    <row r="702" spans="1:44" ht="15.75" customHeight="1" x14ac:dyDescent="0.25">
      <c r="A702" s="63"/>
      <c r="B702" s="62"/>
      <c r="C702" s="62"/>
      <c r="D702" s="62"/>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c r="AE702" s="58"/>
      <c r="AF702" s="58"/>
      <c r="AG702" s="58"/>
      <c r="AH702" s="58"/>
      <c r="AI702" s="58"/>
      <c r="AJ702" s="58"/>
      <c r="AK702" s="58"/>
      <c r="AL702" s="58"/>
      <c r="AM702" s="58"/>
      <c r="AN702" s="58"/>
      <c r="AO702" s="58"/>
      <c r="AP702" s="58"/>
      <c r="AQ702" s="58"/>
      <c r="AR702" s="58"/>
    </row>
    <row r="703" spans="1:44" ht="15.75" customHeight="1" x14ac:dyDescent="0.25">
      <c r="A703" s="63"/>
      <c r="B703" s="62"/>
      <c r="C703" s="62"/>
      <c r="D703" s="62"/>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c r="AE703" s="58"/>
      <c r="AF703" s="58"/>
      <c r="AG703" s="58"/>
      <c r="AH703" s="58"/>
      <c r="AI703" s="58"/>
      <c r="AJ703" s="58"/>
      <c r="AK703" s="58"/>
      <c r="AL703" s="58"/>
      <c r="AM703" s="58"/>
      <c r="AN703" s="58"/>
      <c r="AO703" s="58"/>
      <c r="AP703" s="58"/>
      <c r="AQ703" s="58"/>
      <c r="AR703" s="58"/>
    </row>
    <row r="704" spans="1:44" ht="15.75" customHeight="1" x14ac:dyDescent="0.25">
      <c r="A704" s="63"/>
      <c r="B704" s="62"/>
      <c r="C704" s="62"/>
      <c r="D704" s="62"/>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c r="AE704" s="58"/>
      <c r="AF704" s="58"/>
      <c r="AG704" s="58"/>
      <c r="AH704" s="58"/>
      <c r="AI704" s="58"/>
      <c r="AJ704" s="58"/>
      <c r="AK704" s="58"/>
      <c r="AL704" s="58"/>
      <c r="AM704" s="58"/>
      <c r="AN704" s="58"/>
      <c r="AO704" s="58"/>
      <c r="AP704" s="58"/>
      <c r="AQ704" s="58"/>
      <c r="AR704" s="58"/>
    </row>
    <row r="705" spans="1:44" ht="15.75" customHeight="1" x14ac:dyDescent="0.25">
      <c r="A705" s="63"/>
      <c r="B705" s="62"/>
      <c r="C705" s="62"/>
      <c r="D705" s="62"/>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c r="AE705" s="58"/>
      <c r="AF705" s="58"/>
      <c r="AG705" s="58"/>
      <c r="AH705" s="58"/>
      <c r="AI705" s="58"/>
      <c r="AJ705" s="58"/>
      <c r="AK705" s="58"/>
      <c r="AL705" s="58"/>
      <c r="AM705" s="58"/>
      <c r="AN705" s="58"/>
      <c r="AO705" s="58"/>
      <c r="AP705" s="58"/>
      <c r="AQ705" s="58"/>
      <c r="AR705" s="58"/>
    </row>
    <row r="706" spans="1:44" ht="15.75" customHeight="1" x14ac:dyDescent="0.25">
      <c r="A706" s="63"/>
      <c r="B706" s="62"/>
      <c r="C706" s="62"/>
      <c r="D706" s="62"/>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c r="AE706" s="58"/>
      <c r="AF706" s="58"/>
      <c r="AG706" s="58"/>
      <c r="AH706" s="58"/>
      <c r="AI706" s="58"/>
      <c r="AJ706" s="58"/>
      <c r="AK706" s="58"/>
      <c r="AL706" s="58"/>
      <c r="AM706" s="58"/>
      <c r="AN706" s="58"/>
      <c r="AO706" s="58"/>
      <c r="AP706" s="58"/>
      <c r="AQ706" s="58"/>
      <c r="AR706" s="58"/>
    </row>
    <row r="707" spans="1:44" ht="15.75" customHeight="1" x14ac:dyDescent="0.25">
      <c r="A707" s="63"/>
      <c r="B707" s="62"/>
      <c r="C707" s="62"/>
      <c r="D707" s="62"/>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c r="AE707" s="58"/>
      <c r="AF707" s="58"/>
      <c r="AG707" s="58"/>
      <c r="AH707" s="58"/>
      <c r="AI707" s="58"/>
      <c r="AJ707" s="58"/>
      <c r="AK707" s="58"/>
      <c r="AL707" s="58"/>
      <c r="AM707" s="58"/>
      <c r="AN707" s="58"/>
      <c r="AO707" s="58"/>
      <c r="AP707" s="58"/>
      <c r="AQ707" s="58"/>
      <c r="AR707" s="58"/>
    </row>
    <row r="708" spans="1:44" ht="15.75" customHeight="1" x14ac:dyDescent="0.25">
      <c r="A708" s="63"/>
      <c r="B708" s="62"/>
      <c r="C708" s="62"/>
      <c r="D708" s="62"/>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c r="AE708" s="58"/>
      <c r="AF708" s="58"/>
      <c r="AG708" s="58"/>
      <c r="AH708" s="58"/>
      <c r="AI708" s="58"/>
      <c r="AJ708" s="58"/>
      <c r="AK708" s="58"/>
      <c r="AL708" s="58"/>
      <c r="AM708" s="58"/>
      <c r="AN708" s="58"/>
      <c r="AO708" s="58"/>
      <c r="AP708" s="58"/>
      <c r="AQ708" s="58"/>
      <c r="AR708" s="58"/>
    </row>
    <row r="709" spans="1:44" ht="15.75" customHeight="1" x14ac:dyDescent="0.25">
      <c r="A709" s="63"/>
      <c r="B709" s="62"/>
      <c r="C709" s="62"/>
      <c r="D709" s="62"/>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c r="AE709" s="58"/>
      <c r="AF709" s="58"/>
      <c r="AG709" s="58"/>
      <c r="AH709" s="58"/>
      <c r="AI709" s="58"/>
      <c r="AJ709" s="58"/>
      <c r="AK709" s="58"/>
      <c r="AL709" s="58"/>
      <c r="AM709" s="58"/>
      <c r="AN709" s="58"/>
      <c r="AO709" s="58"/>
      <c r="AP709" s="58"/>
      <c r="AQ709" s="58"/>
      <c r="AR709" s="58"/>
    </row>
    <row r="710" spans="1:44" ht="15.75" customHeight="1" x14ac:dyDescent="0.25">
      <c r="A710" s="63"/>
      <c r="B710" s="62"/>
      <c r="C710" s="62"/>
      <c r="D710" s="62"/>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c r="AE710" s="58"/>
      <c r="AF710" s="58"/>
      <c r="AG710" s="58"/>
      <c r="AH710" s="58"/>
      <c r="AI710" s="58"/>
      <c r="AJ710" s="58"/>
      <c r="AK710" s="58"/>
      <c r="AL710" s="58"/>
      <c r="AM710" s="58"/>
      <c r="AN710" s="58"/>
      <c r="AO710" s="58"/>
      <c r="AP710" s="58"/>
      <c r="AQ710" s="58"/>
      <c r="AR710" s="58"/>
    </row>
    <row r="711" spans="1:44" ht="15.75" customHeight="1" x14ac:dyDescent="0.25">
      <c r="A711" s="63"/>
      <c r="B711" s="62"/>
      <c r="C711" s="62"/>
      <c r="D711" s="62"/>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c r="AE711" s="58"/>
      <c r="AF711" s="58"/>
      <c r="AG711" s="58"/>
      <c r="AH711" s="58"/>
      <c r="AI711" s="58"/>
      <c r="AJ711" s="58"/>
      <c r="AK711" s="58"/>
      <c r="AL711" s="58"/>
      <c r="AM711" s="58"/>
      <c r="AN711" s="58"/>
      <c r="AO711" s="58"/>
      <c r="AP711" s="58"/>
      <c r="AQ711" s="58"/>
      <c r="AR711" s="58"/>
    </row>
    <row r="712" spans="1:44" ht="15.75" customHeight="1" x14ac:dyDescent="0.25">
      <c r="A712" s="63"/>
      <c r="B712" s="62"/>
      <c r="C712" s="62"/>
      <c r="D712" s="62"/>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c r="AE712" s="58"/>
      <c r="AF712" s="58"/>
      <c r="AG712" s="58"/>
      <c r="AH712" s="58"/>
      <c r="AI712" s="58"/>
      <c r="AJ712" s="58"/>
      <c r="AK712" s="58"/>
      <c r="AL712" s="58"/>
      <c r="AM712" s="58"/>
      <c r="AN712" s="58"/>
      <c r="AO712" s="58"/>
      <c r="AP712" s="58"/>
      <c r="AQ712" s="58"/>
      <c r="AR712" s="58"/>
    </row>
    <row r="713" spans="1:44" ht="15.75" customHeight="1" x14ac:dyDescent="0.25">
      <c r="A713" s="63"/>
      <c r="B713" s="62"/>
      <c r="C713" s="62"/>
      <c r="D713" s="62"/>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c r="AE713" s="58"/>
      <c r="AF713" s="58"/>
      <c r="AG713" s="58"/>
      <c r="AH713" s="58"/>
      <c r="AI713" s="58"/>
      <c r="AJ713" s="58"/>
      <c r="AK713" s="58"/>
      <c r="AL713" s="58"/>
      <c r="AM713" s="58"/>
      <c r="AN713" s="58"/>
      <c r="AO713" s="58"/>
      <c r="AP713" s="58"/>
      <c r="AQ713" s="58"/>
      <c r="AR713" s="58"/>
    </row>
    <row r="714" spans="1:44" ht="15.75" customHeight="1" x14ac:dyDescent="0.25">
      <c r="A714" s="63"/>
      <c r="B714" s="62"/>
      <c r="C714" s="62"/>
      <c r="D714" s="62"/>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c r="AE714" s="58"/>
      <c r="AF714" s="58"/>
      <c r="AG714" s="58"/>
      <c r="AH714" s="58"/>
      <c r="AI714" s="58"/>
      <c r="AJ714" s="58"/>
      <c r="AK714" s="58"/>
      <c r="AL714" s="58"/>
      <c r="AM714" s="58"/>
      <c r="AN714" s="58"/>
      <c r="AO714" s="58"/>
      <c r="AP714" s="58"/>
      <c r="AQ714" s="58"/>
      <c r="AR714" s="58"/>
    </row>
    <row r="715" spans="1:44" ht="15.75" customHeight="1" x14ac:dyDescent="0.25">
      <c r="A715" s="63"/>
      <c r="B715" s="62"/>
      <c r="C715" s="62"/>
      <c r="D715" s="62"/>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c r="AE715" s="58"/>
      <c r="AF715" s="58"/>
      <c r="AG715" s="58"/>
      <c r="AH715" s="58"/>
      <c r="AI715" s="58"/>
      <c r="AJ715" s="58"/>
      <c r="AK715" s="58"/>
      <c r="AL715" s="58"/>
      <c r="AM715" s="58"/>
      <c r="AN715" s="58"/>
      <c r="AO715" s="58"/>
      <c r="AP715" s="58"/>
      <c r="AQ715" s="58"/>
      <c r="AR715" s="58"/>
    </row>
    <row r="716" spans="1:44" ht="15.75" customHeight="1" x14ac:dyDescent="0.25">
      <c r="A716" s="63"/>
      <c r="B716" s="62"/>
      <c r="C716" s="62"/>
      <c r="D716" s="62"/>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c r="AE716" s="58"/>
      <c r="AF716" s="58"/>
      <c r="AG716" s="58"/>
      <c r="AH716" s="58"/>
      <c r="AI716" s="58"/>
      <c r="AJ716" s="58"/>
      <c r="AK716" s="58"/>
      <c r="AL716" s="58"/>
      <c r="AM716" s="58"/>
      <c r="AN716" s="58"/>
      <c r="AO716" s="58"/>
      <c r="AP716" s="58"/>
      <c r="AQ716" s="58"/>
      <c r="AR716" s="58"/>
    </row>
    <row r="717" spans="1:44" ht="15.75" customHeight="1" x14ac:dyDescent="0.25">
      <c r="A717" s="63"/>
      <c r="B717" s="62"/>
      <c r="C717" s="62"/>
      <c r="D717" s="62"/>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c r="AE717" s="58"/>
      <c r="AF717" s="58"/>
      <c r="AG717" s="58"/>
      <c r="AH717" s="58"/>
      <c r="AI717" s="58"/>
      <c r="AJ717" s="58"/>
      <c r="AK717" s="58"/>
      <c r="AL717" s="58"/>
      <c r="AM717" s="58"/>
      <c r="AN717" s="58"/>
      <c r="AO717" s="58"/>
      <c r="AP717" s="58"/>
      <c r="AQ717" s="58"/>
      <c r="AR717" s="58"/>
    </row>
    <row r="718" spans="1:44" ht="15.75" customHeight="1" x14ac:dyDescent="0.25">
      <c r="A718" s="63"/>
      <c r="B718" s="62"/>
      <c r="C718" s="62"/>
      <c r="D718" s="62"/>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c r="AE718" s="58"/>
      <c r="AF718" s="58"/>
      <c r="AG718" s="58"/>
      <c r="AH718" s="58"/>
      <c r="AI718" s="58"/>
      <c r="AJ718" s="58"/>
      <c r="AK718" s="58"/>
      <c r="AL718" s="58"/>
      <c r="AM718" s="58"/>
      <c r="AN718" s="58"/>
      <c r="AO718" s="58"/>
      <c r="AP718" s="58"/>
      <c r="AQ718" s="58"/>
      <c r="AR718" s="58"/>
    </row>
    <row r="719" spans="1:44" ht="15.75" customHeight="1" x14ac:dyDescent="0.25">
      <c r="A719" s="63"/>
      <c r="B719" s="62"/>
      <c r="C719" s="62"/>
      <c r="D719" s="62"/>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c r="AE719" s="58"/>
      <c r="AF719" s="58"/>
      <c r="AG719" s="58"/>
      <c r="AH719" s="58"/>
      <c r="AI719" s="58"/>
      <c r="AJ719" s="58"/>
      <c r="AK719" s="58"/>
      <c r="AL719" s="58"/>
      <c r="AM719" s="58"/>
      <c r="AN719" s="58"/>
      <c r="AO719" s="58"/>
      <c r="AP719" s="58"/>
      <c r="AQ719" s="58"/>
      <c r="AR719" s="58"/>
    </row>
    <row r="720" spans="1:44" ht="15.75" customHeight="1" x14ac:dyDescent="0.25">
      <c r="A720" s="63"/>
      <c r="B720" s="62"/>
      <c r="C720" s="62"/>
      <c r="D720" s="62"/>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c r="AE720" s="58"/>
      <c r="AF720" s="58"/>
      <c r="AG720" s="58"/>
      <c r="AH720" s="58"/>
      <c r="AI720" s="58"/>
      <c r="AJ720" s="58"/>
      <c r="AK720" s="58"/>
      <c r="AL720" s="58"/>
      <c r="AM720" s="58"/>
      <c r="AN720" s="58"/>
      <c r="AO720" s="58"/>
      <c r="AP720" s="58"/>
      <c r="AQ720" s="58"/>
      <c r="AR720" s="58"/>
    </row>
    <row r="721" spans="1:44" ht="15.75" customHeight="1" x14ac:dyDescent="0.25">
      <c r="A721" s="63"/>
      <c r="B721" s="62"/>
      <c r="C721" s="62"/>
      <c r="D721" s="62"/>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c r="AE721" s="58"/>
      <c r="AF721" s="58"/>
      <c r="AG721" s="58"/>
      <c r="AH721" s="58"/>
      <c r="AI721" s="58"/>
      <c r="AJ721" s="58"/>
      <c r="AK721" s="58"/>
      <c r="AL721" s="58"/>
      <c r="AM721" s="58"/>
      <c r="AN721" s="58"/>
      <c r="AO721" s="58"/>
      <c r="AP721" s="58"/>
      <c r="AQ721" s="58"/>
      <c r="AR721" s="58"/>
    </row>
    <row r="722" spans="1:44" ht="15.75" customHeight="1" x14ac:dyDescent="0.25">
      <c r="A722" s="63"/>
      <c r="B722" s="62"/>
      <c r="C722" s="62"/>
      <c r="D722" s="62"/>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c r="AE722" s="58"/>
      <c r="AF722" s="58"/>
      <c r="AG722" s="58"/>
      <c r="AH722" s="58"/>
      <c r="AI722" s="58"/>
      <c r="AJ722" s="58"/>
      <c r="AK722" s="58"/>
      <c r="AL722" s="58"/>
      <c r="AM722" s="58"/>
      <c r="AN722" s="58"/>
      <c r="AO722" s="58"/>
      <c r="AP722" s="58"/>
      <c r="AQ722" s="58"/>
      <c r="AR722" s="58"/>
    </row>
    <row r="723" spans="1:44" ht="15.75" customHeight="1" x14ac:dyDescent="0.25">
      <c r="A723" s="63"/>
      <c r="B723" s="62"/>
      <c r="C723" s="62"/>
      <c r="D723" s="62"/>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c r="AE723" s="58"/>
      <c r="AF723" s="58"/>
      <c r="AG723" s="58"/>
      <c r="AH723" s="58"/>
      <c r="AI723" s="58"/>
      <c r="AJ723" s="58"/>
      <c r="AK723" s="58"/>
      <c r="AL723" s="58"/>
      <c r="AM723" s="58"/>
      <c r="AN723" s="58"/>
      <c r="AO723" s="58"/>
      <c r="AP723" s="58"/>
      <c r="AQ723" s="58"/>
      <c r="AR723" s="58"/>
    </row>
    <row r="724" spans="1:44" ht="15.75" customHeight="1" x14ac:dyDescent="0.25">
      <c r="A724" s="63"/>
      <c r="B724" s="62"/>
      <c r="C724" s="62"/>
      <c r="D724" s="62"/>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c r="AE724" s="58"/>
      <c r="AF724" s="58"/>
      <c r="AG724" s="58"/>
      <c r="AH724" s="58"/>
      <c r="AI724" s="58"/>
      <c r="AJ724" s="58"/>
      <c r="AK724" s="58"/>
      <c r="AL724" s="58"/>
      <c r="AM724" s="58"/>
      <c r="AN724" s="58"/>
      <c r="AO724" s="58"/>
      <c r="AP724" s="58"/>
      <c r="AQ724" s="58"/>
      <c r="AR724" s="58"/>
    </row>
    <row r="725" spans="1:44" ht="15.75" customHeight="1" x14ac:dyDescent="0.25">
      <c r="A725" s="63"/>
      <c r="B725" s="62"/>
      <c r="C725" s="62"/>
      <c r="D725" s="62"/>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c r="AE725" s="58"/>
      <c r="AF725" s="58"/>
      <c r="AG725" s="58"/>
      <c r="AH725" s="58"/>
      <c r="AI725" s="58"/>
      <c r="AJ725" s="58"/>
      <c r="AK725" s="58"/>
      <c r="AL725" s="58"/>
      <c r="AM725" s="58"/>
      <c r="AN725" s="58"/>
      <c r="AO725" s="58"/>
      <c r="AP725" s="58"/>
      <c r="AQ725" s="58"/>
      <c r="AR725" s="58"/>
    </row>
    <row r="726" spans="1:44" ht="15.75" customHeight="1" x14ac:dyDescent="0.25">
      <c r="A726" s="63"/>
      <c r="B726" s="62"/>
      <c r="C726" s="62"/>
      <c r="D726" s="62"/>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c r="AE726" s="58"/>
      <c r="AF726" s="58"/>
      <c r="AG726" s="58"/>
      <c r="AH726" s="58"/>
      <c r="AI726" s="58"/>
      <c r="AJ726" s="58"/>
      <c r="AK726" s="58"/>
      <c r="AL726" s="58"/>
      <c r="AM726" s="58"/>
      <c r="AN726" s="58"/>
      <c r="AO726" s="58"/>
      <c r="AP726" s="58"/>
      <c r="AQ726" s="58"/>
      <c r="AR726" s="58"/>
    </row>
    <row r="727" spans="1:44" ht="15.75" customHeight="1" x14ac:dyDescent="0.25">
      <c r="A727" s="63"/>
      <c r="B727" s="62"/>
      <c r="C727" s="62"/>
      <c r="D727" s="62"/>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c r="AE727" s="58"/>
      <c r="AF727" s="58"/>
      <c r="AG727" s="58"/>
      <c r="AH727" s="58"/>
      <c r="AI727" s="58"/>
      <c r="AJ727" s="58"/>
      <c r="AK727" s="58"/>
      <c r="AL727" s="58"/>
      <c r="AM727" s="58"/>
      <c r="AN727" s="58"/>
      <c r="AO727" s="58"/>
      <c r="AP727" s="58"/>
      <c r="AQ727" s="58"/>
      <c r="AR727" s="58"/>
    </row>
    <row r="728" spans="1:44" ht="15.75" customHeight="1" x14ac:dyDescent="0.25">
      <c r="A728" s="63"/>
      <c r="B728" s="62"/>
      <c r="C728" s="62"/>
      <c r="D728" s="62"/>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c r="AE728" s="58"/>
      <c r="AF728" s="58"/>
      <c r="AG728" s="58"/>
      <c r="AH728" s="58"/>
      <c r="AI728" s="58"/>
      <c r="AJ728" s="58"/>
      <c r="AK728" s="58"/>
      <c r="AL728" s="58"/>
      <c r="AM728" s="58"/>
      <c r="AN728" s="58"/>
      <c r="AO728" s="58"/>
      <c r="AP728" s="58"/>
      <c r="AQ728" s="58"/>
      <c r="AR728" s="58"/>
    </row>
    <row r="729" spans="1:44" ht="15.75" customHeight="1" x14ac:dyDescent="0.25">
      <c r="A729" s="63"/>
      <c r="B729" s="62"/>
      <c r="C729" s="62"/>
      <c r="D729" s="62"/>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c r="AE729" s="58"/>
      <c r="AF729" s="58"/>
      <c r="AG729" s="58"/>
      <c r="AH729" s="58"/>
      <c r="AI729" s="58"/>
      <c r="AJ729" s="58"/>
      <c r="AK729" s="58"/>
      <c r="AL729" s="58"/>
      <c r="AM729" s="58"/>
      <c r="AN729" s="58"/>
      <c r="AO729" s="58"/>
      <c r="AP729" s="58"/>
      <c r="AQ729" s="58"/>
      <c r="AR729" s="58"/>
    </row>
    <row r="730" spans="1:44" ht="15.75" customHeight="1" x14ac:dyDescent="0.25">
      <c r="A730" s="63"/>
      <c r="B730" s="62"/>
      <c r="C730" s="62"/>
      <c r="D730" s="62"/>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c r="AE730" s="58"/>
      <c r="AF730" s="58"/>
      <c r="AG730" s="58"/>
      <c r="AH730" s="58"/>
      <c r="AI730" s="58"/>
      <c r="AJ730" s="58"/>
      <c r="AK730" s="58"/>
      <c r="AL730" s="58"/>
      <c r="AM730" s="58"/>
      <c r="AN730" s="58"/>
      <c r="AO730" s="58"/>
      <c r="AP730" s="58"/>
      <c r="AQ730" s="58"/>
      <c r="AR730" s="58"/>
    </row>
    <row r="731" spans="1:44" ht="15.75" customHeight="1" x14ac:dyDescent="0.25">
      <c r="A731" s="63"/>
      <c r="B731" s="62"/>
      <c r="C731" s="62"/>
      <c r="D731" s="62"/>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c r="AE731" s="58"/>
      <c r="AF731" s="58"/>
      <c r="AG731" s="58"/>
      <c r="AH731" s="58"/>
      <c r="AI731" s="58"/>
      <c r="AJ731" s="58"/>
      <c r="AK731" s="58"/>
      <c r="AL731" s="58"/>
      <c r="AM731" s="58"/>
      <c r="AN731" s="58"/>
      <c r="AO731" s="58"/>
      <c r="AP731" s="58"/>
      <c r="AQ731" s="58"/>
      <c r="AR731" s="58"/>
    </row>
    <row r="732" spans="1:44" ht="15.75" customHeight="1" x14ac:dyDescent="0.25">
      <c r="A732" s="63"/>
      <c r="B732" s="62"/>
      <c r="C732" s="62"/>
      <c r="D732" s="62"/>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c r="AE732" s="58"/>
      <c r="AF732" s="58"/>
      <c r="AG732" s="58"/>
      <c r="AH732" s="58"/>
      <c r="AI732" s="58"/>
      <c r="AJ732" s="58"/>
      <c r="AK732" s="58"/>
      <c r="AL732" s="58"/>
      <c r="AM732" s="58"/>
      <c r="AN732" s="58"/>
      <c r="AO732" s="58"/>
      <c r="AP732" s="58"/>
      <c r="AQ732" s="58"/>
      <c r="AR732" s="58"/>
    </row>
    <row r="733" spans="1:44" ht="15.75" customHeight="1" x14ac:dyDescent="0.25">
      <c r="A733" s="63"/>
      <c r="B733" s="62"/>
      <c r="C733" s="62"/>
      <c r="D733" s="62"/>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c r="AE733" s="58"/>
      <c r="AF733" s="58"/>
      <c r="AG733" s="58"/>
      <c r="AH733" s="58"/>
      <c r="AI733" s="58"/>
      <c r="AJ733" s="58"/>
      <c r="AK733" s="58"/>
      <c r="AL733" s="58"/>
      <c r="AM733" s="58"/>
      <c r="AN733" s="58"/>
      <c r="AO733" s="58"/>
      <c r="AP733" s="58"/>
      <c r="AQ733" s="58"/>
      <c r="AR733" s="58"/>
    </row>
    <row r="734" spans="1:44" ht="15.75" customHeight="1" x14ac:dyDescent="0.25">
      <c r="A734" s="63"/>
      <c r="B734" s="62"/>
      <c r="C734" s="62"/>
      <c r="D734" s="62"/>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c r="AE734" s="58"/>
      <c r="AF734" s="58"/>
      <c r="AG734" s="58"/>
      <c r="AH734" s="58"/>
      <c r="AI734" s="58"/>
      <c r="AJ734" s="58"/>
      <c r="AK734" s="58"/>
      <c r="AL734" s="58"/>
      <c r="AM734" s="58"/>
      <c r="AN734" s="58"/>
      <c r="AO734" s="58"/>
      <c r="AP734" s="58"/>
      <c r="AQ734" s="58"/>
      <c r="AR734" s="58"/>
    </row>
    <row r="735" spans="1:44" ht="15.75" customHeight="1" x14ac:dyDescent="0.25">
      <c r="A735" s="63"/>
      <c r="B735" s="62"/>
      <c r="C735" s="62"/>
      <c r="D735" s="62"/>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c r="AE735" s="58"/>
      <c r="AF735" s="58"/>
      <c r="AG735" s="58"/>
      <c r="AH735" s="58"/>
      <c r="AI735" s="58"/>
      <c r="AJ735" s="58"/>
      <c r="AK735" s="58"/>
      <c r="AL735" s="58"/>
      <c r="AM735" s="58"/>
      <c r="AN735" s="58"/>
      <c r="AO735" s="58"/>
      <c r="AP735" s="58"/>
      <c r="AQ735" s="58"/>
      <c r="AR735" s="58"/>
    </row>
    <row r="736" spans="1:44" ht="15.75" customHeight="1" x14ac:dyDescent="0.25">
      <c r="A736" s="63"/>
      <c r="B736" s="62"/>
      <c r="C736" s="62"/>
      <c r="D736" s="62"/>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c r="AE736" s="58"/>
      <c r="AF736" s="58"/>
      <c r="AG736" s="58"/>
      <c r="AH736" s="58"/>
      <c r="AI736" s="58"/>
      <c r="AJ736" s="58"/>
      <c r="AK736" s="58"/>
      <c r="AL736" s="58"/>
      <c r="AM736" s="58"/>
      <c r="AN736" s="58"/>
      <c r="AO736" s="58"/>
      <c r="AP736" s="58"/>
      <c r="AQ736" s="58"/>
      <c r="AR736" s="58"/>
    </row>
    <row r="737" spans="1:44" ht="15.75" customHeight="1" x14ac:dyDescent="0.25">
      <c r="A737" s="63"/>
      <c r="B737" s="62"/>
      <c r="C737" s="62"/>
      <c r="D737" s="62"/>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c r="AE737" s="58"/>
      <c r="AF737" s="58"/>
      <c r="AG737" s="58"/>
      <c r="AH737" s="58"/>
      <c r="AI737" s="58"/>
      <c r="AJ737" s="58"/>
      <c r="AK737" s="58"/>
      <c r="AL737" s="58"/>
      <c r="AM737" s="58"/>
      <c r="AN737" s="58"/>
      <c r="AO737" s="58"/>
      <c r="AP737" s="58"/>
      <c r="AQ737" s="58"/>
      <c r="AR737" s="58"/>
    </row>
    <row r="738" spans="1:44" ht="15.75" customHeight="1" x14ac:dyDescent="0.25">
      <c r="A738" s="63"/>
      <c r="B738" s="62"/>
      <c r="C738" s="62"/>
      <c r="D738" s="62"/>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c r="AE738" s="58"/>
      <c r="AF738" s="58"/>
      <c r="AG738" s="58"/>
      <c r="AH738" s="58"/>
      <c r="AI738" s="58"/>
      <c r="AJ738" s="58"/>
      <c r="AK738" s="58"/>
      <c r="AL738" s="58"/>
      <c r="AM738" s="58"/>
      <c r="AN738" s="58"/>
      <c r="AO738" s="58"/>
      <c r="AP738" s="58"/>
      <c r="AQ738" s="58"/>
      <c r="AR738" s="58"/>
    </row>
    <row r="739" spans="1:44" ht="15.75" customHeight="1" x14ac:dyDescent="0.25">
      <c r="A739" s="63"/>
      <c r="B739" s="62"/>
      <c r="C739" s="62"/>
      <c r="D739" s="62"/>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c r="AE739" s="58"/>
      <c r="AF739" s="58"/>
      <c r="AG739" s="58"/>
      <c r="AH739" s="58"/>
      <c r="AI739" s="58"/>
      <c r="AJ739" s="58"/>
      <c r="AK739" s="58"/>
      <c r="AL739" s="58"/>
      <c r="AM739" s="58"/>
      <c r="AN739" s="58"/>
      <c r="AO739" s="58"/>
      <c r="AP739" s="58"/>
      <c r="AQ739" s="58"/>
      <c r="AR739" s="58"/>
    </row>
    <row r="740" spans="1:44" ht="15.75" customHeight="1" x14ac:dyDescent="0.25">
      <c r="A740" s="63"/>
      <c r="B740" s="62"/>
      <c r="C740" s="62"/>
      <c r="D740" s="62"/>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c r="AE740" s="58"/>
      <c r="AF740" s="58"/>
      <c r="AG740" s="58"/>
      <c r="AH740" s="58"/>
      <c r="AI740" s="58"/>
      <c r="AJ740" s="58"/>
      <c r="AK740" s="58"/>
      <c r="AL740" s="58"/>
      <c r="AM740" s="58"/>
      <c r="AN740" s="58"/>
      <c r="AO740" s="58"/>
      <c r="AP740" s="58"/>
      <c r="AQ740" s="58"/>
      <c r="AR740" s="58"/>
    </row>
    <row r="741" spans="1:44" ht="15.75" customHeight="1" x14ac:dyDescent="0.25">
      <c r="A741" s="63"/>
      <c r="B741" s="62"/>
      <c r="C741" s="62"/>
      <c r="D741" s="62"/>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c r="AE741" s="58"/>
      <c r="AF741" s="58"/>
      <c r="AG741" s="58"/>
      <c r="AH741" s="58"/>
      <c r="AI741" s="58"/>
      <c r="AJ741" s="58"/>
      <c r="AK741" s="58"/>
      <c r="AL741" s="58"/>
      <c r="AM741" s="58"/>
      <c r="AN741" s="58"/>
      <c r="AO741" s="58"/>
      <c r="AP741" s="58"/>
      <c r="AQ741" s="58"/>
      <c r="AR741" s="58"/>
    </row>
    <row r="742" spans="1:44" ht="15.75" customHeight="1" x14ac:dyDescent="0.25">
      <c r="A742" s="63"/>
      <c r="B742" s="62"/>
      <c r="C742" s="62"/>
      <c r="D742" s="62"/>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c r="AE742" s="58"/>
      <c r="AF742" s="58"/>
      <c r="AG742" s="58"/>
      <c r="AH742" s="58"/>
      <c r="AI742" s="58"/>
      <c r="AJ742" s="58"/>
      <c r="AK742" s="58"/>
      <c r="AL742" s="58"/>
      <c r="AM742" s="58"/>
      <c r="AN742" s="58"/>
      <c r="AO742" s="58"/>
      <c r="AP742" s="58"/>
      <c r="AQ742" s="58"/>
      <c r="AR742" s="58"/>
    </row>
    <row r="743" spans="1:44" ht="15.75" customHeight="1" x14ac:dyDescent="0.25">
      <c r="A743" s="63"/>
      <c r="B743" s="62"/>
      <c r="C743" s="62"/>
      <c r="D743" s="62"/>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c r="AE743" s="58"/>
      <c r="AF743" s="58"/>
      <c r="AG743" s="58"/>
      <c r="AH743" s="58"/>
      <c r="AI743" s="58"/>
      <c r="AJ743" s="58"/>
      <c r="AK743" s="58"/>
      <c r="AL743" s="58"/>
      <c r="AM743" s="58"/>
      <c r="AN743" s="58"/>
      <c r="AO743" s="58"/>
      <c r="AP743" s="58"/>
      <c r="AQ743" s="58"/>
      <c r="AR743" s="58"/>
    </row>
    <row r="744" spans="1:44" ht="15.75" customHeight="1" x14ac:dyDescent="0.25">
      <c r="A744" s="63"/>
      <c r="B744" s="62"/>
      <c r="C744" s="62"/>
      <c r="D744" s="62"/>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c r="AE744" s="58"/>
      <c r="AF744" s="58"/>
      <c r="AG744" s="58"/>
      <c r="AH744" s="58"/>
      <c r="AI744" s="58"/>
      <c r="AJ744" s="58"/>
      <c r="AK744" s="58"/>
      <c r="AL744" s="58"/>
      <c r="AM744" s="58"/>
      <c r="AN744" s="58"/>
      <c r="AO744" s="58"/>
      <c r="AP744" s="58"/>
      <c r="AQ744" s="58"/>
      <c r="AR744" s="58"/>
    </row>
    <row r="745" spans="1:44" ht="15.75" customHeight="1" x14ac:dyDescent="0.25">
      <c r="A745" s="63"/>
      <c r="B745" s="62"/>
      <c r="C745" s="62"/>
      <c r="D745" s="62"/>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c r="AE745" s="58"/>
      <c r="AF745" s="58"/>
      <c r="AG745" s="58"/>
      <c r="AH745" s="58"/>
      <c r="AI745" s="58"/>
      <c r="AJ745" s="58"/>
      <c r="AK745" s="58"/>
      <c r="AL745" s="58"/>
      <c r="AM745" s="58"/>
      <c r="AN745" s="58"/>
      <c r="AO745" s="58"/>
      <c r="AP745" s="58"/>
      <c r="AQ745" s="58"/>
      <c r="AR745" s="58"/>
    </row>
    <row r="746" spans="1:44" ht="15.75" customHeight="1" x14ac:dyDescent="0.25">
      <c r="A746" s="63"/>
      <c r="B746" s="62"/>
      <c r="C746" s="62"/>
      <c r="D746" s="62"/>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c r="AE746" s="58"/>
      <c r="AF746" s="58"/>
      <c r="AG746" s="58"/>
      <c r="AH746" s="58"/>
      <c r="AI746" s="58"/>
      <c r="AJ746" s="58"/>
      <c r="AK746" s="58"/>
      <c r="AL746" s="58"/>
      <c r="AM746" s="58"/>
      <c r="AN746" s="58"/>
      <c r="AO746" s="58"/>
      <c r="AP746" s="58"/>
      <c r="AQ746" s="58"/>
      <c r="AR746" s="58"/>
    </row>
    <row r="747" spans="1:44" ht="15.75" customHeight="1" x14ac:dyDescent="0.25">
      <c r="A747" s="63"/>
      <c r="B747" s="62"/>
      <c r="C747" s="62"/>
      <c r="D747" s="62"/>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c r="AE747" s="58"/>
      <c r="AF747" s="58"/>
      <c r="AG747" s="58"/>
      <c r="AH747" s="58"/>
      <c r="AI747" s="58"/>
      <c r="AJ747" s="58"/>
      <c r="AK747" s="58"/>
      <c r="AL747" s="58"/>
      <c r="AM747" s="58"/>
      <c r="AN747" s="58"/>
      <c r="AO747" s="58"/>
      <c r="AP747" s="58"/>
      <c r="AQ747" s="58"/>
      <c r="AR747" s="58"/>
    </row>
    <row r="748" spans="1:44" ht="15.75" customHeight="1" x14ac:dyDescent="0.25">
      <c r="A748" s="63"/>
      <c r="B748" s="62"/>
      <c r="C748" s="62"/>
      <c r="D748" s="62"/>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c r="AE748" s="58"/>
      <c r="AF748" s="58"/>
      <c r="AG748" s="58"/>
      <c r="AH748" s="58"/>
      <c r="AI748" s="58"/>
      <c r="AJ748" s="58"/>
      <c r="AK748" s="58"/>
      <c r="AL748" s="58"/>
      <c r="AM748" s="58"/>
      <c r="AN748" s="58"/>
      <c r="AO748" s="58"/>
      <c r="AP748" s="58"/>
      <c r="AQ748" s="58"/>
      <c r="AR748" s="58"/>
    </row>
    <row r="749" spans="1:44" ht="15.75" customHeight="1" x14ac:dyDescent="0.25">
      <c r="A749" s="63"/>
      <c r="B749" s="62"/>
      <c r="C749" s="62"/>
      <c r="D749" s="62"/>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c r="AE749" s="58"/>
      <c r="AF749" s="58"/>
      <c r="AG749" s="58"/>
      <c r="AH749" s="58"/>
      <c r="AI749" s="58"/>
      <c r="AJ749" s="58"/>
      <c r="AK749" s="58"/>
      <c r="AL749" s="58"/>
      <c r="AM749" s="58"/>
      <c r="AN749" s="58"/>
      <c r="AO749" s="58"/>
      <c r="AP749" s="58"/>
      <c r="AQ749" s="58"/>
      <c r="AR749" s="58"/>
    </row>
    <row r="750" spans="1:44" ht="15.75" customHeight="1" x14ac:dyDescent="0.25">
      <c r="A750" s="63"/>
      <c r="B750" s="62"/>
      <c r="C750" s="62"/>
      <c r="D750" s="62"/>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c r="AE750" s="58"/>
      <c r="AF750" s="58"/>
      <c r="AG750" s="58"/>
      <c r="AH750" s="58"/>
      <c r="AI750" s="58"/>
      <c r="AJ750" s="58"/>
      <c r="AK750" s="58"/>
      <c r="AL750" s="58"/>
      <c r="AM750" s="58"/>
      <c r="AN750" s="58"/>
      <c r="AO750" s="58"/>
      <c r="AP750" s="58"/>
      <c r="AQ750" s="58"/>
      <c r="AR750" s="58"/>
    </row>
    <row r="751" spans="1:44" ht="15.75" customHeight="1" x14ac:dyDescent="0.25">
      <c r="A751" s="63"/>
      <c r="B751" s="62"/>
      <c r="C751" s="62"/>
      <c r="D751" s="62"/>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c r="AE751" s="58"/>
      <c r="AF751" s="58"/>
      <c r="AG751" s="58"/>
      <c r="AH751" s="58"/>
      <c r="AI751" s="58"/>
      <c r="AJ751" s="58"/>
      <c r="AK751" s="58"/>
      <c r="AL751" s="58"/>
      <c r="AM751" s="58"/>
      <c r="AN751" s="58"/>
      <c r="AO751" s="58"/>
      <c r="AP751" s="58"/>
      <c r="AQ751" s="58"/>
      <c r="AR751" s="58"/>
    </row>
    <row r="752" spans="1:44" ht="15.75" customHeight="1" x14ac:dyDescent="0.25">
      <c r="A752" s="63"/>
      <c r="B752" s="62"/>
      <c r="C752" s="62"/>
      <c r="D752" s="62"/>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c r="AE752" s="58"/>
      <c r="AF752" s="58"/>
      <c r="AG752" s="58"/>
      <c r="AH752" s="58"/>
      <c r="AI752" s="58"/>
      <c r="AJ752" s="58"/>
      <c r="AK752" s="58"/>
      <c r="AL752" s="58"/>
      <c r="AM752" s="58"/>
      <c r="AN752" s="58"/>
      <c r="AO752" s="58"/>
      <c r="AP752" s="58"/>
      <c r="AQ752" s="58"/>
      <c r="AR752" s="58"/>
    </row>
    <row r="753" spans="1:44" ht="15.75" customHeight="1" x14ac:dyDescent="0.25">
      <c r="A753" s="63"/>
      <c r="B753" s="62"/>
      <c r="C753" s="62"/>
      <c r="D753" s="62"/>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c r="AE753" s="58"/>
      <c r="AF753" s="58"/>
      <c r="AG753" s="58"/>
      <c r="AH753" s="58"/>
      <c r="AI753" s="58"/>
      <c r="AJ753" s="58"/>
      <c r="AK753" s="58"/>
      <c r="AL753" s="58"/>
      <c r="AM753" s="58"/>
      <c r="AN753" s="58"/>
      <c r="AO753" s="58"/>
      <c r="AP753" s="58"/>
      <c r="AQ753" s="58"/>
      <c r="AR753" s="58"/>
    </row>
    <row r="754" spans="1:44" ht="15.75" customHeight="1" x14ac:dyDescent="0.25">
      <c r="A754" s="63"/>
      <c r="B754" s="62"/>
      <c r="C754" s="62"/>
      <c r="D754" s="62"/>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c r="AE754" s="58"/>
      <c r="AF754" s="58"/>
      <c r="AG754" s="58"/>
      <c r="AH754" s="58"/>
      <c r="AI754" s="58"/>
      <c r="AJ754" s="58"/>
      <c r="AK754" s="58"/>
      <c r="AL754" s="58"/>
      <c r="AM754" s="58"/>
      <c r="AN754" s="58"/>
      <c r="AO754" s="58"/>
      <c r="AP754" s="58"/>
      <c r="AQ754" s="58"/>
      <c r="AR754" s="58"/>
    </row>
    <row r="755" spans="1:44" ht="15.75" customHeight="1" x14ac:dyDescent="0.25">
      <c r="A755" s="63"/>
      <c r="B755" s="62"/>
      <c r="C755" s="62"/>
      <c r="D755" s="62"/>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c r="AE755" s="58"/>
      <c r="AF755" s="58"/>
      <c r="AG755" s="58"/>
      <c r="AH755" s="58"/>
      <c r="AI755" s="58"/>
      <c r="AJ755" s="58"/>
      <c r="AK755" s="58"/>
      <c r="AL755" s="58"/>
      <c r="AM755" s="58"/>
      <c r="AN755" s="58"/>
      <c r="AO755" s="58"/>
      <c r="AP755" s="58"/>
      <c r="AQ755" s="58"/>
      <c r="AR755" s="58"/>
    </row>
    <row r="756" spans="1:44" ht="15.75" customHeight="1" x14ac:dyDescent="0.25">
      <c r="A756" s="63"/>
      <c r="B756" s="62"/>
      <c r="C756" s="62"/>
      <c r="D756" s="62"/>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c r="AE756" s="58"/>
      <c r="AF756" s="58"/>
      <c r="AG756" s="58"/>
      <c r="AH756" s="58"/>
      <c r="AI756" s="58"/>
      <c r="AJ756" s="58"/>
      <c r="AK756" s="58"/>
      <c r="AL756" s="58"/>
      <c r="AM756" s="58"/>
      <c r="AN756" s="58"/>
      <c r="AO756" s="58"/>
      <c r="AP756" s="58"/>
      <c r="AQ756" s="58"/>
      <c r="AR756" s="58"/>
    </row>
    <row r="757" spans="1:44" ht="15.75" customHeight="1" x14ac:dyDescent="0.25">
      <c r="A757" s="63"/>
      <c r="B757" s="62"/>
      <c r="C757" s="62"/>
      <c r="D757" s="62"/>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c r="AG757" s="58"/>
      <c r="AH757" s="58"/>
      <c r="AI757" s="58"/>
      <c r="AJ757" s="58"/>
      <c r="AK757" s="58"/>
      <c r="AL757" s="58"/>
      <c r="AM757" s="58"/>
      <c r="AN757" s="58"/>
      <c r="AO757" s="58"/>
      <c r="AP757" s="58"/>
      <c r="AQ757" s="58"/>
      <c r="AR757" s="58"/>
    </row>
    <row r="758" spans="1:44" ht="15.75" customHeight="1" x14ac:dyDescent="0.25">
      <c r="A758" s="63"/>
      <c r="B758" s="62"/>
      <c r="C758" s="62"/>
      <c r="D758" s="62"/>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c r="AE758" s="58"/>
      <c r="AF758" s="58"/>
      <c r="AG758" s="58"/>
      <c r="AH758" s="58"/>
      <c r="AI758" s="58"/>
      <c r="AJ758" s="58"/>
      <c r="AK758" s="58"/>
      <c r="AL758" s="58"/>
      <c r="AM758" s="58"/>
      <c r="AN758" s="58"/>
      <c r="AO758" s="58"/>
      <c r="AP758" s="58"/>
      <c r="AQ758" s="58"/>
      <c r="AR758" s="58"/>
    </row>
    <row r="759" spans="1:44" ht="15.75" customHeight="1" x14ac:dyDescent="0.25">
      <c r="A759" s="63"/>
      <c r="B759" s="62"/>
      <c r="C759" s="62"/>
      <c r="D759" s="62"/>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c r="AE759" s="58"/>
      <c r="AF759" s="58"/>
      <c r="AG759" s="58"/>
      <c r="AH759" s="58"/>
      <c r="AI759" s="58"/>
      <c r="AJ759" s="58"/>
      <c r="AK759" s="58"/>
      <c r="AL759" s="58"/>
      <c r="AM759" s="58"/>
      <c r="AN759" s="58"/>
      <c r="AO759" s="58"/>
      <c r="AP759" s="58"/>
      <c r="AQ759" s="58"/>
      <c r="AR759" s="58"/>
    </row>
    <row r="760" spans="1:44" ht="15.75" customHeight="1" x14ac:dyDescent="0.25">
      <c r="A760" s="63"/>
      <c r="B760" s="62"/>
      <c r="C760" s="62"/>
      <c r="D760" s="62"/>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c r="AE760" s="58"/>
      <c r="AF760" s="58"/>
      <c r="AG760" s="58"/>
      <c r="AH760" s="58"/>
      <c r="AI760" s="58"/>
      <c r="AJ760" s="58"/>
      <c r="AK760" s="58"/>
      <c r="AL760" s="58"/>
      <c r="AM760" s="58"/>
      <c r="AN760" s="58"/>
      <c r="AO760" s="58"/>
      <c r="AP760" s="58"/>
      <c r="AQ760" s="58"/>
      <c r="AR760" s="58"/>
    </row>
    <row r="761" spans="1:44" ht="15.75" customHeight="1" x14ac:dyDescent="0.25">
      <c r="A761" s="63"/>
      <c r="B761" s="62"/>
      <c r="C761" s="62"/>
      <c r="D761" s="62"/>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c r="AE761" s="58"/>
      <c r="AF761" s="58"/>
      <c r="AG761" s="58"/>
      <c r="AH761" s="58"/>
      <c r="AI761" s="58"/>
      <c r="AJ761" s="58"/>
      <c r="AK761" s="58"/>
      <c r="AL761" s="58"/>
      <c r="AM761" s="58"/>
      <c r="AN761" s="58"/>
      <c r="AO761" s="58"/>
      <c r="AP761" s="58"/>
      <c r="AQ761" s="58"/>
      <c r="AR761" s="58"/>
    </row>
    <row r="762" spans="1:44" ht="15.75" customHeight="1" x14ac:dyDescent="0.25">
      <c r="A762" s="63"/>
      <c r="B762" s="62"/>
      <c r="C762" s="62"/>
      <c r="D762" s="62"/>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c r="AE762" s="58"/>
      <c r="AF762" s="58"/>
      <c r="AG762" s="58"/>
      <c r="AH762" s="58"/>
      <c r="AI762" s="58"/>
      <c r="AJ762" s="58"/>
      <c r="AK762" s="58"/>
      <c r="AL762" s="58"/>
      <c r="AM762" s="58"/>
      <c r="AN762" s="58"/>
      <c r="AO762" s="58"/>
      <c r="AP762" s="58"/>
      <c r="AQ762" s="58"/>
      <c r="AR762" s="58"/>
    </row>
    <row r="763" spans="1:44" ht="15.75" customHeight="1" x14ac:dyDescent="0.25">
      <c r="A763" s="63"/>
      <c r="B763" s="62"/>
      <c r="C763" s="62"/>
      <c r="D763" s="62"/>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c r="AE763" s="58"/>
      <c r="AF763" s="58"/>
      <c r="AG763" s="58"/>
      <c r="AH763" s="58"/>
      <c r="AI763" s="58"/>
      <c r="AJ763" s="58"/>
      <c r="AK763" s="58"/>
      <c r="AL763" s="58"/>
      <c r="AM763" s="58"/>
      <c r="AN763" s="58"/>
      <c r="AO763" s="58"/>
      <c r="AP763" s="58"/>
      <c r="AQ763" s="58"/>
      <c r="AR763" s="58"/>
    </row>
    <row r="764" spans="1:44" ht="15.75" customHeight="1" x14ac:dyDescent="0.25">
      <c r="A764" s="63"/>
      <c r="B764" s="62"/>
      <c r="C764" s="62"/>
      <c r="D764" s="62"/>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c r="AE764" s="58"/>
      <c r="AF764" s="58"/>
      <c r="AG764" s="58"/>
      <c r="AH764" s="58"/>
      <c r="AI764" s="58"/>
      <c r="AJ764" s="58"/>
      <c r="AK764" s="58"/>
      <c r="AL764" s="58"/>
      <c r="AM764" s="58"/>
      <c r="AN764" s="58"/>
      <c r="AO764" s="58"/>
      <c r="AP764" s="58"/>
      <c r="AQ764" s="58"/>
      <c r="AR764" s="58"/>
    </row>
    <row r="765" spans="1:44" ht="15.75" customHeight="1" x14ac:dyDescent="0.25">
      <c r="A765" s="63"/>
      <c r="B765" s="62"/>
      <c r="C765" s="62"/>
      <c r="D765" s="62"/>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c r="AE765" s="58"/>
      <c r="AF765" s="58"/>
      <c r="AG765" s="58"/>
      <c r="AH765" s="58"/>
      <c r="AI765" s="58"/>
      <c r="AJ765" s="58"/>
      <c r="AK765" s="58"/>
      <c r="AL765" s="58"/>
      <c r="AM765" s="58"/>
      <c r="AN765" s="58"/>
      <c r="AO765" s="58"/>
      <c r="AP765" s="58"/>
      <c r="AQ765" s="58"/>
      <c r="AR765" s="58"/>
    </row>
    <row r="766" spans="1:44" ht="15.75" customHeight="1" x14ac:dyDescent="0.25">
      <c r="A766" s="63"/>
      <c r="B766" s="62"/>
      <c r="C766" s="62"/>
      <c r="D766" s="62"/>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c r="AE766" s="58"/>
      <c r="AF766" s="58"/>
      <c r="AG766" s="58"/>
      <c r="AH766" s="58"/>
      <c r="AI766" s="58"/>
      <c r="AJ766" s="58"/>
      <c r="AK766" s="58"/>
      <c r="AL766" s="58"/>
      <c r="AM766" s="58"/>
      <c r="AN766" s="58"/>
      <c r="AO766" s="58"/>
      <c r="AP766" s="58"/>
      <c r="AQ766" s="58"/>
      <c r="AR766" s="58"/>
    </row>
    <row r="767" spans="1:44" ht="15.75" customHeight="1" x14ac:dyDescent="0.25">
      <c r="A767" s="63"/>
      <c r="B767" s="62"/>
      <c r="C767" s="62"/>
      <c r="D767" s="62"/>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c r="AE767" s="58"/>
      <c r="AF767" s="58"/>
      <c r="AG767" s="58"/>
      <c r="AH767" s="58"/>
      <c r="AI767" s="58"/>
      <c r="AJ767" s="58"/>
      <c r="AK767" s="58"/>
      <c r="AL767" s="58"/>
      <c r="AM767" s="58"/>
      <c r="AN767" s="58"/>
      <c r="AO767" s="58"/>
      <c r="AP767" s="58"/>
      <c r="AQ767" s="58"/>
      <c r="AR767" s="58"/>
    </row>
    <row r="768" spans="1:44" ht="15.75" customHeight="1" x14ac:dyDescent="0.25">
      <c r="A768" s="63"/>
      <c r="B768" s="62"/>
      <c r="C768" s="62"/>
      <c r="D768" s="62"/>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c r="AE768" s="58"/>
      <c r="AF768" s="58"/>
      <c r="AG768" s="58"/>
      <c r="AH768" s="58"/>
      <c r="AI768" s="58"/>
      <c r="AJ768" s="58"/>
      <c r="AK768" s="58"/>
      <c r="AL768" s="58"/>
      <c r="AM768" s="58"/>
      <c r="AN768" s="58"/>
      <c r="AO768" s="58"/>
      <c r="AP768" s="58"/>
      <c r="AQ768" s="58"/>
      <c r="AR768" s="58"/>
    </row>
    <row r="769" spans="1:44" ht="15.75" customHeight="1" x14ac:dyDescent="0.25">
      <c r="A769" s="63"/>
      <c r="B769" s="62"/>
      <c r="C769" s="62"/>
      <c r="D769" s="62"/>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c r="AE769" s="58"/>
      <c r="AF769" s="58"/>
      <c r="AG769" s="58"/>
      <c r="AH769" s="58"/>
      <c r="AI769" s="58"/>
      <c r="AJ769" s="58"/>
      <c r="AK769" s="58"/>
      <c r="AL769" s="58"/>
      <c r="AM769" s="58"/>
      <c r="AN769" s="58"/>
      <c r="AO769" s="58"/>
      <c r="AP769" s="58"/>
      <c r="AQ769" s="58"/>
      <c r="AR769" s="58"/>
    </row>
    <row r="770" spans="1:44" ht="15.75" customHeight="1" x14ac:dyDescent="0.25">
      <c r="A770" s="63"/>
      <c r="B770" s="62"/>
      <c r="C770" s="62"/>
      <c r="D770" s="62"/>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c r="AE770" s="58"/>
      <c r="AF770" s="58"/>
      <c r="AG770" s="58"/>
      <c r="AH770" s="58"/>
      <c r="AI770" s="58"/>
      <c r="AJ770" s="58"/>
      <c r="AK770" s="58"/>
      <c r="AL770" s="58"/>
      <c r="AM770" s="58"/>
      <c r="AN770" s="58"/>
      <c r="AO770" s="58"/>
      <c r="AP770" s="58"/>
      <c r="AQ770" s="58"/>
      <c r="AR770" s="58"/>
    </row>
    <row r="771" spans="1:44" ht="15.75" customHeight="1" x14ac:dyDescent="0.25">
      <c r="A771" s="63"/>
      <c r="B771" s="62"/>
      <c r="C771" s="62"/>
      <c r="D771" s="62"/>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c r="AE771" s="58"/>
      <c r="AF771" s="58"/>
      <c r="AG771" s="58"/>
      <c r="AH771" s="58"/>
      <c r="AI771" s="58"/>
      <c r="AJ771" s="58"/>
      <c r="AK771" s="58"/>
      <c r="AL771" s="58"/>
      <c r="AM771" s="58"/>
      <c r="AN771" s="58"/>
      <c r="AO771" s="58"/>
      <c r="AP771" s="58"/>
      <c r="AQ771" s="58"/>
      <c r="AR771" s="58"/>
    </row>
    <row r="772" spans="1:44" ht="15.75" customHeight="1" x14ac:dyDescent="0.25">
      <c r="A772" s="63"/>
      <c r="B772" s="62"/>
      <c r="C772" s="62"/>
      <c r="D772" s="62"/>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c r="AE772" s="58"/>
      <c r="AF772" s="58"/>
      <c r="AG772" s="58"/>
      <c r="AH772" s="58"/>
      <c r="AI772" s="58"/>
      <c r="AJ772" s="58"/>
      <c r="AK772" s="58"/>
      <c r="AL772" s="58"/>
      <c r="AM772" s="58"/>
      <c r="AN772" s="58"/>
      <c r="AO772" s="58"/>
      <c r="AP772" s="58"/>
      <c r="AQ772" s="58"/>
      <c r="AR772" s="58"/>
    </row>
    <row r="773" spans="1:44" ht="15.75" customHeight="1" x14ac:dyDescent="0.25">
      <c r="A773" s="63"/>
      <c r="B773" s="62"/>
      <c r="C773" s="62"/>
      <c r="D773" s="62"/>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c r="AE773" s="58"/>
      <c r="AF773" s="58"/>
      <c r="AG773" s="58"/>
      <c r="AH773" s="58"/>
      <c r="AI773" s="58"/>
      <c r="AJ773" s="58"/>
      <c r="AK773" s="58"/>
      <c r="AL773" s="58"/>
      <c r="AM773" s="58"/>
      <c r="AN773" s="58"/>
      <c r="AO773" s="58"/>
      <c r="AP773" s="58"/>
      <c r="AQ773" s="58"/>
      <c r="AR773" s="58"/>
    </row>
    <row r="774" spans="1:44" ht="15.75" customHeight="1" x14ac:dyDescent="0.25">
      <c r="A774" s="63"/>
      <c r="B774" s="62"/>
      <c r="C774" s="62"/>
      <c r="D774" s="62"/>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c r="AE774" s="58"/>
      <c r="AF774" s="58"/>
      <c r="AG774" s="58"/>
      <c r="AH774" s="58"/>
      <c r="AI774" s="58"/>
      <c r="AJ774" s="58"/>
      <c r="AK774" s="58"/>
      <c r="AL774" s="58"/>
      <c r="AM774" s="58"/>
      <c r="AN774" s="58"/>
      <c r="AO774" s="58"/>
      <c r="AP774" s="58"/>
      <c r="AQ774" s="58"/>
      <c r="AR774" s="58"/>
    </row>
    <row r="775" spans="1:44" ht="15.75" customHeight="1" x14ac:dyDescent="0.25">
      <c r="A775" s="63"/>
      <c r="B775" s="62"/>
      <c r="C775" s="62"/>
      <c r="D775" s="62"/>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c r="AE775" s="58"/>
      <c r="AF775" s="58"/>
      <c r="AG775" s="58"/>
      <c r="AH775" s="58"/>
      <c r="AI775" s="58"/>
      <c r="AJ775" s="58"/>
      <c r="AK775" s="58"/>
      <c r="AL775" s="58"/>
      <c r="AM775" s="58"/>
      <c r="AN775" s="58"/>
      <c r="AO775" s="58"/>
      <c r="AP775" s="58"/>
      <c r="AQ775" s="58"/>
      <c r="AR775" s="58"/>
    </row>
    <row r="776" spans="1:44" ht="15.75" customHeight="1" x14ac:dyDescent="0.25">
      <c r="A776" s="63"/>
      <c r="B776" s="62"/>
      <c r="C776" s="62"/>
      <c r="D776" s="62"/>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c r="AE776" s="58"/>
      <c r="AF776" s="58"/>
      <c r="AG776" s="58"/>
      <c r="AH776" s="58"/>
      <c r="AI776" s="58"/>
      <c r="AJ776" s="58"/>
      <c r="AK776" s="58"/>
      <c r="AL776" s="58"/>
      <c r="AM776" s="58"/>
      <c r="AN776" s="58"/>
      <c r="AO776" s="58"/>
      <c r="AP776" s="58"/>
      <c r="AQ776" s="58"/>
      <c r="AR776" s="58"/>
    </row>
    <row r="777" spans="1:44" ht="15.75" customHeight="1" x14ac:dyDescent="0.25">
      <c r="A777" s="63"/>
      <c r="B777" s="62"/>
      <c r="C777" s="62"/>
      <c r="D777" s="62"/>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c r="AE777" s="58"/>
      <c r="AF777" s="58"/>
      <c r="AG777" s="58"/>
      <c r="AH777" s="58"/>
      <c r="AI777" s="58"/>
      <c r="AJ777" s="58"/>
      <c r="AK777" s="58"/>
      <c r="AL777" s="58"/>
      <c r="AM777" s="58"/>
      <c r="AN777" s="58"/>
      <c r="AO777" s="58"/>
      <c r="AP777" s="58"/>
      <c r="AQ777" s="58"/>
      <c r="AR777" s="58"/>
    </row>
    <row r="778" spans="1:44" ht="15.75" customHeight="1" x14ac:dyDescent="0.25">
      <c r="A778" s="63"/>
      <c r="B778" s="62"/>
      <c r="C778" s="62"/>
      <c r="D778" s="62"/>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c r="AE778" s="58"/>
      <c r="AF778" s="58"/>
      <c r="AG778" s="58"/>
      <c r="AH778" s="58"/>
      <c r="AI778" s="58"/>
      <c r="AJ778" s="58"/>
      <c r="AK778" s="58"/>
      <c r="AL778" s="58"/>
      <c r="AM778" s="58"/>
      <c r="AN778" s="58"/>
      <c r="AO778" s="58"/>
      <c r="AP778" s="58"/>
      <c r="AQ778" s="58"/>
      <c r="AR778" s="58"/>
    </row>
    <row r="779" spans="1:44" ht="15.75" customHeight="1" x14ac:dyDescent="0.25">
      <c r="A779" s="63"/>
      <c r="B779" s="62"/>
      <c r="C779" s="62"/>
      <c r="D779" s="62"/>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c r="AE779" s="58"/>
      <c r="AF779" s="58"/>
      <c r="AG779" s="58"/>
      <c r="AH779" s="58"/>
      <c r="AI779" s="58"/>
      <c r="AJ779" s="58"/>
      <c r="AK779" s="58"/>
      <c r="AL779" s="58"/>
      <c r="AM779" s="58"/>
      <c r="AN779" s="58"/>
      <c r="AO779" s="58"/>
      <c r="AP779" s="58"/>
      <c r="AQ779" s="58"/>
      <c r="AR779" s="58"/>
    </row>
    <row r="780" spans="1:44" ht="15.75" customHeight="1" x14ac:dyDescent="0.25">
      <c r="A780" s="63"/>
      <c r="B780" s="62"/>
      <c r="C780" s="62"/>
      <c r="D780" s="62"/>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c r="AE780" s="58"/>
      <c r="AF780" s="58"/>
      <c r="AG780" s="58"/>
      <c r="AH780" s="58"/>
      <c r="AI780" s="58"/>
      <c r="AJ780" s="58"/>
      <c r="AK780" s="58"/>
      <c r="AL780" s="58"/>
      <c r="AM780" s="58"/>
      <c r="AN780" s="58"/>
      <c r="AO780" s="58"/>
      <c r="AP780" s="58"/>
      <c r="AQ780" s="58"/>
      <c r="AR780" s="58"/>
    </row>
    <row r="781" spans="1:44" ht="15.75" customHeight="1" x14ac:dyDescent="0.25">
      <c r="A781" s="63"/>
      <c r="B781" s="62"/>
      <c r="C781" s="62"/>
      <c r="D781" s="62"/>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c r="AE781" s="58"/>
      <c r="AF781" s="58"/>
      <c r="AG781" s="58"/>
      <c r="AH781" s="58"/>
      <c r="AI781" s="58"/>
      <c r="AJ781" s="58"/>
      <c r="AK781" s="58"/>
      <c r="AL781" s="58"/>
      <c r="AM781" s="58"/>
      <c r="AN781" s="58"/>
      <c r="AO781" s="58"/>
      <c r="AP781" s="58"/>
      <c r="AQ781" s="58"/>
      <c r="AR781" s="58"/>
    </row>
    <row r="782" spans="1:44" ht="15.75" customHeight="1" x14ac:dyDescent="0.25">
      <c r="A782" s="63"/>
      <c r="B782" s="62"/>
      <c r="C782" s="62"/>
      <c r="D782" s="62"/>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c r="AE782" s="58"/>
      <c r="AF782" s="58"/>
      <c r="AG782" s="58"/>
      <c r="AH782" s="58"/>
      <c r="AI782" s="58"/>
      <c r="AJ782" s="58"/>
      <c r="AK782" s="58"/>
      <c r="AL782" s="58"/>
      <c r="AM782" s="58"/>
      <c r="AN782" s="58"/>
      <c r="AO782" s="58"/>
      <c r="AP782" s="58"/>
      <c r="AQ782" s="58"/>
      <c r="AR782" s="58"/>
    </row>
    <row r="783" spans="1:44" ht="15.75" customHeight="1" x14ac:dyDescent="0.25">
      <c r="A783" s="63"/>
      <c r="B783" s="62"/>
      <c r="C783" s="62"/>
      <c r="D783" s="62"/>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c r="AE783" s="58"/>
      <c r="AF783" s="58"/>
      <c r="AG783" s="58"/>
      <c r="AH783" s="58"/>
      <c r="AI783" s="58"/>
      <c r="AJ783" s="58"/>
      <c r="AK783" s="58"/>
      <c r="AL783" s="58"/>
      <c r="AM783" s="58"/>
      <c r="AN783" s="58"/>
      <c r="AO783" s="58"/>
      <c r="AP783" s="58"/>
      <c r="AQ783" s="58"/>
      <c r="AR783" s="58"/>
    </row>
    <row r="784" spans="1:44" ht="15.75" customHeight="1" x14ac:dyDescent="0.25">
      <c r="A784" s="63"/>
      <c r="B784" s="62"/>
      <c r="C784" s="62"/>
      <c r="D784" s="62"/>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c r="AE784" s="58"/>
      <c r="AF784" s="58"/>
      <c r="AG784" s="58"/>
      <c r="AH784" s="58"/>
      <c r="AI784" s="58"/>
      <c r="AJ784" s="58"/>
      <c r="AK784" s="58"/>
      <c r="AL784" s="58"/>
      <c r="AM784" s="58"/>
      <c r="AN784" s="58"/>
      <c r="AO784" s="58"/>
      <c r="AP784" s="58"/>
      <c r="AQ784" s="58"/>
      <c r="AR784" s="58"/>
    </row>
    <row r="785" spans="1:44" ht="15.75" customHeight="1" x14ac:dyDescent="0.25">
      <c r="A785" s="63"/>
      <c r="B785" s="62"/>
      <c r="C785" s="62"/>
      <c r="D785" s="62"/>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c r="AE785" s="58"/>
      <c r="AF785" s="58"/>
      <c r="AG785" s="58"/>
      <c r="AH785" s="58"/>
      <c r="AI785" s="58"/>
      <c r="AJ785" s="58"/>
      <c r="AK785" s="58"/>
      <c r="AL785" s="58"/>
      <c r="AM785" s="58"/>
      <c r="AN785" s="58"/>
      <c r="AO785" s="58"/>
      <c r="AP785" s="58"/>
      <c r="AQ785" s="58"/>
      <c r="AR785" s="58"/>
    </row>
    <row r="786" spans="1:44" ht="15.75" customHeight="1" x14ac:dyDescent="0.25">
      <c r="A786" s="63"/>
      <c r="B786" s="62"/>
      <c r="C786" s="62"/>
      <c r="D786" s="62"/>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c r="AE786" s="58"/>
      <c r="AF786" s="58"/>
      <c r="AG786" s="58"/>
      <c r="AH786" s="58"/>
      <c r="AI786" s="58"/>
      <c r="AJ786" s="58"/>
      <c r="AK786" s="58"/>
      <c r="AL786" s="58"/>
      <c r="AM786" s="58"/>
      <c r="AN786" s="58"/>
      <c r="AO786" s="58"/>
      <c r="AP786" s="58"/>
      <c r="AQ786" s="58"/>
      <c r="AR786" s="58"/>
    </row>
    <row r="787" spans="1:44" ht="15.75" customHeight="1" x14ac:dyDescent="0.25">
      <c r="A787" s="63"/>
      <c r="B787" s="62"/>
      <c r="C787" s="62"/>
      <c r="D787" s="62"/>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c r="AE787" s="58"/>
      <c r="AF787" s="58"/>
      <c r="AG787" s="58"/>
      <c r="AH787" s="58"/>
      <c r="AI787" s="58"/>
      <c r="AJ787" s="58"/>
      <c r="AK787" s="58"/>
      <c r="AL787" s="58"/>
      <c r="AM787" s="58"/>
      <c r="AN787" s="58"/>
      <c r="AO787" s="58"/>
      <c r="AP787" s="58"/>
      <c r="AQ787" s="58"/>
      <c r="AR787" s="58"/>
    </row>
    <row r="788" spans="1:44" ht="15.75" customHeight="1" x14ac:dyDescent="0.25">
      <c r="A788" s="63"/>
      <c r="B788" s="62"/>
      <c r="C788" s="62"/>
      <c r="D788" s="62"/>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c r="AE788" s="58"/>
      <c r="AF788" s="58"/>
      <c r="AG788" s="58"/>
      <c r="AH788" s="58"/>
      <c r="AI788" s="58"/>
      <c r="AJ788" s="58"/>
      <c r="AK788" s="58"/>
      <c r="AL788" s="58"/>
      <c r="AM788" s="58"/>
      <c r="AN788" s="58"/>
      <c r="AO788" s="58"/>
      <c r="AP788" s="58"/>
      <c r="AQ788" s="58"/>
      <c r="AR788" s="58"/>
    </row>
    <row r="789" spans="1:44" ht="15.75" customHeight="1" x14ac:dyDescent="0.25">
      <c r="A789" s="63"/>
      <c r="B789" s="62"/>
      <c r="C789" s="62"/>
      <c r="D789" s="62"/>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c r="AE789" s="58"/>
      <c r="AF789" s="58"/>
      <c r="AG789" s="58"/>
      <c r="AH789" s="58"/>
      <c r="AI789" s="58"/>
      <c r="AJ789" s="58"/>
      <c r="AK789" s="58"/>
      <c r="AL789" s="58"/>
      <c r="AM789" s="58"/>
      <c r="AN789" s="58"/>
      <c r="AO789" s="58"/>
      <c r="AP789" s="58"/>
      <c r="AQ789" s="58"/>
      <c r="AR789" s="58"/>
    </row>
    <row r="790" spans="1:44" ht="15.75" customHeight="1" x14ac:dyDescent="0.25">
      <c r="A790" s="63"/>
      <c r="B790" s="62"/>
      <c r="C790" s="62"/>
      <c r="D790" s="62"/>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c r="AE790" s="58"/>
      <c r="AF790" s="58"/>
      <c r="AG790" s="58"/>
      <c r="AH790" s="58"/>
      <c r="AI790" s="58"/>
      <c r="AJ790" s="58"/>
      <c r="AK790" s="58"/>
      <c r="AL790" s="58"/>
      <c r="AM790" s="58"/>
      <c r="AN790" s="58"/>
      <c r="AO790" s="58"/>
      <c r="AP790" s="58"/>
      <c r="AQ790" s="58"/>
      <c r="AR790" s="58"/>
    </row>
    <row r="791" spans="1:44" ht="15.75" customHeight="1" x14ac:dyDescent="0.25">
      <c r="A791" s="63"/>
      <c r="B791" s="62"/>
      <c r="C791" s="62"/>
      <c r="D791" s="62"/>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c r="AE791" s="58"/>
      <c r="AF791" s="58"/>
      <c r="AG791" s="58"/>
      <c r="AH791" s="58"/>
      <c r="AI791" s="58"/>
      <c r="AJ791" s="58"/>
      <c r="AK791" s="58"/>
      <c r="AL791" s="58"/>
      <c r="AM791" s="58"/>
      <c r="AN791" s="58"/>
      <c r="AO791" s="58"/>
      <c r="AP791" s="58"/>
      <c r="AQ791" s="58"/>
      <c r="AR791" s="58"/>
    </row>
    <row r="792" spans="1:44" ht="15.75" customHeight="1" x14ac:dyDescent="0.25">
      <c r="A792" s="63"/>
      <c r="B792" s="62"/>
      <c r="C792" s="62"/>
      <c r="D792" s="62"/>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c r="AE792" s="58"/>
      <c r="AF792" s="58"/>
      <c r="AG792" s="58"/>
      <c r="AH792" s="58"/>
      <c r="AI792" s="58"/>
      <c r="AJ792" s="58"/>
      <c r="AK792" s="58"/>
      <c r="AL792" s="58"/>
      <c r="AM792" s="58"/>
      <c r="AN792" s="58"/>
      <c r="AO792" s="58"/>
      <c r="AP792" s="58"/>
      <c r="AQ792" s="58"/>
      <c r="AR792" s="58"/>
    </row>
    <row r="793" spans="1:44" ht="15.75" customHeight="1" x14ac:dyDescent="0.25">
      <c r="A793" s="63"/>
      <c r="B793" s="62"/>
      <c r="C793" s="62"/>
      <c r="D793" s="62"/>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c r="AE793" s="58"/>
      <c r="AF793" s="58"/>
      <c r="AG793" s="58"/>
      <c r="AH793" s="58"/>
      <c r="AI793" s="58"/>
      <c r="AJ793" s="58"/>
      <c r="AK793" s="58"/>
      <c r="AL793" s="58"/>
      <c r="AM793" s="58"/>
      <c r="AN793" s="58"/>
      <c r="AO793" s="58"/>
      <c r="AP793" s="58"/>
      <c r="AQ793" s="58"/>
      <c r="AR793" s="58"/>
    </row>
    <row r="794" spans="1:44" ht="15.75" customHeight="1" x14ac:dyDescent="0.25">
      <c r="A794" s="63"/>
      <c r="B794" s="62"/>
      <c r="C794" s="62"/>
      <c r="D794" s="62"/>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c r="AE794" s="58"/>
      <c r="AF794" s="58"/>
      <c r="AG794" s="58"/>
      <c r="AH794" s="58"/>
      <c r="AI794" s="58"/>
      <c r="AJ794" s="58"/>
      <c r="AK794" s="58"/>
      <c r="AL794" s="58"/>
      <c r="AM794" s="58"/>
      <c r="AN794" s="58"/>
      <c r="AO794" s="58"/>
      <c r="AP794" s="58"/>
      <c r="AQ794" s="58"/>
      <c r="AR794" s="58"/>
    </row>
    <row r="795" spans="1:44" ht="15.75" customHeight="1" x14ac:dyDescent="0.25">
      <c r="A795" s="63"/>
      <c r="B795" s="62"/>
      <c r="C795" s="62"/>
      <c r="D795" s="62"/>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c r="AE795" s="58"/>
      <c r="AF795" s="58"/>
      <c r="AG795" s="58"/>
      <c r="AH795" s="58"/>
      <c r="AI795" s="58"/>
      <c r="AJ795" s="58"/>
      <c r="AK795" s="58"/>
      <c r="AL795" s="58"/>
      <c r="AM795" s="58"/>
      <c r="AN795" s="58"/>
      <c r="AO795" s="58"/>
      <c r="AP795" s="58"/>
      <c r="AQ795" s="58"/>
      <c r="AR795" s="58"/>
    </row>
    <row r="796" spans="1:44" ht="15.75" customHeight="1" x14ac:dyDescent="0.25">
      <c r="A796" s="63"/>
      <c r="B796" s="62"/>
      <c r="C796" s="62"/>
      <c r="D796" s="62"/>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c r="AE796" s="58"/>
      <c r="AF796" s="58"/>
      <c r="AG796" s="58"/>
      <c r="AH796" s="58"/>
      <c r="AI796" s="58"/>
      <c r="AJ796" s="58"/>
      <c r="AK796" s="58"/>
      <c r="AL796" s="58"/>
      <c r="AM796" s="58"/>
      <c r="AN796" s="58"/>
      <c r="AO796" s="58"/>
      <c r="AP796" s="58"/>
      <c r="AQ796" s="58"/>
      <c r="AR796" s="58"/>
    </row>
    <row r="797" spans="1:44" ht="15.75" customHeight="1" x14ac:dyDescent="0.25">
      <c r="A797" s="63"/>
      <c r="B797" s="62"/>
      <c r="C797" s="62"/>
      <c r="D797" s="62"/>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c r="AE797" s="58"/>
      <c r="AF797" s="58"/>
      <c r="AG797" s="58"/>
      <c r="AH797" s="58"/>
      <c r="AI797" s="58"/>
      <c r="AJ797" s="58"/>
      <c r="AK797" s="58"/>
      <c r="AL797" s="58"/>
      <c r="AM797" s="58"/>
      <c r="AN797" s="58"/>
      <c r="AO797" s="58"/>
      <c r="AP797" s="58"/>
      <c r="AQ797" s="58"/>
      <c r="AR797" s="58"/>
    </row>
    <row r="798" spans="1:44" ht="15.75" customHeight="1" x14ac:dyDescent="0.25">
      <c r="A798" s="63"/>
      <c r="B798" s="62"/>
      <c r="C798" s="62"/>
      <c r="D798" s="62"/>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c r="AE798" s="58"/>
      <c r="AF798" s="58"/>
      <c r="AG798" s="58"/>
      <c r="AH798" s="58"/>
      <c r="AI798" s="58"/>
      <c r="AJ798" s="58"/>
      <c r="AK798" s="58"/>
      <c r="AL798" s="58"/>
      <c r="AM798" s="58"/>
      <c r="AN798" s="58"/>
      <c r="AO798" s="58"/>
      <c r="AP798" s="58"/>
      <c r="AQ798" s="58"/>
      <c r="AR798" s="58"/>
    </row>
    <row r="799" spans="1:44" ht="15.75" customHeight="1" x14ac:dyDescent="0.25">
      <c r="A799" s="63"/>
      <c r="B799" s="62"/>
      <c r="C799" s="62"/>
      <c r="D799" s="62"/>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c r="AE799" s="58"/>
      <c r="AF799" s="58"/>
      <c r="AG799" s="58"/>
      <c r="AH799" s="58"/>
      <c r="AI799" s="58"/>
      <c r="AJ799" s="58"/>
      <c r="AK799" s="58"/>
      <c r="AL799" s="58"/>
      <c r="AM799" s="58"/>
      <c r="AN799" s="58"/>
      <c r="AO799" s="58"/>
      <c r="AP799" s="58"/>
      <c r="AQ799" s="58"/>
      <c r="AR799" s="58"/>
    </row>
    <row r="800" spans="1:44" ht="15.75" customHeight="1" x14ac:dyDescent="0.25">
      <c r="A800" s="63"/>
      <c r="B800" s="62"/>
      <c r="C800" s="62"/>
      <c r="D800" s="62"/>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c r="AE800" s="58"/>
      <c r="AF800" s="58"/>
      <c r="AG800" s="58"/>
      <c r="AH800" s="58"/>
      <c r="AI800" s="58"/>
      <c r="AJ800" s="58"/>
      <c r="AK800" s="58"/>
      <c r="AL800" s="58"/>
      <c r="AM800" s="58"/>
      <c r="AN800" s="58"/>
      <c r="AO800" s="58"/>
      <c r="AP800" s="58"/>
      <c r="AQ800" s="58"/>
      <c r="AR800" s="58"/>
    </row>
    <row r="801" spans="1:44" ht="15.75" customHeight="1" x14ac:dyDescent="0.25">
      <c r="A801" s="63"/>
      <c r="B801" s="62"/>
      <c r="C801" s="62"/>
      <c r="D801" s="62"/>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c r="AG801" s="58"/>
      <c r="AH801" s="58"/>
      <c r="AI801" s="58"/>
      <c r="AJ801" s="58"/>
      <c r="AK801" s="58"/>
      <c r="AL801" s="58"/>
      <c r="AM801" s="58"/>
      <c r="AN801" s="58"/>
      <c r="AO801" s="58"/>
      <c r="AP801" s="58"/>
      <c r="AQ801" s="58"/>
      <c r="AR801" s="58"/>
    </row>
    <row r="802" spans="1:44" ht="15.75" customHeight="1" x14ac:dyDescent="0.25">
      <c r="A802" s="63"/>
      <c r="B802" s="62"/>
      <c r="C802" s="62"/>
      <c r="D802" s="62"/>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c r="AE802" s="58"/>
      <c r="AF802" s="58"/>
      <c r="AG802" s="58"/>
      <c r="AH802" s="58"/>
      <c r="AI802" s="58"/>
      <c r="AJ802" s="58"/>
      <c r="AK802" s="58"/>
      <c r="AL802" s="58"/>
      <c r="AM802" s="58"/>
      <c r="AN802" s="58"/>
      <c r="AO802" s="58"/>
      <c r="AP802" s="58"/>
      <c r="AQ802" s="58"/>
      <c r="AR802" s="58"/>
    </row>
    <row r="803" spans="1:44" ht="15.75" customHeight="1" x14ac:dyDescent="0.25">
      <c r="A803" s="63"/>
      <c r="B803" s="62"/>
      <c r="C803" s="62"/>
      <c r="D803" s="62"/>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c r="AE803" s="58"/>
      <c r="AF803" s="58"/>
      <c r="AG803" s="58"/>
      <c r="AH803" s="58"/>
      <c r="AI803" s="58"/>
      <c r="AJ803" s="58"/>
      <c r="AK803" s="58"/>
      <c r="AL803" s="58"/>
      <c r="AM803" s="58"/>
      <c r="AN803" s="58"/>
      <c r="AO803" s="58"/>
      <c r="AP803" s="58"/>
      <c r="AQ803" s="58"/>
      <c r="AR803" s="58"/>
    </row>
    <row r="804" spans="1:44" ht="15.75" customHeight="1" x14ac:dyDescent="0.25">
      <c r="A804" s="63"/>
      <c r="B804" s="62"/>
      <c r="C804" s="62"/>
      <c r="D804" s="62"/>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c r="AE804" s="58"/>
      <c r="AF804" s="58"/>
      <c r="AG804" s="58"/>
      <c r="AH804" s="58"/>
      <c r="AI804" s="58"/>
      <c r="AJ804" s="58"/>
      <c r="AK804" s="58"/>
      <c r="AL804" s="58"/>
      <c r="AM804" s="58"/>
      <c r="AN804" s="58"/>
      <c r="AO804" s="58"/>
      <c r="AP804" s="58"/>
      <c r="AQ804" s="58"/>
      <c r="AR804" s="58"/>
    </row>
    <row r="805" spans="1:44" ht="15.75" customHeight="1" x14ac:dyDescent="0.25">
      <c r="A805" s="63"/>
      <c r="B805" s="62"/>
      <c r="C805" s="62"/>
      <c r="D805" s="62"/>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c r="AE805" s="58"/>
      <c r="AF805" s="58"/>
      <c r="AG805" s="58"/>
      <c r="AH805" s="58"/>
      <c r="AI805" s="58"/>
      <c r="AJ805" s="58"/>
      <c r="AK805" s="58"/>
      <c r="AL805" s="58"/>
      <c r="AM805" s="58"/>
      <c r="AN805" s="58"/>
      <c r="AO805" s="58"/>
      <c r="AP805" s="58"/>
      <c r="AQ805" s="58"/>
      <c r="AR805" s="58"/>
    </row>
    <row r="806" spans="1:44" ht="15.75" customHeight="1" x14ac:dyDescent="0.25">
      <c r="A806" s="63"/>
      <c r="B806" s="62"/>
      <c r="C806" s="62"/>
      <c r="D806" s="62"/>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c r="AE806" s="58"/>
      <c r="AF806" s="58"/>
      <c r="AG806" s="58"/>
      <c r="AH806" s="58"/>
      <c r="AI806" s="58"/>
      <c r="AJ806" s="58"/>
      <c r="AK806" s="58"/>
      <c r="AL806" s="58"/>
      <c r="AM806" s="58"/>
      <c r="AN806" s="58"/>
      <c r="AO806" s="58"/>
      <c r="AP806" s="58"/>
      <c r="AQ806" s="58"/>
      <c r="AR806" s="58"/>
    </row>
    <row r="807" spans="1:44" ht="15.75" customHeight="1" x14ac:dyDescent="0.25">
      <c r="A807" s="63"/>
      <c r="B807" s="62"/>
      <c r="C807" s="62"/>
      <c r="D807" s="62"/>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c r="AE807" s="58"/>
      <c r="AF807" s="58"/>
      <c r="AG807" s="58"/>
      <c r="AH807" s="58"/>
      <c r="AI807" s="58"/>
      <c r="AJ807" s="58"/>
      <c r="AK807" s="58"/>
      <c r="AL807" s="58"/>
      <c r="AM807" s="58"/>
      <c r="AN807" s="58"/>
      <c r="AO807" s="58"/>
      <c r="AP807" s="58"/>
      <c r="AQ807" s="58"/>
      <c r="AR807" s="58"/>
    </row>
    <row r="808" spans="1:44" ht="15.75" customHeight="1" x14ac:dyDescent="0.25">
      <c r="A808" s="63"/>
      <c r="B808" s="62"/>
      <c r="C808" s="62"/>
      <c r="D808" s="62"/>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c r="AG808" s="58"/>
      <c r="AH808" s="58"/>
      <c r="AI808" s="58"/>
      <c r="AJ808" s="58"/>
      <c r="AK808" s="58"/>
      <c r="AL808" s="58"/>
      <c r="AM808" s="58"/>
      <c r="AN808" s="58"/>
      <c r="AO808" s="58"/>
      <c r="AP808" s="58"/>
      <c r="AQ808" s="58"/>
      <c r="AR808" s="58"/>
    </row>
    <row r="809" spans="1:44" ht="15.75" customHeight="1" x14ac:dyDescent="0.25">
      <c r="A809" s="63"/>
      <c r="B809" s="62"/>
      <c r="C809" s="62"/>
      <c r="D809" s="62"/>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c r="AE809" s="58"/>
      <c r="AF809" s="58"/>
      <c r="AG809" s="58"/>
      <c r="AH809" s="58"/>
      <c r="AI809" s="58"/>
      <c r="AJ809" s="58"/>
      <c r="AK809" s="58"/>
      <c r="AL809" s="58"/>
      <c r="AM809" s="58"/>
      <c r="AN809" s="58"/>
      <c r="AO809" s="58"/>
      <c r="AP809" s="58"/>
      <c r="AQ809" s="58"/>
      <c r="AR809" s="58"/>
    </row>
    <row r="810" spans="1:44" ht="15.75" customHeight="1" x14ac:dyDescent="0.25">
      <c r="A810" s="63"/>
      <c r="B810" s="62"/>
      <c r="C810" s="62"/>
      <c r="D810" s="62"/>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c r="AE810" s="58"/>
      <c r="AF810" s="58"/>
      <c r="AG810" s="58"/>
      <c r="AH810" s="58"/>
      <c r="AI810" s="58"/>
      <c r="AJ810" s="58"/>
      <c r="AK810" s="58"/>
      <c r="AL810" s="58"/>
      <c r="AM810" s="58"/>
      <c r="AN810" s="58"/>
      <c r="AO810" s="58"/>
      <c r="AP810" s="58"/>
      <c r="AQ810" s="58"/>
      <c r="AR810" s="58"/>
    </row>
    <row r="811" spans="1:44" ht="15.75" customHeight="1" x14ac:dyDescent="0.25">
      <c r="A811" s="63"/>
      <c r="B811" s="62"/>
      <c r="C811" s="62"/>
      <c r="D811" s="62"/>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c r="AE811" s="58"/>
      <c r="AF811" s="58"/>
      <c r="AG811" s="58"/>
      <c r="AH811" s="58"/>
      <c r="AI811" s="58"/>
      <c r="AJ811" s="58"/>
      <c r="AK811" s="58"/>
      <c r="AL811" s="58"/>
      <c r="AM811" s="58"/>
      <c r="AN811" s="58"/>
      <c r="AO811" s="58"/>
      <c r="AP811" s="58"/>
      <c r="AQ811" s="58"/>
      <c r="AR811" s="58"/>
    </row>
    <row r="812" spans="1:44" ht="15.75" customHeight="1" x14ac:dyDescent="0.25">
      <c r="A812" s="63"/>
      <c r="B812" s="62"/>
      <c r="C812" s="62"/>
      <c r="D812" s="62"/>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c r="AE812" s="58"/>
      <c r="AF812" s="58"/>
      <c r="AG812" s="58"/>
      <c r="AH812" s="58"/>
      <c r="AI812" s="58"/>
      <c r="AJ812" s="58"/>
      <c r="AK812" s="58"/>
      <c r="AL812" s="58"/>
      <c r="AM812" s="58"/>
      <c r="AN812" s="58"/>
      <c r="AO812" s="58"/>
      <c r="AP812" s="58"/>
      <c r="AQ812" s="58"/>
      <c r="AR812" s="58"/>
    </row>
    <row r="813" spans="1:44" ht="15.75" customHeight="1" x14ac:dyDescent="0.25">
      <c r="A813" s="63"/>
      <c r="B813" s="62"/>
      <c r="C813" s="62"/>
      <c r="D813" s="62"/>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c r="AE813" s="58"/>
      <c r="AF813" s="58"/>
      <c r="AG813" s="58"/>
      <c r="AH813" s="58"/>
      <c r="AI813" s="58"/>
      <c r="AJ813" s="58"/>
      <c r="AK813" s="58"/>
      <c r="AL813" s="58"/>
      <c r="AM813" s="58"/>
      <c r="AN813" s="58"/>
      <c r="AO813" s="58"/>
      <c r="AP813" s="58"/>
      <c r="AQ813" s="58"/>
      <c r="AR813" s="58"/>
    </row>
    <row r="814" spans="1:44" ht="15.75" customHeight="1" x14ac:dyDescent="0.25">
      <c r="A814" s="63"/>
      <c r="B814" s="62"/>
      <c r="C814" s="62"/>
      <c r="D814" s="62"/>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c r="AE814" s="58"/>
      <c r="AF814" s="58"/>
      <c r="AG814" s="58"/>
      <c r="AH814" s="58"/>
      <c r="AI814" s="58"/>
      <c r="AJ814" s="58"/>
      <c r="AK814" s="58"/>
      <c r="AL814" s="58"/>
      <c r="AM814" s="58"/>
      <c r="AN814" s="58"/>
      <c r="AO814" s="58"/>
      <c r="AP814" s="58"/>
      <c r="AQ814" s="58"/>
      <c r="AR814" s="58"/>
    </row>
    <row r="815" spans="1:44" ht="15.75" customHeight="1" x14ac:dyDescent="0.25">
      <c r="A815" s="63"/>
      <c r="B815" s="62"/>
      <c r="C815" s="62"/>
      <c r="D815" s="62"/>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c r="AG815" s="58"/>
      <c r="AH815" s="58"/>
      <c r="AI815" s="58"/>
      <c r="AJ815" s="58"/>
      <c r="AK815" s="58"/>
      <c r="AL815" s="58"/>
      <c r="AM815" s="58"/>
      <c r="AN815" s="58"/>
      <c r="AO815" s="58"/>
      <c r="AP815" s="58"/>
      <c r="AQ815" s="58"/>
      <c r="AR815" s="58"/>
    </row>
    <row r="816" spans="1:44" ht="15.75" customHeight="1" x14ac:dyDescent="0.25">
      <c r="A816" s="63"/>
      <c r="B816" s="62"/>
      <c r="C816" s="62"/>
      <c r="D816" s="62"/>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8"/>
      <c r="AI816" s="58"/>
      <c r="AJ816" s="58"/>
      <c r="AK816" s="58"/>
      <c r="AL816" s="58"/>
      <c r="AM816" s="58"/>
      <c r="AN816" s="58"/>
      <c r="AO816" s="58"/>
      <c r="AP816" s="58"/>
      <c r="AQ816" s="58"/>
      <c r="AR816" s="58"/>
    </row>
    <row r="817" spans="1:44" ht="15.75" customHeight="1" x14ac:dyDescent="0.25">
      <c r="A817" s="63"/>
      <c r="B817" s="62"/>
      <c r="C817" s="62"/>
      <c r="D817" s="62"/>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c r="AG817" s="58"/>
      <c r="AH817" s="58"/>
      <c r="AI817" s="58"/>
      <c r="AJ817" s="58"/>
      <c r="AK817" s="58"/>
      <c r="AL817" s="58"/>
      <c r="AM817" s="58"/>
      <c r="AN817" s="58"/>
      <c r="AO817" s="58"/>
      <c r="AP817" s="58"/>
      <c r="AQ817" s="58"/>
      <c r="AR817" s="58"/>
    </row>
    <row r="818" spans="1:44" ht="15.75" customHeight="1" x14ac:dyDescent="0.25">
      <c r="A818" s="63"/>
      <c r="B818" s="62"/>
      <c r="C818" s="62"/>
      <c r="D818" s="62"/>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c r="AG818" s="58"/>
      <c r="AH818" s="58"/>
      <c r="AI818" s="58"/>
      <c r="AJ818" s="58"/>
      <c r="AK818" s="58"/>
      <c r="AL818" s="58"/>
      <c r="AM818" s="58"/>
      <c r="AN818" s="58"/>
      <c r="AO818" s="58"/>
      <c r="AP818" s="58"/>
      <c r="AQ818" s="58"/>
      <c r="AR818" s="58"/>
    </row>
    <row r="819" spans="1:44" ht="15.75" customHeight="1" x14ac:dyDescent="0.25">
      <c r="A819" s="63"/>
      <c r="B819" s="62"/>
      <c r="C819" s="62"/>
      <c r="D819" s="62"/>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c r="AG819" s="58"/>
      <c r="AH819" s="58"/>
      <c r="AI819" s="58"/>
      <c r="AJ819" s="58"/>
      <c r="AK819" s="58"/>
      <c r="AL819" s="58"/>
      <c r="AM819" s="58"/>
      <c r="AN819" s="58"/>
      <c r="AO819" s="58"/>
      <c r="AP819" s="58"/>
      <c r="AQ819" s="58"/>
      <c r="AR819" s="58"/>
    </row>
    <row r="820" spans="1:44" ht="15.75" customHeight="1" x14ac:dyDescent="0.25">
      <c r="A820" s="63"/>
      <c r="B820" s="62"/>
      <c r="C820" s="62"/>
      <c r="D820" s="62"/>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c r="AE820" s="58"/>
      <c r="AF820" s="58"/>
      <c r="AG820" s="58"/>
      <c r="AH820" s="58"/>
      <c r="AI820" s="58"/>
      <c r="AJ820" s="58"/>
      <c r="AK820" s="58"/>
      <c r="AL820" s="58"/>
      <c r="AM820" s="58"/>
      <c r="AN820" s="58"/>
      <c r="AO820" s="58"/>
      <c r="AP820" s="58"/>
      <c r="AQ820" s="58"/>
      <c r="AR820" s="58"/>
    </row>
    <row r="821" spans="1:44" ht="15.75" customHeight="1" x14ac:dyDescent="0.25">
      <c r="A821" s="63"/>
      <c r="B821" s="62"/>
      <c r="C821" s="62"/>
      <c r="D821" s="62"/>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c r="AE821" s="58"/>
      <c r="AF821" s="58"/>
      <c r="AG821" s="58"/>
      <c r="AH821" s="58"/>
      <c r="AI821" s="58"/>
      <c r="AJ821" s="58"/>
      <c r="AK821" s="58"/>
      <c r="AL821" s="58"/>
      <c r="AM821" s="58"/>
      <c r="AN821" s="58"/>
      <c r="AO821" s="58"/>
      <c r="AP821" s="58"/>
      <c r="AQ821" s="58"/>
      <c r="AR821" s="58"/>
    </row>
    <row r="822" spans="1:44" ht="15.75" customHeight="1" x14ac:dyDescent="0.25">
      <c r="A822" s="63"/>
      <c r="B822" s="62"/>
      <c r="C822" s="62"/>
      <c r="D822" s="62"/>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c r="AE822" s="58"/>
      <c r="AF822" s="58"/>
      <c r="AG822" s="58"/>
      <c r="AH822" s="58"/>
      <c r="AI822" s="58"/>
      <c r="AJ822" s="58"/>
      <c r="AK822" s="58"/>
      <c r="AL822" s="58"/>
      <c r="AM822" s="58"/>
      <c r="AN822" s="58"/>
      <c r="AO822" s="58"/>
      <c r="AP822" s="58"/>
      <c r="AQ822" s="58"/>
      <c r="AR822" s="58"/>
    </row>
    <row r="823" spans="1:44" ht="15.75" customHeight="1" x14ac:dyDescent="0.25">
      <c r="A823" s="63"/>
      <c r="B823" s="62"/>
      <c r="C823" s="62"/>
      <c r="D823" s="62"/>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c r="AE823" s="58"/>
      <c r="AF823" s="58"/>
      <c r="AG823" s="58"/>
      <c r="AH823" s="58"/>
      <c r="AI823" s="58"/>
      <c r="AJ823" s="58"/>
      <c r="AK823" s="58"/>
      <c r="AL823" s="58"/>
      <c r="AM823" s="58"/>
      <c r="AN823" s="58"/>
      <c r="AO823" s="58"/>
      <c r="AP823" s="58"/>
      <c r="AQ823" s="58"/>
      <c r="AR823" s="58"/>
    </row>
    <row r="824" spans="1:44" ht="15.75" customHeight="1" x14ac:dyDescent="0.25">
      <c r="A824" s="63"/>
      <c r="B824" s="62"/>
      <c r="C824" s="62"/>
      <c r="D824" s="62"/>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c r="AE824" s="58"/>
      <c r="AF824" s="58"/>
      <c r="AG824" s="58"/>
      <c r="AH824" s="58"/>
      <c r="AI824" s="58"/>
      <c r="AJ824" s="58"/>
      <c r="AK824" s="58"/>
      <c r="AL824" s="58"/>
      <c r="AM824" s="58"/>
      <c r="AN824" s="58"/>
      <c r="AO824" s="58"/>
      <c r="AP824" s="58"/>
      <c r="AQ824" s="58"/>
      <c r="AR824" s="58"/>
    </row>
    <row r="825" spans="1:44" ht="15.75" customHeight="1" x14ac:dyDescent="0.25">
      <c r="A825" s="63"/>
      <c r="B825" s="62"/>
      <c r="C825" s="62"/>
      <c r="D825" s="62"/>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c r="AE825" s="58"/>
      <c r="AF825" s="58"/>
      <c r="AG825" s="58"/>
      <c r="AH825" s="58"/>
      <c r="AI825" s="58"/>
      <c r="AJ825" s="58"/>
      <c r="AK825" s="58"/>
      <c r="AL825" s="58"/>
      <c r="AM825" s="58"/>
      <c r="AN825" s="58"/>
      <c r="AO825" s="58"/>
      <c r="AP825" s="58"/>
      <c r="AQ825" s="58"/>
      <c r="AR825" s="58"/>
    </row>
    <row r="826" spans="1:44" ht="15.75" customHeight="1" x14ac:dyDescent="0.25">
      <c r="A826" s="63"/>
      <c r="B826" s="62"/>
      <c r="C826" s="62"/>
      <c r="D826" s="62"/>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c r="AE826" s="58"/>
      <c r="AF826" s="58"/>
      <c r="AG826" s="58"/>
      <c r="AH826" s="58"/>
      <c r="AI826" s="58"/>
      <c r="AJ826" s="58"/>
      <c r="AK826" s="58"/>
      <c r="AL826" s="58"/>
      <c r="AM826" s="58"/>
      <c r="AN826" s="58"/>
      <c r="AO826" s="58"/>
      <c r="AP826" s="58"/>
      <c r="AQ826" s="58"/>
      <c r="AR826" s="58"/>
    </row>
    <row r="827" spans="1:44" ht="15.75" customHeight="1" x14ac:dyDescent="0.25">
      <c r="A827" s="63"/>
      <c r="B827" s="62"/>
      <c r="C827" s="62"/>
      <c r="D827" s="62"/>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c r="AE827" s="58"/>
      <c r="AF827" s="58"/>
      <c r="AG827" s="58"/>
      <c r="AH827" s="58"/>
      <c r="AI827" s="58"/>
      <c r="AJ827" s="58"/>
      <c r="AK827" s="58"/>
      <c r="AL827" s="58"/>
      <c r="AM827" s="58"/>
      <c r="AN827" s="58"/>
      <c r="AO827" s="58"/>
      <c r="AP827" s="58"/>
      <c r="AQ827" s="58"/>
      <c r="AR827" s="58"/>
    </row>
    <row r="828" spans="1:44" ht="15.75" customHeight="1" x14ac:dyDescent="0.25">
      <c r="A828" s="63"/>
      <c r="B828" s="62"/>
      <c r="C828" s="62"/>
      <c r="D828" s="62"/>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c r="AE828" s="58"/>
      <c r="AF828" s="58"/>
      <c r="AG828" s="58"/>
      <c r="AH828" s="58"/>
      <c r="AI828" s="58"/>
      <c r="AJ828" s="58"/>
      <c r="AK828" s="58"/>
      <c r="AL828" s="58"/>
      <c r="AM828" s="58"/>
      <c r="AN828" s="58"/>
      <c r="AO828" s="58"/>
      <c r="AP828" s="58"/>
      <c r="AQ828" s="58"/>
      <c r="AR828" s="58"/>
    </row>
    <row r="829" spans="1:44" ht="15.75" customHeight="1" x14ac:dyDescent="0.25">
      <c r="A829" s="63"/>
      <c r="B829" s="62"/>
      <c r="C829" s="62"/>
      <c r="D829" s="62"/>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c r="AE829" s="58"/>
      <c r="AF829" s="58"/>
      <c r="AG829" s="58"/>
      <c r="AH829" s="58"/>
      <c r="AI829" s="58"/>
      <c r="AJ829" s="58"/>
      <c r="AK829" s="58"/>
      <c r="AL829" s="58"/>
      <c r="AM829" s="58"/>
      <c r="AN829" s="58"/>
      <c r="AO829" s="58"/>
      <c r="AP829" s="58"/>
      <c r="AQ829" s="58"/>
      <c r="AR829" s="58"/>
    </row>
    <row r="830" spans="1:44" ht="15.75" customHeight="1" x14ac:dyDescent="0.25">
      <c r="A830" s="63"/>
      <c r="B830" s="62"/>
      <c r="C830" s="62"/>
      <c r="D830" s="62"/>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c r="AE830" s="58"/>
      <c r="AF830" s="58"/>
      <c r="AG830" s="58"/>
      <c r="AH830" s="58"/>
      <c r="AI830" s="58"/>
      <c r="AJ830" s="58"/>
      <c r="AK830" s="58"/>
      <c r="AL830" s="58"/>
      <c r="AM830" s="58"/>
      <c r="AN830" s="58"/>
      <c r="AO830" s="58"/>
      <c r="AP830" s="58"/>
      <c r="AQ830" s="58"/>
      <c r="AR830" s="58"/>
    </row>
    <row r="831" spans="1:44" ht="15.75" customHeight="1" x14ac:dyDescent="0.25">
      <c r="A831" s="63"/>
      <c r="B831" s="62"/>
      <c r="C831" s="62"/>
      <c r="D831" s="62"/>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c r="AE831" s="58"/>
      <c r="AF831" s="58"/>
      <c r="AG831" s="58"/>
      <c r="AH831" s="58"/>
      <c r="AI831" s="58"/>
      <c r="AJ831" s="58"/>
      <c r="AK831" s="58"/>
      <c r="AL831" s="58"/>
      <c r="AM831" s="58"/>
      <c r="AN831" s="58"/>
      <c r="AO831" s="58"/>
      <c r="AP831" s="58"/>
      <c r="AQ831" s="58"/>
      <c r="AR831" s="58"/>
    </row>
    <row r="832" spans="1:44" ht="15.75" customHeight="1" x14ac:dyDescent="0.25">
      <c r="A832" s="63"/>
      <c r="B832" s="62"/>
      <c r="C832" s="62"/>
      <c r="D832" s="62"/>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c r="AE832" s="58"/>
      <c r="AF832" s="58"/>
      <c r="AG832" s="58"/>
      <c r="AH832" s="58"/>
      <c r="AI832" s="58"/>
      <c r="AJ832" s="58"/>
      <c r="AK832" s="58"/>
      <c r="AL832" s="58"/>
      <c r="AM832" s="58"/>
      <c r="AN832" s="58"/>
      <c r="AO832" s="58"/>
      <c r="AP832" s="58"/>
      <c r="AQ832" s="58"/>
      <c r="AR832" s="58"/>
    </row>
    <row r="833" spans="1:44" ht="15.75" customHeight="1" x14ac:dyDescent="0.25">
      <c r="A833" s="63"/>
      <c r="B833" s="62"/>
      <c r="C833" s="62"/>
      <c r="D833" s="62"/>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c r="AE833" s="58"/>
      <c r="AF833" s="58"/>
      <c r="AG833" s="58"/>
      <c r="AH833" s="58"/>
      <c r="AI833" s="58"/>
      <c r="AJ833" s="58"/>
      <c r="AK833" s="58"/>
      <c r="AL833" s="58"/>
      <c r="AM833" s="58"/>
      <c r="AN833" s="58"/>
      <c r="AO833" s="58"/>
      <c r="AP833" s="58"/>
      <c r="AQ833" s="58"/>
      <c r="AR833" s="58"/>
    </row>
    <row r="834" spans="1:44" ht="15.75" customHeight="1" x14ac:dyDescent="0.25">
      <c r="A834" s="63"/>
      <c r="B834" s="62"/>
      <c r="C834" s="62"/>
      <c r="D834" s="62"/>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c r="AE834" s="58"/>
      <c r="AF834" s="58"/>
      <c r="AG834" s="58"/>
      <c r="AH834" s="58"/>
      <c r="AI834" s="58"/>
      <c r="AJ834" s="58"/>
      <c r="AK834" s="58"/>
      <c r="AL834" s="58"/>
      <c r="AM834" s="58"/>
      <c r="AN834" s="58"/>
      <c r="AO834" s="58"/>
      <c r="AP834" s="58"/>
      <c r="AQ834" s="58"/>
      <c r="AR834" s="58"/>
    </row>
    <row r="835" spans="1:44" ht="15.75" customHeight="1" x14ac:dyDescent="0.25">
      <c r="A835" s="63"/>
      <c r="B835" s="62"/>
      <c r="C835" s="62"/>
      <c r="D835" s="62"/>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c r="AE835" s="58"/>
      <c r="AF835" s="58"/>
      <c r="AG835" s="58"/>
      <c r="AH835" s="58"/>
      <c r="AI835" s="58"/>
      <c r="AJ835" s="58"/>
      <c r="AK835" s="58"/>
      <c r="AL835" s="58"/>
      <c r="AM835" s="58"/>
      <c r="AN835" s="58"/>
      <c r="AO835" s="58"/>
      <c r="AP835" s="58"/>
      <c r="AQ835" s="58"/>
      <c r="AR835" s="58"/>
    </row>
    <row r="836" spans="1:44" ht="15.75" customHeight="1" x14ac:dyDescent="0.25">
      <c r="A836" s="63"/>
      <c r="B836" s="62"/>
      <c r="C836" s="62"/>
      <c r="D836" s="62"/>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c r="AE836" s="58"/>
      <c r="AF836" s="58"/>
      <c r="AG836" s="58"/>
      <c r="AH836" s="58"/>
      <c r="AI836" s="58"/>
      <c r="AJ836" s="58"/>
      <c r="AK836" s="58"/>
      <c r="AL836" s="58"/>
      <c r="AM836" s="58"/>
      <c r="AN836" s="58"/>
      <c r="AO836" s="58"/>
      <c r="AP836" s="58"/>
      <c r="AQ836" s="58"/>
      <c r="AR836" s="58"/>
    </row>
    <row r="837" spans="1:44" ht="15.75" customHeight="1" x14ac:dyDescent="0.25">
      <c r="A837" s="63"/>
      <c r="B837" s="62"/>
      <c r="C837" s="62"/>
      <c r="D837" s="62"/>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c r="AG837" s="58"/>
      <c r="AH837" s="58"/>
      <c r="AI837" s="58"/>
      <c r="AJ837" s="58"/>
      <c r="AK837" s="58"/>
      <c r="AL837" s="58"/>
      <c r="AM837" s="58"/>
      <c r="AN837" s="58"/>
      <c r="AO837" s="58"/>
      <c r="AP837" s="58"/>
      <c r="AQ837" s="58"/>
      <c r="AR837" s="58"/>
    </row>
    <row r="838" spans="1:44" ht="15.75" customHeight="1" x14ac:dyDescent="0.25">
      <c r="A838" s="63"/>
      <c r="B838" s="62"/>
      <c r="C838" s="62"/>
      <c r="D838" s="62"/>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c r="AE838" s="58"/>
      <c r="AF838" s="58"/>
      <c r="AG838" s="58"/>
      <c r="AH838" s="58"/>
      <c r="AI838" s="58"/>
      <c r="AJ838" s="58"/>
      <c r="AK838" s="58"/>
      <c r="AL838" s="58"/>
      <c r="AM838" s="58"/>
      <c r="AN838" s="58"/>
      <c r="AO838" s="58"/>
      <c r="AP838" s="58"/>
      <c r="AQ838" s="58"/>
      <c r="AR838" s="58"/>
    </row>
    <row r="839" spans="1:44" ht="15.75" customHeight="1" x14ac:dyDescent="0.25">
      <c r="A839" s="63"/>
      <c r="B839" s="62"/>
      <c r="C839" s="62"/>
      <c r="D839" s="62"/>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c r="AE839" s="58"/>
      <c r="AF839" s="58"/>
      <c r="AG839" s="58"/>
      <c r="AH839" s="58"/>
      <c r="AI839" s="58"/>
      <c r="AJ839" s="58"/>
      <c r="AK839" s="58"/>
      <c r="AL839" s="58"/>
      <c r="AM839" s="58"/>
      <c r="AN839" s="58"/>
      <c r="AO839" s="58"/>
      <c r="AP839" s="58"/>
      <c r="AQ839" s="58"/>
      <c r="AR839" s="58"/>
    </row>
    <row r="840" spans="1:44" ht="15.75" customHeight="1" x14ac:dyDescent="0.25">
      <c r="A840" s="63"/>
      <c r="B840" s="62"/>
      <c r="C840" s="62"/>
      <c r="D840" s="62"/>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c r="AE840" s="58"/>
      <c r="AF840" s="58"/>
      <c r="AG840" s="58"/>
      <c r="AH840" s="58"/>
      <c r="AI840" s="58"/>
      <c r="AJ840" s="58"/>
      <c r="AK840" s="58"/>
      <c r="AL840" s="58"/>
      <c r="AM840" s="58"/>
      <c r="AN840" s="58"/>
      <c r="AO840" s="58"/>
      <c r="AP840" s="58"/>
      <c r="AQ840" s="58"/>
      <c r="AR840" s="58"/>
    </row>
    <row r="841" spans="1:44" ht="15.75" customHeight="1" x14ac:dyDescent="0.25">
      <c r="A841" s="63"/>
      <c r="B841" s="62"/>
      <c r="C841" s="62"/>
      <c r="D841" s="62"/>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c r="AE841" s="58"/>
      <c r="AF841" s="58"/>
      <c r="AG841" s="58"/>
      <c r="AH841" s="58"/>
      <c r="AI841" s="58"/>
      <c r="AJ841" s="58"/>
      <c r="AK841" s="58"/>
      <c r="AL841" s="58"/>
      <c r="AM841" s="58"/>
      <c r="AN841" s="58"/>
      <c r="AO841" s="58"/>
      <c r="AP841" s="58"/>
      <c r="AQ841" s="58"/>
      <c r="AR841" s="58"/>
    </row>
    <row r="842" spans="1:44" ht="15.75" customHeight="1" x14ac:dyDescent="0.25">
      <c r="A842" s="63"/>
      <c r="B842" s="62"/>
      <c r="C842" s="62"/>
      <c r="D842" s="62"/>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c r="AE842" s="58"/>
      <c r="AF842" s="58"/>
      <c r="AG842" s="58"/>
      <c r="AH842" s="58"/>
      <c r="AI842" s="58"/>
      <c r="AJ842" s="58"/>
      <c r="AK842" s="58"/>
      <c r="AL842" s="58"/>
      <c r="AM842" s="58"/>
      <c r="AN842" s="58"/>
      <c r="AO842" s="58"/>
      <c r="AP842" s="58"/>
      <c r="AQ842" s="58"/>
      <c r="AR842" s="58"/>
    </row>
    <row r="843" spans="1:44" ht="15.75" customHeight="1" x14ac:dyDescent="0.25">
      <c r="A843" s="63"/>
      <c r="B843" s="62"/>
      <c r="C843" s="62"/>
      <c r="D843" s="62"/>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c r="AE843" s="58"/>
      <c r="AF843" s="58"/>
      <c r="AG843" s="58"/>
      <c r="AH843" s="58"/>
      <c r="AI843" s="58"/>
      <c r="AJ843" s="58"/>
      <c r="AK843" s="58"/>
      <c r="AL843" s="58"/>
      <c r="AM843" s="58"/>
      <c r="AN843" s="58"/>
      <c r="AO843" s="58"/>
      <c r="AP843" s="58"/>
      <c r="AQ843" s="58"/>
      <c r="AR843" s="58"/>
    </row>
    <row r="844" spans="1:44" ht="15.75" customHeight="1" x14ac:dyDescent="0.25">
      <c r="A844" s="63"/>
      <c r="B844" s="62"/>
      <c r="C844" s="62"/>
      <c r="D844" s="62"/>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c r="AE844" s="58"/>
      <c r="AF844" s="58"/>
      <c r="AG844" s="58"/>
      <c r="AH844" s="58"/>
      <c r="AI844" s="58"/>
      <c r="AJ844" s="58"/>
      <c r="AK844" s="58"/>
      <c r="AL844" s="58"/>
      <c r="AM844" s="58"/>
      <c r="AN844" s="58"/>
      <c r="AO844" s="58"/>
      <c r="AP844" s="58"/>
      <c r="AQ844" s="58"/>
      <c r="AR844" s="58"/>
    </row>
    <row r="845" spans="1:44" ht="15.75" customHeight="1" x14ac:dyDescent="0.25">
      <c r="A845" s="63"/>
      <c r="B845" s="62"/>
      <c r="C845" s="62"/>
      <c r="D845" s="62"/>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c r="AE845" s="58"/>
      <c r="AF845" s="58"/>
      <c r="AG845" s="58"/>
      <c r="AH845" s="58"/>
      <c r="AI845" s="58"/>
      <c r="AJ845" s="58"/>
      <c r="AK845" s="58"/>
      <c r="AL845" s="58"/>
      <c r="AM845" s="58"/>
      <c r="AN845" s="58"/>
      <c r="AO845" s="58"/>
      <c r="AP845" s="58"/>
      <c r="AQ845" s="58"/>
      <c r="AR845" s="58"/>
    </row>
    <row r="846" spans="1:44" ht="15.75" customHeight="1" x14ac:dyDescent="0.25">
      <c r="A846" s="63"/>
      <c r="B846" s="62"/>
      <c r="C846" s="62"/>
      <c r="D846" s="62"/>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c r="AE846" s="58"/>
      <c r="AF846" s="58"/>
      <c r="AG846" s="58"/>
      <c r="AH846" s="58"/>
      <c r="AI846" s="58"/>
      <c r="AJ846" s="58"/>
      <c r="AK846" s="58"/>
      <c r="AL846" s="58"/>
      <c r="AM846" s="58"/>
      <c r="AN846" s="58"/>
      <c r="AO846" s="58"/>
      <c r="AP846" s="58"/>
      <c r="AQ846" s="58"/>
      <c r="AR846" s="58"/>
    </row>
    <row r="847" spans="1:44" ht="15.75" customHeight="1" x14ac:dyDescent="0.25">
      <c r="A847" s="63"/>
      <c r="B847" s="62"/>
      <c r="C847" s="62"/>
      <c r="D847" s="62"/>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c r="AE847" s="58"/>
      <c r="AF847" s="58"/>
      <c r="AG847" s="58"/>
      <c r="AH847" s="58"/>
      <c r="AI847" s="58"/>
      <c r="AJ847" s="58"/>
      <c r="AK847" s="58"/>
      <c r="AL847" s="58"/>
      <c r="AM847" s="58"/>
      <c r="AN847" s="58"/>
      <c r="AO847" s="58"/>
      <c r="AP847" s="58"/>
      <c r="AQ847" s="58"/>
      <c r="AR847" s="58"/>
    </row>
    <row r="848" spans="1:44" ht="15.75" customHeight="1" x14ac:dyDescent="0.25">
      <c r="A848" s="63"/>
      <c r="B848" s="62"/>
      <c r="C848" s="62"/>
      <c r="D848" s="62"/>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c r="AE848" s="58"/>
      <c r="AF848" s="58"/>
      <c r="AG848" s="58"/>
      <c r="AH848" s="58"/>
      <c r="AI848" s="58"/>
      <c r="AJ848" s="58"/>
      <c r="AK848" s="58"/>
      <c r="AL848" s="58"/>
      <c r="AM848" s="58"/>
      <c r="AN848" s="58"/>
      <c r="AO848" s="58"/>
      <c r="AP848" s="58"/>
      <c r="AQ848" s="58"/>
      <c r="AR848" s="58"/>
    </row>
    <row r="849" spans="1:44" ht="15.75" customHeight="1" x14ac:dyDescent="0.25">
      <c r="A849" s="63"/>
      <c r="B849" s="62"/>
      <c r="C849" s="62"/>
      <c r="D849" s="62"/>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c r="AE849" s="58"/>
      <c r="AF849" s="58"/>
      <c r="AG849" s="58"/>
      <c r="AH849" s="58"/>
      <c r="AI849" s="58"/>
      <c r="AJ849" s="58"/>
      <c r="AK849" s="58"/>
      <c r="AL849" s="58"/>
      <c r="AM849" s="58"/>
      <c r="AN849" s="58"/>
      <c r="AO849" s="58"/>
      <c r="AP849" s="58"/>
      <c r="AQ849" s="58"/>
      <c r="AR849" s="58"/>
    </row>
    <row r="850" spans="1:44" ht="15.75" customHeight="1" x14ac:dyDescent="0.25">
      <c r="A850" s="63"/>
      <c r="B850" s="62"/>
      <c r="C850" s="62"/>
      <c r="D850" s="62"/>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c r="AE850" s="58"/>
      <c r="AF850" s="58"/>
      <c r="AG850" s="58"/>
      <c r="AH850" s="58"/>
      <c r="AI850" s="58"/>
      <c r="AJ850" s="58"/>
      <c r="AK850" s="58"/>
      <c r="AL850" s="58"/>
      <c r="AM850" s="58"/>
      <c r="AN850" s="58"/>
      <c r="AO850" s="58"/>
      <c r="AP850" s="58"/>
      <c r="AQ850" s="58"/>
      <c r="AR850" s="58"/>
    </row>
    <row r="851" spans="1:44" ht="15.75" customHeight="1" x14ac:dyDescent="0.25">
      <c r="A851" s="63"/>
      <c r="B851" s="62"/>
      <c r="C851" s="62"/>
      <c r="D851" s="62"/>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c r="AE851" s="58"/>
      <c r="AF851" s="58"/>
      <c r="AG851" s="58"/>
      <c r="AH851" s="58"/>
      <c r="AI851" s="58"/>
      <c r="AJ851" s="58"/>
      <c r="AK851" s="58"/>
      <c r="AL851" s="58"/>
      <c r="AM851" s="58"/>
      <c r="AN851" s="58"/>
      <c r="AO851" s="58"/>
      <c r="AP851" s="58"/>
      <c r="AQ851" s="58"/>
      <c r="AR851" s="58"/>
    </row>
    <row r="852" spans="1:44" ht="15.75" customHeight="1" x14ac:dyDescent="0.25">
      <c r="A852" s="63"/>
      <c r="B852" s="62"/>
      <c r="C852" s="62"/>
      <c r="D852" s="62"/>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c r="AE852" s="58"/>
      <c r="AF852" s="58"/>
      <c r="AG852" s="58"/>
      <c r="AH852" s="58"/>
      <c r="AI852" s="58"/>
      <c r="AJ852" s="58"/>
      <c r="AK852" s="58"/>
      <c r="AL852" s="58"/>
      <c r="AM852" s="58"/>
      <c r="AN852" s="58"/>
      <c r="AO852" s="58"/>
      <c r="AP852" s="58"/>
      <c r="AQ852" s="58"/>
      <c r="AR852" s="58"/>
    </row>
    <row r="853" spans="1:44" ht="15.75" customHeight="1" x14ac:dyDescent="0.25">
      <c r="A853" s="63"/>
      <c r="B853" s="62"/>
      <c r="C853" s="62"/>
      <c r="D853" s="62"/>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c r="AE853" s="58"/>
      <c r="AF853" s="58"/>
      <c r="AG853" s="58"/>
      <c r="AH853" s="58"/>
      <c r="AI853" s="58"/>
      <c r="AJ853" s="58"/>
      <c r="AK853" s="58"/>
      <c r="AL853" s="58"/>
      <c r="AM853" s="58"/>
      <c r="AN853" s="58"/>
      <c r="AO853" s="58"/>
      <c r="AP853" s="58"/>
      <c r="AQ853" s="58"/>
      <c r="AR853" s="58"/>
    </row>
    <row r="854" spans="1:44" ht="15.75" customHeight="1" x14ac:dyDescent="0.25">
      <c r="A854" s="63"/>
      <c r="B854" s="62"/>
      <c r="C854" s="62"/>
      <c r="D854" s="62"/>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c r="AE854" s="58"/>
      <c r="AF854" s="58"/>
      <c r="AG854" s="58"/>
      <c r="AH854" s="58"/>
      <c r="AI854" s="58"/>
      <c r="AJ854" s="58"/>
      <c r="AK854" s="58"/>
      <c r="AL854" s="58"/>
      <c r="AM854" s="58"/>
      <c r="AN854" s="58"/>
      <c r="AO854" s="58"/>
      <c r="AP854" s="58"/>
      <c r="AQ854" s="58"/>
      <c r="AR854" s="58"/>
    </row>
    <row r="855" spans="1:44" ht="15.75" customHeight="1" x14ac:dyDescent="0.25">
      <c r="A855" s="63"/>
      <c r="B855" s="62"/>
      <c r="C855" s="62"/>
      <c r="D855" s="62"/>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c r="AE855" s="58"/>
      <c r="AF855" s="58"/>
      <c r="AG855" s="58"/>
      <c r="AH855" s="58"/>
      <c r="AI855" s="58"/>
      <c r="AJ855" s="58"/>
      <c r="AK855" s="58"/>
      <c r="AL855" s="58"/>
      <c r="AM855" s="58"/>
      <c r="AN855" s="58"/>
      <c r="AO855" s="58"/>
      <c r="AP855" s="58"/>
      <c r="AQ855" s="58"/>
      <c r="AR855" s="58"/>
    </row>
    <row r="856" spans="1:44" ht="15.75" customHeight="1" x14ac:dyDescent="0.25">
      <c r="A856" s="63"/>
      <c r="B856" s="62"/>
      <c r="C856" s="62"/>
      <c r="D856" s="62"/>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c r="AE856" s="58"/>
      <c r="AF856" s="58"/>
      <c r="AG856" s="58"/>
      <c r="AH856" s="58"/>
      <c r="AI856" s="58"/>
      <c r="AJ856" s="58"/>
      <c r="AK856" s="58"/>
      <c r="AL856" s="58"/>
      <c r="AM856" s="58"/>
      <c r="AN856" s="58"/>
      <c r="AO856" s="58"/>
      <c r="AP856" s="58"/>
      <c r="AQ856" s="58"/>
      <c r="AR856" s="58"/>
    </row>
    <row r="857" spans="1:44" ht="15.75" customHeight="1" x14ac:dyDescent="0.25">
      <c r="A857" s="63"/>
      <c r="B857" s="62"/>
      <c r="C857" s="62"/>
      <c r="D857" s="62"/>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c r="AE857" s="58"/>
      <c r="AF857" s="58"/>
      <c r="AG857" s="58"/>
      <c r="AH857" s="58"/>
      <c r="AI857" s="58"/>
      <c r="AJ857" s="58"/>
      <c r="AK857" s="58"/>
      <c r="AL857" s="58"/>
      <c r="AM857" s="58"/>
      <c r="AN857" s="58"/>
      <c r="AO857" s="58"/>
      <c r="AP857" s="58"/>
      <c r="AQ857" s="58"/>
      <c r="AR857" s="58"/>
    </row>
    <row r="858" spans="1:44" ht="15.75" customHeight="1" x14ac:dyDescent="0.25">
      <c r="A858" s="63"/>
      <c r="B858" s="62"/>
      <c r="C858" s="62"/>
      <c r="D858" s="62"/>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c r="AE858" s="58"/>
      <c r="AF858" s="58"/>
      <c r="AG858" s="58"/>
      <c r="AH858" s="58"/>
      <c r="AI858" s="58"/>
      <c r="AJ858" s="58"/>
      <c r="AK858" s="58"/>
      <c r="AL858" s="58"/>
      <c r="AM858" s="58"/>
      <c r="AN858" s="58"/>
      <c r="AO858" s="58"/>
      <c r="AP858" s="58"/>
      <c r="AQ858" s="58"/>
      <c r="AR858" s="58"/>
    </row>
    <row r="859" spans="1:44" ht="15.75" customHeight="1" x14ac:dyDescent="0.25">
      <c r="A859" s="63"/>
      <c r="B859" s="62"/>
      <c r="C859" s="62"/>
      <c r="D859" s="62"/>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c r="AE859" s="58"/>
      <c r="AF859" s="58"/>
      <c r="AG859" s="58"/>
      <c r="AH859" s="58"/>
      <c r="AI859" s="58"/>
      <c r="AJ859" s="58"/>
      <c r="AK859" s="58"/>
      <c r="AL859" s="58"/>
      <c r="AM859" s="58"/>
      <c r="AN859" s="58"/>
      <c r="AO859" s="58"/>
      <c r="AP859" s="58"/>
      <c r="AQ859" s="58"/>
      <c r="AR859" s="58"/>
    </row>
    <row r="860" spans="1:44" ht="15.75" customHeight="1" x14ac:dyDescent="0.25">
      <c r="A860" s="63"/>
      <c r="B860" s="62"/>
      <c r="C860" s="62"/>
      <c r="D860" s="62"/>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c r="AE860" s="58"/>
      <c r="AF860" s="58"/>
      <c r="AG860" s="58"/>
      <c r="AH860" s="58"/>
      <c r="AI860" s="58"/>
      <c r="AJ860" s="58"/>
      <c r="AK860" s="58"/>
      <c r="AL860" s="58"/>
      <c r="AM860" s="58"/>
      <c r="AN860" s="58"/>
      <c r="AO860" s="58"/>
      <c r="AP860" s="58"/>
      <c r="AQ860" s="58"/>
      <c r="AR860" s="58"/>
    </row>
    <row r="861" spans="1:44" ht="15.75" customHeight="1" x14ac:dyDescent="0.25">
      <c r="A861" s="63"/>
      <c r="B861" s="62"/>
      <c r="C861" s="62"/>
      <c r="D861" s="62"/>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c r="AE861" s="58"/>
      <c r="AF861" s="58"/>
      <c r="AG861" s="58"/>
      <c r="AH861" s="58"/>
      <c r="AI861" s="58"/>
      <c r="AJ861" s="58"/>
      <c r="AK861" s="58"/>
      <c r="AL861" s="58"/>
      <c r="AM861" s="58"/>
      <c r="AN861" s="58"/>
      <c r="AO861" s="58"/>
      <c r="AP861" s="58"/>
      <c r="AQ861" s="58"/>
      <c r="AR861" s="58"/>
    </row>
    <row r="862" spans="1:44" ht="15.75" customHeight="1" x14ac:dyDescent="0.25">
      <c r="A862" s="63"/>
      <c r="B862" s="62"/>
      <c r="C862" s="62"/>
      <c r="D862" s="62"/>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c r="AE862" s="58"/>
      <c r="AF862" s="58"/>
      <c r="AG862" s="58"/>
      <c r="AH862" s="58"/>
      <c r="AI862" s="58"/>
      <c r="AJ862" s="58"/>
      <c r="AK862" s="58"/>
      <c r="AL862" s="58"/>
      <c r="AM862" s="58"/>
      <c r="AN862" s="58"/>
      <c r="AO862" s="58"/>
      <c r="AP862" s="58"/>
      <c r="AQ862" s="58"/>
      <c r="AR862" s="58"/>
    </row>
    <row r="863" spans="1:44" ht="15.75" customHeight="1" x14ac:dyDescent="0.25">
      <c r="A863" s="63"/>
      <c r="B863" s="62"/>
      <c r="C863" s="62"/>
      <c r="D863" s="62"/>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c r="AE863" s="58"/>
      <c r="AF863" s="58"/>
      <c r="AG863" s="58"/>
      <c r="AH863" s="58"/>
      <c r="AI863" s="58"/>
      <c r="AJ863" s="58"/>
      <c r="AK863" s="58"/>
      <c r="AL863" s="58"/>
      <c r="AM863" s="58"/>
      <c r="AN863" s="58"/>
      <c r="AO863" s="58"/>
      <c r="AP863" s="58"/>
      <c r="AQ863" s="58"/>
      <c r="AR863" s="58"/>
    </row>
    <row r="864" spans="1:44" ht="15.75" customHeight="1" x14ac:dyDescent="0.25">
      <c r="A864" s="63"/>
      <c r="B864" s="62"/>
      <c r="C864" s="62"/>
      <c r="D864" s="62"/>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c r="AE864" s="58"/>
      <c r="AF864" s="58"/>
      <c r="AG864" s="58"/>
      <c r="AH864" s="58"/>
      <c r="AI864" s="58"/>
      <c r="AJ864" s="58"/>
      <c r="AK864" s="58"/>
      <c r="AL864" s="58"/>
      <c r="AM864" s="58"/>
      <c r="AN864" s="58"/>
      <c r="AO864" s="58"/>
      <c r="AP864" s="58"/>
      <c r="AQ864" s="58"/>
      <c r="AR864" s="58"/>
    </row>
    <row r="865" spans="1:44" ht="15.75" customHeight="1" x14ac:dyDescent="0.25">
      <c r="A865" s="63"/>
      <c r="B865" s="62"/>
      <c r="C865" s="62"/>
      <c r="D865" s="62"/>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c r="AE865" s="58"/>
      <c r="AF865" s="58"/>
      <c r="AG865" s="58"/>
      <c r="AH865" s="58"/>
      <c r="AI865" s="58"/>
      <c r="AJ865" s="58"/>
      <c r="AK865" s="58"/>
      <c r="AL865" s="58"/>
      <c r="AM865" s="58"/>
      <c r="AN865" s="58"/>
      <c r="AO865" s="58"/>
      <c r="AP865" s="58"/>
      <c r="AQ865" s="58"/>
      <c r="AR865" s="58"/>
    </row>
    <row r="866" spans="1:44" ht="15.75" customHeight="1" x14ac:dyDescent="0.25">
      <c r="A866" s="63"/>
      <c r="B866" s="62"/>
      <c r="C866" s="62"/>
      <c r="D866" s="62"/>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c r="AE866" s="58"/>
      <c r="AF866" s="58"/>
      <c r="AG866" s="58"/>
      <c r="AH866" s="58"/>
      <c r="AI866" s="58"/>
      <c r="AJ866" s="58"/>
      <c r="AK866" s="58"/>
      <c r="AL866" s="58"/>
      <c r="AM866" s="58"/>
      <c r="AN866" s="58"/>
      <c r="AO866" s="58"/>
      <c r="AP866" s="58"/>
      <c r="AQ866" s="58"/>
      <c r="AR866" s="58"/>
    </row>
    <row r="867" spans="1:44" ht="15.75" customHeight="1" x14ac:dyDescent="0.25">
      <c r="A867" s="63"/>
      <c r="B867" s="62"/>
      <c r="C867" s="62"/>
      <c r="D867" s="62"/>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c r="AE867" s="58"/>
      <c r="AF867" s="58"/>
      <c r="AG867" s="58"/>
      <c r="AH867" s="58"/>
      <c r="AI867" s="58"/>
      <c r="AJ867" s="58"/>
      <c r="AK867" s="58"/>
      <c r="AL867" s="58"/>
      <c r="AM867" s="58"/>
      <c r="AN867" s="58"/>
      <c r="AO867" s="58"/>
      <c r="AP867" s="58"/>
      <c r="AQ867" s="58"/>
      <c r="AR867" s="58"/>
    </row>
    <row r="868" spans="1:44" ht="15.75" customHeight="1" x14ac:dyDescent="0.25">
      <c r="A868" s="63"/>
      <c r="B868" s="62"/>
      <c r="C868" s="62"/>
      <c r="D868" s="62"/>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c r="AE868" s="58"/>
      <c r="AF868" s="58"/>
      <c r="AG868" s="58"/>
      <c r="AH868" s="58"/>
      <c r="AI868" s="58"/>
      <c r="AJ868" s="58"/>
      <c r="AK868" s="58"/>
      <c r="AL868" s="58"/>
      <c r="AM868" s="58"/>
      <c r="AN868" s="58"/>
      <c r="AO868" s="58"/>
      <c r="AP868" s="58"/>
      <c r="AQ868" s="58"/>
      <c r="AR868" s="58"/>
    </row>
    <row r="869" spans="1:44" ht="15.75" customHeight="1" x14ac:dyDescent="0.25">
      <c r="A869" s="63"/>
      <c r="B869" s="62"/>
      <c r="C869" s="62"/>
      <c r="D869" s="62"/>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c r="AE869" s="58"/>
      <c r="AF869" s="58"/>
      <c r="AG869" s="58"/>
      <c r="AH869" s="58"/>
      <c r="AI869" s="58"/>
      <c r="AJ869" s="58"/>
      <c r="AK869" s="58"/>
      <c r="AL869" s="58"/>
      <c r="AM869" s="58"/>
      <c r="AN869" s="58"/>
      <c r="AO869" s="58"/>
      <c r="AP869" s="58"/>
      <c r="AQ869" s="58"/>
      <c r="AR869" s="58"/>
    </row>
    <row r="870" spans="1:44" ht="15.75" customHeight="1" x14ac:dyDescent="0.25">
      <c r="A870" s="63"/>
      <c r="B870" s="62"/>
      <c r="C870" s="62"/>
      <c r="D870" s="62"/>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c r="AE870" s="58"/>
      <c r="AF870" s="58"/>
      <c r="AG870" s="58"/>
      <c r="AH870" s="58"/>
      <c r="AI870" s="58"/>
      <c r="AJ870" s="58"/>
      <c r="AK870" s="58"/>
      <c r="AL870" s="58"/>
      <c r="AM870" s="58"/>
      <c r="AN870" s="58"/>
      <c r="AO870" s="58"/>
      <c r="AP870" s="58"/>
      <c r="AQ870" s="58"/>
      <c r="AR870" s="58"/>
    </row>
    <row r="871" spans="1:44" ht="15.75" customHeight="1" x14ac:dyDescent="0.25">
      <c r="A871" s="63"/>
      <c r="B871" s="62"/>
      <c r="C871" s="62"/>
      <c r="D871" s="62"/>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c r="AE871" s="58"/>
      <c r="AF871" s="58"/>
      <c r="AG871" s="58"/>
      <c r="AH871" s="58"/>
      <c r="AI871" s="58"/>
      <c r="AJ871" s="58"/>
      <c r="AK871" s="58"/>
      <c r="AL871" s="58"/>
      <c r="AM871" s="58"/>
      <c r="AN871" s="58"/>
      <c r="AO871" s="58"/>
      <c r="AP871" s="58"/>
      <c r="AQ871" s="58"/>
      <c r="AR871" s="58"/>
    </row>
    <row r="872" spans="1:44" ht="15.75" customHeight="1" x14ac:dyDescent="0.25">
      <c r="A872" s="63"/>
      <c r="B872" s="62"/>
      <c r="C872" s="62"/>
      <c r="D872" s="62"/>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c r="AE872" s="58"/>
      <c r="AF872" s="58"/>
      <c r="AG872" s="58"/>
      <c r="AH872" s="58"/>
      <c r="AI872" s="58"/>
      <c r="AJ872" s="58"/>
      <c r="AK872" s="58"/>
      <c r="AL872" s="58"/>
      <c r="AM872" s="58"/>
      <c r="AN872" s="58"/>
      <c r="AO872" s="58"/>
      <c r="AP872" s="58"/>
      <c r="AQ872" s="58"/>
      <c r="AR872" s="58"/>
    </row>
    <row r="873" spans="1:44" ht="15.75" customHeight="1" x14ac:dyDescent="0.25">
      <c r="A873" s="63"/>
      <c r="B873" s="62"/>
      <c r="C873" s="62"/>
      <c r="D873" s="62"/>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c r="AE873" s="58"/>
      <c r="AF873" s="58"/>
      <c r="AG873" s="58"/>
      <c r="AH873" s="58"/>
      <c r="AI873" s="58"/>
      <c r="AJ873" s="58"/>
      <c r="AK873" s="58"/>
      <c r="AL873" s="58"/>
      <c r="AM873" s="58"/>
      <c r="AN873" s="58"/>
      <c r="AO873" s="58"/>
      <c r="AP873" s="58"/>
      <c r="AQ873" s="58"/>
      <c r="AR873" s="58"/>
    </row>
    <row r="874" spans="1:44" ht="15.75" customHeight="1" x14ac:dyDescent="0.25">
      <c r="A874" s="63"/>
      <c r="B874" s="62"/>
      <c r="C874" s="62"/>
      <c r="D874" s="62"/>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c r="AE874" s="58"/>
      <c r="AF874" s="58"/>
      <c r="AG874" s="58"/>
      <c r="AH874" s="58"/>
      <c r="AI874" s="58"/>
      <c r="AJ874" s="58"/>
      <c r="AK874" s="58"/>
      <c r="AL874" s="58"/>
      <c r="AM874" s="58"/>
      <c r="AN874" s="58"/>
      <c r="AO874" s="58"/>
      <c r="AP874" s="58"/>
      <c r="AQ874" s="58"/>
      <c r="AR874" s="58"/>
    </row>
    <row r="875" spans="1:44" ht="15.75" customHeight="1" x14ac:dyDescent="0.25">
      <c r="A875" s="63"/>
      <c r="B875" s="62"/>
      <c r="C875" s="62"/>
      <c r="D875" s="62"/>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c r="AE875" s="58"/>
      <c r="AF875" s="58"/>
      <c r="AG875" s="58"/>
      <c r="AH875" s="58"/>
      <c r="AI875" s="58"/>
      <c r="AJ875" s="58"/>
      <c r="AK875" s="58"/>
      <c r="AL875" s="58"/>
      <c r="AM875" s="58"/>
      <c r="AN875" s="58"/>
      <c r="AO875" s="58"/>
      <c r="AP875" s="58"/>
      <c r="AQ875" s="58"/>
      <c r="AR875" s="58"/>
    </row>
    <row r="876" spans="1:44" ht="15.75" customHeight="1" x14ac:dyDescent="0.25">
      <c r="A876" s="63"/>
      <c r="B876" s="62"/>
      <c r="C876" s="62"/>
      <c r="D876" s="62"/>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c r="AE876" s="58"/>
      <c r="AF876" s="58"/>
      <c r="AG876" s="58"/>
      <c r="AH876" s="58"/>
      <c r="AI876" s="58"/>
      <c r="AJ876" s="58"/>
      <c r="AK876" s="58"/>
      <c r="AL876" s="58"/>
      <c r="AM876" s="58"/>
      <c r="AN876" s="58"/>
      <c r="AO876" s="58"/>
      <c r="AP876" s="58"/>
      <c r="AQ876" s="58"/>
      <c r="AR876" s="58"/>
    </row>
    <row r="877" spans="1:44" ht="15.75" customHeight="1" x14ac:dyDescent="0.25">
      <c r="A877" s="63"/>
      <c r="B877" s="62"/>
      <c r="C877" s="62"/>
      <c r="D877" s="62"/>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c r="AE877" s="58"/>
      <c r="AF877" s="58"/>
      <c r="AG877" s="58"/>
      <c r="AH877" s="58"/>
      <c r="AI877" s="58"/>
      <c r="AJ877" s="58"/>
      <c r="AK877" s="58"/>
      <c r="AL877" s="58"/>
      <c r="AM877" s="58"/>
      <c r="AN877" s="58"/>
      <c r="AO877" s="58"/>
      <c r="AP877" s="58"/>
      <c r="AQ877" s="58"/>
      <c r="AR877" s="58"/>
    </row>
    <row r="878" spans="1:44" ht="15.75" customHeight="1" x14ac:dyDescent="0.25">
      <c r="A878" s="63"/>
      <c r="B878" s="62"/>
      <c r="C878" s="62"/>
      <c r="D878" s="62"/>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c r="AE878" s="58"/>
      <c r="AF878" s="58"/>
      <c r="AG878" s="58"/>
      <c r="AH878" s="58"/>
      <c r="AI878" s="58"/>
      <c r="AJ878" s="58"/>
      <c r="AK878" s="58"/>
      <c r="AL878" s="58"/>
      <c r="AM878" s="58"/>
      <c r="AN878" s="58"/>
      <c r="AO878" s="58"/>
      <c r="AP878" s="58"/>
      <c r="AQ878" s="58"/>
      <c r="AR878" s="58"/>
    </row>
    <row r="879" spans="1:44" ht="15.75" customHeight="1" x14ac:dyDescent="0.25">
      <c r="A879" s="63"/>
      <c r="B879" s="62"/>
      <c r="C879" s="62"/>
      <c r="D879" s="62"/>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c r="AE879" s="58"/>
      <c r="AF879" s="58"/>
      <c r="AG879" s="58"/>
      <c r="AH879" s="58"/>
      <c r="AI879" s="58"/>
      <c r="AJ879" s="58"/>
      <c r="AK879" s="58"/>
      <c r="AL879" s="58"/>
      <c r="AM879" s="58"/>
      <c r="AN879" s="58"/>
      <c r="AO879" s="58"/>
      <c r="AP879" s="58"/>
      <c r="AQ879" s="58"/>
      <c r="AR879" s="58"/>
    </row>
    <row r="880" spans="1:44" ht="15.75" customHeight="1" x14ac:dyDescent="0.25">
      <c r="A880" s="63"/>
      <c r="B880" s="62"/>
      <c r="C880" s="62"/>
      <c r="D880" s="62"/>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c r="AE880" s="58"/>
      <c r="AF880" s="58"/>
      <c r="AG880" s="58"/>
      <c r="AH880" s="58"/>
      <c r="AI880" s="58"/>
      <c r="AJ880" s="58"/>
      <c r="AK880" s="58"/>
      <c r="AL880" s="58"/>
      <c r="AM880" s="58"/>
      <c r="AN880" s="58"/>
      <c r="AO880" s="58"/>
      <c r="AP880" s="58"/>
      <c r="AQ880" s="58"/>
      <c r="AR880" s="58"/>
    </row>
    <row r="881" spans="1:44" ht="15.75" customHeight="1" x14ac:dyDescent="0.25">
      <c r="A881" s="63"/>
      <c r="B881" s="62"/>
      <c r="C881" s="62"/>
      <c r="D881" s="62"/>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c r="AE881" s="58"/>
      <c r="AF881" s="58"/>
      <c r="AG881" s="58"/>
      <c r="AH881" s="58"/>
      <c r="AI881" s="58"/>
      <c r="AJ881" s="58"/>
      <c r="AK881" s="58"/>
      <c r="AL881" s="58"/>
      <c r="AM881" s="58"/>
      <c r="AN881" s="58"/>
      <c r="AO881" s="58"/>
      <c r="AP881" s="58"/>
      <c r="AQ881" s="58"/>
      <c r="AR881" s="58"/>
    </row>
    <row r="882" spans="1:44" ht="15.75" customHeight="1" x14ac:dyDescent="0.25">
      <c r="A882" s="63"/>
      <c r="B882" s="62"/>
      <c r="C882" s="62"/>
      <c r="D882" s="62"/>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c r="AE882" s="58"/>
      <c r="AF882" s="58"/>
      <c r="AG882" s="58"/>
      <c r="AH882" s="58"/>
      <c r="AI882" s="58"/>
      <c r="AJ882" s="58"/>
      <c r="AK882" s="58"/>
      <c r="AL882" s="58"/>
      <c r="AM882" s="58"/>
      <c r="AN882" s="58"/>
      <c r="AO882" s="58"/>
      <c r="AP882" s="58"/>
      <c r="AQ882" s="58"/>
      <c r="AR882" s="58"/>
    </row>
    <row r="883" spans="1:44" ht="15.75" customHeight="1" x14ac:dyDescent="0.25">
      <c r="A883" s="63"/>
      <c r="B883" s="62"/>
      <c r="C883" s="62"/>
      <c r="D883" s="62"/>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c r="AE883" s="58"/>
      <c r="AF883" s="58"/>
      <c r="AG883" s="58"/>
      <c r="AH883" s="58"/>
      <c r="AI883" s="58"/>
      <c r="AJ883" s="58"/>
      <c r="AK883" s="58"/>
      <c r="AL883" s="58"/>
      <c r="AM883" s="58"/>
      <c r="AN883" s="58"/>
      <c r="AO883" s="58"/>
      <c r="AP883" s="58"/>
      <c r="AQ883" s="58"/>
      <c r="AR883" s="58"/>
    </row>
    <row r="884" spans="1:44" ht="15.75" customHeight="1" x14ac:dyDescent="0.25">
      <c r="A884" s="63"/>
      <c r="B884" s="62"/>
      <c r="C884" s="62"/>
      <c r="D884" s="62"/>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c r="AE884" s="58"/>
      <c r="AF884" s="58"/>
      <c r="AG884" s="58"/>
      <c r="AH884" s="58"/>
      <c r="AI884" s="58"/>
      <c r="AJ884" s="58"/>
      <c r="AK884" s="58"/>
      <c r="AL884" s="58"/>
      <c r="AM884" s="58"/>
      <c r="AN884" s="58"/>
      <c r="AO884" s="58"/>
      <c r="AP884" s="58"/>
      <c r="AQ884" s="58"/>
      <c r="AR884" s="58"/>
    </row>
    <row r="885" spans="1:44" ht="15.75" customHeight="1" x14ac:dyDescent="0.25">
      <c r="A885" s="63"/>
      <c r="B885" s="62"/>
      <c r="C885" s="62"/>
      <c r="D885" s="62"/>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c r="AE885" s="58"/>
      <c r="AF885" s="58"/>
      <c r="AG885" s="58"/>
      <c r="AH885" s="58"/>
      <c r="AI885" s="58"/>
      <c r="AJ885" s="58"/>
      <c r="AK885" s="58"/>
      <c r="AL885" s="58"/>
      <c r="AM885" s="58"/>
      <c r="AN885" s="58"/>
      <c r="AO885" s="58"/>
      <c r="AP885" s="58"/>
      <c r="AQ885" s="58"/>
      <c r="AR885" s="58"/>
    </row>
    <row r="886" spans="1:44" ht="15.75" customHeight="1" x14ac:dyDescent="0.25">
      <c r="A886" s="63"/>
      <c r="B886" s="62"/>
      <c r="C886" s="62"/>
      <c r="D886" s="62"/>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c r="AE886" s="58"/>
      <c r="AF886" s="58"/>
      <c r="AG886" s="58"/>
      <c r="AH886" s="58"/>
      <c r="AI886" s="58"/>
      <c r="AJ886" s="58"/>
      <c r="AK886" s="58"/>
      <c r="AL886" s="58"/>
      <c r="AM886" s="58"/>
      <c r="AN886" s="58"/>
      <c r="AO886" s="58"/>
      <c r="AP886" s="58"/>
      <c r="AQ886" s="58"/>
      <c r="AR886" s="58"/>
    </row>
    <row r="887" spans="1:44" ht="15.75" customHeight="1" x14ac:dyDescent="0.25">
      <c r="A887" s="63"/>
      <c r="B887" s="62"/>
      <c r="C887" s="62"/>
      <c r="D887" s="62"/>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c r="AE887" s="58"/>
      <c r="AF887" s="58"/>
      <c r="AG887" s="58"/>
      <c r="AH887" s="58"/>
      <c r="AI887" s="58"/>
      <c r="AJ887" s="58"/>
      <c r="AK887" s="58"/>
      <c r="AL887" s="58"/>
      <c r="AM887" s="58"/>
      <c r="AN887" s="58"/>
      <c r="AO887" s="58"/>
      <c r="AP887" s="58"/>
      <c r="AQ887" s="58"/>
      <c r="AR887" s="58"/>
    </row>
    <row r="888" spans="1:44" ht="15.75" customHeight="1" x14ac:dyDescent="0.25">
      <c r="A888" s="63"/>
      <c r="B888" s="62"/>
      <c r="C888" s="62"/>
      <c r="D888" s="62"/>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c r="AE888" s="58"/>
      <c r="AF888" s="58"/>
      <c r="AG888" s="58"/>
      <c r="AH888" s="58"/>
      <c r="AI888" s="58"/>
      <c r="AJ888" s="58"/>
      <c r="AK888" s="58"/>
      <c r="AL888" s="58"/>
      <c r="AM888" s="58"/>
      <c r="AN888" s="58"/>
      <c r="AO888" s="58"/>
      <c r="AP888" s="58"/>
      <c r="AQ888" s="58"/>
      <c r="AR888" s="58"/>
    </row>
    <row r="889" spans="1:44" ht="15.75" customHeight="1" x14ac:dyDescent="0.25">
      <c r="A889" s="63"/>
      <c r="B889" s="62"/>
      <c r="C889" s="62"/>
      <c r="D889" s="62"/>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c r="AE889" s="58"/>
      <c r="AF889" s="58"/>
      <c r="AG889" s="58"/>
      <c r="AH889" s="58"/>
      <c r="AI889" s="58"/>
      <c r="AJ889" s="58"/>
      <c r="AK889" s="58"/>
      <c r="AL889" s="58"/>
      <c r="AM889" s="58"/>
      <c r="AN889" s="58"/>
      <c r="AO889" s="58"/>
      <c r="AP889" s="58"/>
      <c r="AQ889" s="58"/>
      <c r="AR889" s="58"/>
    </row>
    <row r="890" spans="1:44" ht="15.75" customHeight="1" x14ac:dyDescent="0.25">
      <c r="A890" s="63"/>
      <c r="B890" s="62"/>
      <c r="C890" s="62"/>
      <c r="D890" s="62"/>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c r="AE890" s="58"/>
      <c r="AF890" s="58"/>
      <c r="AG890" s="58"/>
      <c r="AH890" s="58"/>
      <c r="AI890" s="58"/>
      <c r="AJ890" s="58"/>
      <c r="AK890" s="58"/>
      <c r="AL890" s="58"/>
      <c r="AM890" s="58"/>
      <c r="AN890" s="58"/>
      <c r="AO890" s="58"/>
      <c r="AP890" s="58"/>
      <c r="AQ890" s="58"/>
      <c r="AR890" s="58"/>
    </row>
    <row r="891" spans="1:44" ht="15.75" customHeight="1" x14ac:dyDescent="0.25">
      <c r="A891" s="63"/>
      <c r="B891" s="62"/>
      <c r="C891" s="62"/>
      <c r="D891" s="62"/>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c r="AE891" s="58"/>
      <c r="AF891" s="58"/>
      <c r="AG891" s="58"/>
      <c r="AH891" s="58"/>
      <c r="AI891" s="58"/>
      <c r="AJ891" s="58"/>
      <c r="AK891" s="58"/>
      <c r="AL891" s="58"/>
      <c r="AM891" s="58"/>
      <c r="AN891" s="58"/>
      <c r="AO891" s="58"/>
      <c r="AP891" s="58"/>
      <c r="AQ891" s="58"/>
      <c r="AR891" s="58"/>
    </row>
    <row r="892" spans="1:44" ht="15.75" customHeight="1" x14ac:dyDescent="0.25">
      <c r="A892" s="63"/>
      <c r="B892" s="62"/>
      <c r="C892" s="62"/>
      <c r="D892" s="62"/>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c r="AE892" s="58"/>
      <c r="AF892" s="58"/>
      <c r="AG892" s="58"/>
      <c r="AH892" s="58"/>
      <c r="AI892" s="58"/>
      <c r="AJ892" s="58"/>
      <c r="AK892" s="58"/>
      <c r="AL892" s="58"/>
      <c r="AM892" s="58"/>
      <c r="AN892" s="58"/>
      <c r="AO892" s="58"/>
      <c r="AP892" s="58"/>
      <c r="AQ892" s="58"/>
      <c r="AR892" s="58"/>
    </row>
    <row r="893" spans="1:44" ht="15.75" customHeight="1" x14ac:dyDescent="0.25">
      <c r="A893" s="63"/>
      <c r="B893" s="62"/>
      <c r="C893" s="62"/>
      <c r="D893" s="62"/>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c r="AE893" s="58"/>
      <c r="AF893" s="58"/>
      <c r="AG893" s="58"/>
      <c r="AH893" s="58"/>
      <c r="AI893" s="58"/>
      <c r="AJ893" s="58"/>
      <c r="AK893" s="58"/>
      <c r="AL893" s="58"/>
      <c r="AM893" s="58"/>
      <c r="AN893" s="58"/>
      <c r="AO893" s="58"/>
      <c r="AP893" s="58"/>
      <c r="AQ893" s="58"/>
      <c r="AR893" s="58"/>
    </row>
    <row r="894" spans="1:44" ht="15.75" customHeight="1" x14ac:dyDescent="0.25">
      <c r="A894" s="63"/>
      <c r="B894" s="62"/>
      <c r="C894" s="62"/>
      <c r="D894" s="62"/>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c r="AE894" s="58"/>
      <c r="AF894" s="58"/>
      <c r="AG894" s="58"/>
      <c r="AH894" s="58"/>
      <c r="AI894" s="58"/>
      <c r="AJ894" s="58"/>
      <c r="AK894" s="58"/>
      <c r="AL894" s="58"/>
      <c r="AM894" s="58"/>
      <c r="AN894" s="58"/>
      <c r="AO894" s="58"/>
      <c r="AP894" s="58"/>
      <c r="AQ894" s="58"/>
      <c r="AR894" s="58"/>
    </row>
    <row r="895" spans="1:44" ht="15.75" customHeight="1" x14ac:dyDescent="0.25">
      <c r="A895" s="63"/>
      <c r="B895" s="62"/>
      <c r="C895" s="62"/>
      <c r="D895" s="62"/>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c r="AE895" s="58"/>
      <c r="AF895" s="58"/>
      <c r="AG895" s="58"/>
      <c r="AH895" s="58"/>
      <c r="AI895" s="58"/>
      <c r="AJ895" s="58"/>
      <c r="AK895" s="58"/>
      <c r="AL895" s="58"/>
      <c r="AM895" s="58"/>
      <c r="AN895" s="58"/>
      <c r="AO895" s="58"/>
      <c r="AP895" s="58"/>
      <c r="AQ895" s="58"/>
      <c r="AR895" s="58"/>
    </row>
    <row r="896" spans="1:44" ht="15.75" customHeight="1" x14ac:dyDescent="0.25">
      <c r="A896" s="63"/>
      <c r="B896" s="62"/>
      <c r="C896" s="62"/>
      <c r="D896" s="62"/>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c r="AE896" s="58"/>
      <c r="AF896" s="58"/>
      <c r="AG896" s="58"/>
      <c r="AH896" s="58"/>
      <c r="AI896" s="58"/>
      <c r="AJ896" s="58"/>
      <c r="AK896" s="58"/>
      <c r="AL896" s="58"/>
      <c r="AM896" s="58"/>
      <c r="AN896" s="58"/>
      <c r="AO896" s="58"/>
      <c r="AP896" s="58"/>
      <c r="AQ896" s="58"/>
      <c r="AR896" s="58"/>
    </row>
    <row r="897" spans="1:44" ht="15.75" customHeight="1" x14ac:dyDescent="0.25">
      <c r="A897" s="63"/>
      <c r="B897" s="62"/>
      <c r="C897" s="62"/>
      <c r="D897" s="62"/>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c r="AE897" s="58"/>
      <c r="AF897" s="58"/>
      <c r="AG897" s="58"/>
      <c r="AH897" s="58"/>
      <c r="AI897" s="58"/>
      <c r="AJ897" s="58"/>
      <c r="AK897" s="58"/>
      <c r="AL897" s="58"/>
      <c r="AM897" s="58"/>
      <c r="AN897" s="58"/>
      <c r="AO897" s="58"/>
      <c r="AP897" s="58"/>
      <c r="AQ897" s="58"/>
      <c r="AR897" s="58"/>
    </row>
    <row r="898" spans="1:44" ht="15.75" customHeight="1" x14ac:dyDescent="0.25">
      <c r="A898" s="63"/>
      <c r="B898" s="62"/>
      <c r="C898" s="62"/>
      <c r="D898" s="62"/>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c r="AE898" s="58"/>
      <c r="AF898" s="58"/>
      <c r="AG898" s="58"/>
      <c r="AH898" s="58"/>
      <c r="AI898" s="58"/>
      <c r="AJ898" s="58"/>
      <c r="AK898" s="58"/>
      <c r="AL898" s="58"/>
      <c r="AM898" s="58"/>
      <c r="AN898" s="58"/>
      <c r="AO898" s="58"/>
      <c r="AP898" s="58"/>
      <c r="AQ898" s="58"/>
      <c r="AR898" s="58"/>
    </row>
    <row r="899" spans="1:44" ht="15.75" customHeight="1" x14ac:dyDescent="0.25">
      <c r="A899" s="63"/>
      <c r="B899" s="62"/>
      <c r="C899" s="62"/>
      <c r="D899" s="62"/>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c r="AE899" s="58"/>
      <c r="AF899" s="58"/>
      <c r="AG899" s="58"/>
      <c r="AH899" s="58"/>
      <c r="AI899" s="58"/>
      <c r="AJ899" s="58"/>
      <c r="AK899" s="58"/>
      <c r="AL899" s="58"/>
      <c r="AM899" s="58"/>
      <c r="AN899" s="58"/>
      <c r="AO899" s="58"/>
      <c r="AP899" s="58"/>
      <c r="AQ899" s="58"/>
      <c r="AR899" s="58"/>
    </row>
    <row r="900" spans="1:44" ht="15.75" customHeight="1" x14ac:dyDescent="0.25">
      <c r="A900" s="63"/>
      <c r="B900" s="62"/>
      <c r="C900" s="62"/>
      <c r="D900" s="62"/>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c r="AE900" s="58"/>
      <c r="AF900" s="58"/>
      <c r="AG900" s="58"/>
      <c r="AH900" s="58"/>
      <c r="AI900" s="58"/>
      <c r="AJ900" s="58"/>
      <c r="AK900" s="58"/>
      <c r="AL900" s="58"/>
      <c r="AM900" s="58"/>
      <c r="AN900" s="58"/>
      <c r="AO900" s="58"/>
      <c r="AP900" s="58"/>
      <c r="AQ900" s="58"/>
      <c r="AR900" s="58"/>
    </row>
    <row r="901" spans="1:44" ht="15.75" customHeight="1" x14ac:dyDescent="0.25">
      <c r="A901" s="63"/>
      <c r="B901" s="62"/>
      <c r="C901" s="62"/>
      <c r="D901" s="62"/>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c r="AE901" s="58"/>
      <c r="AF901" s="58"/>
      <c r="AG901" s="58"/>
      <c r="AH901" s="58"/>
      <c r="AI901" s="58"/>
      <c r="AJ901" s="58"/>
      <c r="AK901" s="58"/>
      <c r="AL901" s="58"/>
      <c r="AM901" s="58"/>
      <c r="AN901" s="58"/>
      <c r="AO901" s="58"/>
      <c r="AP901" s="58"/>
      <c r="AQ901" s="58"/>
      <c r="AR901" s="58"/>
    </row>
    <row r="902" spans="1:44" ht="15.75" customHeight="1" x14ac:dyDescent="0.25">
      <c r="A902" s="63"/>
      <c r="B902" s="62"/>
      <c r="C902" s="62"/>
      <c r="D902" s="62"/>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c r="AE902" s="58"/>
      <c r="AF902" s="58"/>
      <c r="AG902" s="58"/>
      <c r="AH902" s="58"/>
      <c r="AI902" s="58"/>
      <c r="AJ902" s="58"/>
      <c r="AK902" s="58"/>
      <c r="AL902" s="58"/>
      <c r="AM902" s="58"/>
      <c r="AN902" s="58"/>
      <c r="AO902" s="58"/>
      <c r="AP902" s="58"/>
      <c r="AQ902" s="58"/>
      <c r="AR902" s="58"/>
    </row>
    <row r="903" spans="1:44" ht="15.75" customHeight="1" x14ac:dyDescent="0.25">
      <c r="A903" s="63"/>
      <c r="B903" s="62"/>
      <c r="C903" s="62"/>
      <c r="D903" s="62"/>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c r="AE903" s="58"/>
      <c r="AF903" s="58"/>
      <c r="AG903" s="58"/>
      <c r="AH903" s="58"/>
      <c r="AI903" s="58"/>
      <c r="AJ903" s="58"/>
      <c r="AK903" s="58"/>
      <c r="AL903" s="58"/>
      <c r="AM903" s="58"/>
      <c r="AN903" s="58"/>
      <c r="AO903" s="58"/>
      <c r="AP903" s="58"/>
      <c r="AQ903" s="58"/>
      <c r="AR903" s="58"/>
    </row>
    <row r="904" spans="1:44" ht="15.75" customHeight="1" x14ac:dyDescent="0.25">
      <c r="A904" s="63"/>
      <c r="B904" s="62"/>
      <c r="C904" s="62"/>
      <c r="D904" s="62"/>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c r="AE904" s="58"/>
      <c r="AF904" s="58"/>
      <c r="AG904" s="58"/>
      <c r="AH904" s="58"/>
      <c r="AI904" s="58"/>
      <c r="AJ904" s="58"/>
      <c r="AK904" s="58"/>
      <c r="AL904" s="58"/>
      <c r="AM904" s="58"/>
      <c r="AN904" s="58"/>
      <c r="AO904" s="58"/>
      <c r="AP904" s="58"/>
      <c r="AQ904" s="58"/>
      <c r="AR904" s="58"/>
    </row>
    <row r="905" spans="1:44" ht="15.75" customHeight="1" x14ac:dyDescent="0.25">
      <c r="A905" s="63"/>
      <c r="B905" s="62"/>
      <c r="C905" s="62"/>
      <c r="D905" s="62"/>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c r="AE905" s="58"/>
      <c r="AF905" s="58"/>
      <c r="AG905" s="58"/>
      <c r="AH905" s="58"/>
      <c r="AI905" s="58"/>
      <c r="AJ905" s="58"/>
      <c r="AK905" s="58"/>
      <c r="AL905" s="58"/>
      <c r="AM905" s="58"/>
      <c r="AN905" s="58"/>
      <c r="AO905" s="58"/>
      <c r="AP905" s="58"/>
      <c r="AQ905" s="58"/>
      <c r="AR905" s="58"/>
    </row>
    <row r="906" spans="1:44" ht="15.75" customHeight="1" x14ac:dyDescent="0.25">
      <c r="A906" s="63"/>
      <c r="B906" s="62"/>
      <c r="C906" s="62"/>
      <c r="D906" s="62"/>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c r="AE906" s="58"/>
      <c r="AF906" s="58"/>
      <c r="AG906" s="58"/>
      <c r="AH906" s="58"/>
      <c r="AI906" s="58"/>
      <c r="AJ906" s="58"/>
      <c r="AK906" s="58"/>
      <c r="AL906" s="58"/>
      <c r="AM906" s="58"/>
      <c r="AN906" s="58"/>
      <c r="AO906" s="58"/>
      <c r="AP906" s="58"/>
      <c r="AQ906" s="58"/>
      <c r="AR906" s="58"/>
    </row>
    <row r="907" spans="1:44" ht="15.75" customHeight="1" x14ac:dyDescent="0.25">
      <c r="A907" s="63"/>
      <c r="B907" s="62"/>
      <c r="C907" s="62"/>
      <c r="D907" s="62"/>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c r="AE907" s="58"/>
      <c r="AF907" s="58"/>
      <c r="AG907" s="58"/>
      <c r="AH907" s="58"/>
      <c r="AI907" s="58"/>
      <c r="AJ907" s="58"/>
      <c r="AK907" s="58"/>
      <c r="AL907" s="58"/>
      <c r="AM907" s="58"/>
      <c r="AN907" s="58"/>
      <c r="AO907" s="58"/>
      <c r="AP907" s="58"/>
      <c r="AQ907" s="58"/>
      <c r="AR907" s="58"/>
    </row>
    <row r="908" spans="1:44" ht="15.75" customHeight="1" x14ac:dyDescent="0.25">
      <c r="A908" s="63"/>
      <c r="B908" s="62"/>
      <c r="C908" s="62"/>
      <c r="D908" s="62"/>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c r="AE908" s="58"/>
      <c r="AF908" s="58"/>
      <c r="AG908" s="58"/>
      <c r="AH908" s="58"/>
      <c r="AI908" s="58"/>
      <c r="AJ908" s="58"/>
      <c r="AK908" s="58"/>
      <c r="AL908" s="58"/>
      <c r="AM908" s="58"/>
      <c r="AN908" s="58"/>
      <c r="AO908" s="58"/>
      <c r="AP908" s="58"/>
      <c r="AQ908" s="58"/>
      <c r="AR908" s="58"/>
    </row>
    <row r="909" spans="1:44" ht="15.75" customHeight="1" x14ac:dyDescent="0.25">
      <c r="A909" s="63"/>
      <c r="B909" s="62"/>
      <c r="C909" s="62"/>
      <c r="D909" s="62"/>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c r="AE909" s="58"/>
      <c r="AF909" s="58"/>
      <c r="AG909" s="58"/>
      <c r="AH909" s="58"/>
      <c r="AI909" s="58"/>
      <c r="AJ909" s="58"/>
      <c r="AK909" s="58"/>
      <c r="AL909" s="58"/>
      <c r="AM909" s="58"/>
      <c r="AN909" s="58"/>
      <c r="AO909" s="58"/>
      <c r="AP909" s="58"/>
      <c r="AQ909" s="58"/>
      <c r="AR909" s="58"/>
    </row>
    <row r="910" spans="1:44" ht="15.75" customHeight="1" x14ac:dyDescent="0.25">
      <c r="A910" s="63"/>
      <c r="B910" s="62"/>
      <c r="C910" s="62"/>
      <c r="D910" s="62"/>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c r="AE910" s="58"/>
      <c r="AF910" s="58"/>
      <c r="AG910" s="58"/>
      <c r="AH910" s="58"/>
      <c r="AI910" s="58"/>
      <c r="AJ910" s="58"/>
      <c r="AK910" s="58"/>
      <c r="AL910" s="58"/>
      <c r="AM910" s="58"/>
      <c r="AN910" s="58"/>
      <c r="AO910" s="58"/>
      <c r="AP910" s="58"/>
      <c r="AQ910" s="58"/>
      <c r="AR910" s="58"/>
    </row>
    <row r="911" spans="1:44" ht="15.75" customHeight="1" x14ac:dyDescent="0.25">
      <c r="A911" s="63"/>
      <c r="B911" s="62"/>
      <c r="C911" s="62"/>
      <c r="D911" s="62"/>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c r="AE911" s="58"/>
      <c r="AF911" s="58"/>
      <c r="AG911" s="58"/>
      <c r="AH911" s="58"/>
      <c r="AI911" s="58"/>
      <c r="AJ911" s="58"/>
      <c r="AK911" s="58"/>
      <c r="AL911" s="58"/>
      <c r="AM911" s="58"/>
      <c r="AN911" s="58"/>
      <c r="AO911" s="58"/>
      <c r="AP911" s="58"/>
      <c r="AQ911" s="58"/>
      <c r="AR911" s="58"/>
    </row>
    <row r="912" spans="1:44" ht="15.75" customHeight="1" x14ac:dyDescent="0.25">
      <c r="A912" s="63"/>
      <c r="B912" s="62"/>
      <c r="C912" s="62"/>
      <c r="D912" s="62"/>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c r="AE912" s="58"/>
      <c r="AF912" s="58"/>
      <c r="AG912" s="58"/>
      <c r="AH912" s="58"/>
      <c r="AI912" s="58"/>
      <c r="AJ912" s="58"/>
      <c r="AK912" s="58"/>
      <c r="AL912" s="58"/>
      <c r="AM912" s="58"/>
      <c r="AN912" s="58"/>
      <c r="AO912" s="58"/>
      <c r="AP912" s="58"/>
      <c r="AQ912" s="58"/>
      <c r="AR912" s="58"/>
    </row>
    <row r="913" spans="1:44" ht="15.75" customHeight="1" x14ac:dyDescent="0.25">
      <c r="A913" s="63"/>
      <c r="B913" s="62"/>
      <c r="C913" s="62"/>
      <c r="D913" s="62"/>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c r="AE913" s="58"/>
      <c r="AF913" s="58"/>
      <c r="AG913" s="58"/>
      <c r="AH913" s="58"/>
      <c r="AI913" s="58"/>
      <c r="AJ913" s="58"/>
      <c r="AK913" s="58"/>
      <c r="AL913" s="58"/>
      <c r="AM913" s="58"/>
      <c r="AN913" s="58"/>
      <c r="AO913" s="58"/>
      <c r="AP913" s="58"/>
      <c r="AQ913" s="58"/>
      <c r="AR913" s="58"/>
    </row>
    <row r="914" spans="1:44" ht="15.75" customHeight="1" x14ac:dyDescent="0.25">
      <c r="A914" s="63"/>
      <c r="B914" s="62"/>
      <c r="C914" s="62"/>
      <c r="D914" s="62"/>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c r="AE914" s="58"/>
      <c r="AF914" s="58"/>
      <c r="AG914" s="58"/>
      <c r="AH914" s="58"/>
      <c r="AI914" s="58"/>
      <c r="AJ914" s="58"/>
      <c r="AK914" s="58"/>
      <c r="AL914" s="58"/>
      <c r="AM914" s="58"/>
      <c r="AN914" s="58"/>
      <c r="AO914" s="58"/>
      <c r="AP914" s="58"/>
      <c r="AQ914" s="58"/>
      <c r="AR914" s="58"/>
    </row>
    <row r="915" spans="1:44" ht="15.75" customHeight="1" x14ac:dyDescent="0.25">
      <c r="A915" s="63"/>
      <c r="B915" s="62"/>
      <c r="C915" s="62"/>
      <c r="D915" s="62"/>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c r="AE915" s="58"/>
      <c r="AF915" s="58"/>
      <c r="AG915" s="58"/>
      <c r="AH915" s="58"/>
      <c r="AI915" s="58"/>
      <c r="AJ915" s="58"/>
      <c r="AK915" s="58"/>
      <c r="AL915" s="58"/>
      <c r="AM915" s="58"/>
      <c r="AN915" s="58"/>
      <c r="AO915" s="58"/>
      <c r="AP915" s="58"/>
      <c r="AQ915" s="58"/>
      <c r="AR915" s="58"/>
    </row>
    <row r="916" spans="1:44" ht="15.75" customHeight="1" x14ac:dyDescent="0.25">
      <c r="A916" s="63"/>
      <c r="B916" s="62"/>
      <c r="C916" s="62"/>
      <c r="D916" s="62"/>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c r="AE916" s="58"/>
      <c r="AF916" s="58"/>
      <c r="AG916" s="58"/>
      <c r="AH916" s="58"/>
      <c r="AI916" s="58"/>
      <c r="AJ916" s="58"/>
      <c r="AK916" s="58"/>
      <c r="AL916" s="58"/>
      <c r="AM916" s="58"/>
      <c r="AN916" s="58"/>
      <c r="AO916" s="58"/>
      <c r="AP916" s="58"/>
      <c r="AQ916" s="58"/>
      <c r="AR916" s="58"/>
    </row>
    <row r="917" spans="1:44" ht="15.75" customHeight="1" x14ac:dyDescent="0.25">
      <c r="A917" s="63"/>
      <c r="B917" s="62"/>
      <c r="C917" s="62"/>
      <c r="D917" s="62"/>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c r="AE917" s="58"/>
      <c r="AF917" s="58"/>
      <c r="AG917" s="58"/>
      <c r="AH917" s="58"/>
      <c r="AI917" s="58"/>
      <c r="AJ917" s="58"/>
      <c r="AK917" s="58"/>
      <c r="AL917" s="58"/>
      <c r="AM917" s="58"/>
      <c r="AN917" s="58"/>
      <c r="AO917" s="58"/>
      <c r="AP917" s="58"/>
      <c r="AQ917" s="58"/>
      <c r="AR917" s="58"/>
    </row>
    <row r="918" spans="1:44" ht="15.75" customHeight="1" x14ac:dyDescent="0.25">
      <c r="A918" s="63"/>
      <c r="B918" s="62"/>
      <c r="C918" s="62"/>
      <c r="D918" s="62"/>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c r="AE918" s="58"/>
      <c r="AF918" s="58"/>
      <c r="AG918" s="58"/>
      <c r="AH918" s="58"/>
      <c r="AI918" s="58"/>
      <c r="AJ918" s="58"/>
      <c r="AK918" s="58"/>
      <c r="AL918" s="58"/>
      <c r="AM918" s="58"/>
      <c r="AN918" s="58"/>
      <c r="AO918" s="58"/>
      <c r="AP918" s="58"/>
      <c r="AQ918" s="58"/>
      <c r="AR918" s="58"/>
    </row>
    <row r="919" spans="1:44" ht="15.75" customHeight="1" x14ac:dyDescent="0.25">
      <c r="A919" s="63"/>
      <c r="B919" s="62"/>
      <c r="C919" s="62"/>
      <c r="D919" s="62"/>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c r="AE919" s="58"/>
      <c r="AF919" s="58"/>
      <c r="AG919" s="58"/>
      <c r="AH919" s="58"/>
      <c r="AI919" s="58"/>
      <c r="AJ919" s="58"/>
      <c r="AK919" s="58"/>
      <c r="AL919" s="58"/>
      <c r="AM919" s="58"/>
      <c r="AN919" s="58"/>
      <c r="AO919" s="58"/>
      <c r="AP919" s="58"/>
      <c r="AQ919" s="58"/>
      <c r="AR919" s="58"/>
    </row>
    <row r="920" spans="1:44" ht="15.75" customHeight="1" x14ac:dyDescent="0.25">
      <c r="A920" s="63"/>
      <c r="B920" s="62"/>
      <c r="C920" s="62"/>
      <c r="D920" s="62"/>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c r="AE920" s="58"/>
      <c r="AF920" s="58"/>
      <c r="AG920" s="58"/>
      <c r="AH920" s="58"/>
      <c r="AI920" s="58"/>
      <c r="AJ920" s="58"/>
      <c r="AK920" s="58"/>
      <c r="AL920" s="58"/>
      <c r="AM920" s="58"/>
      <c r="AN920" s="58"/>
      <c r="AO920" s="58"/>
      <c r="AP920" s="58"/>
      <c r="AQ920" s="58"/>
      <c r="AR920" s="58"/>
    </row>
    <row r="921" spans="1:44" ht="15.75" customHeight="1" x14ac:dyDescent="0.25">
      <c r="A921" s="63"/>
      <c r="B921" s="62"/>
      <c r="C921" s="62"/>
      <c r="D921" s="62"/>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c r="AE921" s="58"/>
      <c r="AF921" s="58"/>
      <c r="AG921" s="58"/>
      <c r="AH921" s="58"/>
      <c r="AI921" s="58"/>
      <c r="AJ921" s="58"/>
      <c r="AK921" s="58"/>
      <c r="AL921" s="58"/>
      <c r="AM921" s="58"/>
      <c r="AN921" s="58"/>
      <c r="AO921" s="58"/>
      <c r="AP921" s="58"/>
      <c r="AQ921" s="58"/>
      <c r="AR921" s="58"/>
    </row>
    <row r="922" spans="1:44" ht="15.75" customHeight="1" x14ac:dyDescent="0.25">
      <c r="A922" s="63"/>
      <c r="B922" s="62"/>
      <c r="C922" s="62"/>
      <c r="D922" s="62"/>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c r="AE922" s="58"/>
      <c r="AF922" s="58"/>
      <c r="AG922" s="58"/>
      <c r="AH922" s="58"/>
      <c r="AI922" s="58"/>
      <c r="AJ922" s="58"/>
      <c r="AK922" s="58"/>
      <c r="AL922" s="58"/>
      <c r="AM922" s="58"/>
      <c r="AN922" s="58"/>
      <c r="AO922" s="58"/>
      <c r="AP922" s="58"/>
      <c r="AQ922" s="58"/>
      <c r="AR922" s="58"/>
    </row>
    <row r="923" spans="1:44" ht="15.75" customHeight="1" x14ac:dyDescent="0.25">
      <c r="A923" s="63"/>
      <c r="B923" s="62"/>
      <c r="C923" s="62"/>
      <c r="D923" s="62"/>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c r="AE923" s="58"/>
      <c r="AF923" s="58"/>
      <c r="AG923" s="58"/>
      <c r="AH923" s="58"/>
      <c r="AI923" s="58"/>
      <c r="AJ923" s="58"/>
      <c r="AK923" s="58"/>
      <c r="AL923" s="58"/>
      <c r="AM923" s="58"/>
      <c r="AN923" s="58"/>
      <c r="AO923" s="58"/>
      <c r="AP923" s="58"/>
      <c r="AQ923" s="58"/>
      <c r="AR923" s="58"/>
    </row>
    <row r="924" spans="1:44" ht="15.75" customHeight="1" x14ac:dyDescent="0.25">
      <c r="A924" s="63"/>
      <c r="B924" s="62"/>
      <c r="C924" s="62"/>
      <c r="D924" s="62"/>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c r="AE924" s="58"/>
      <c r="AF924" s="58"/>
      <c r="AG924" s="58"/>
      <c r="AH924" s="58"/>
      <c r="AI924" s="58"/>
      <c r="AJ924" s="58"/>
      <c r="AK924" s="58"/>
      <c r="AL924" s="58"/>
      <c r="AM924" s="58"/>
      <c r="AN924" s="58"/>
      <c r="AO924" s="58"/>
      <c r="AP924" s="58"/>
      <c r="AQ924" s="58"/>
      <c r="AR924" s="58"/>
    </row>
    <row r="925" spans="1:44" ht="15.75" customHeight="1" x14ac:dyDescent="0.25">
      <c r="A925" s="63"/>
      <c r="B925" s="62"/>
      <c r="C925" s="62"/>
      <c r="D925" s="62"/>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c r="AE925" s="58"/>
      <c r="AF925" s="58"/>
      <c r="AG925" s="58"/>
      <c r="AH925" s="58"/>
      <c r="AI925" s="58"/>
      <c r="AJ925" s="58"/>
      <c r="AK925" s="58"/>
      <c r="AL925" s="58"/>
      <c r="AM925" s="58"/>
      <c r="AN925" s="58"/>
      <c r="AO925" s="58"/>
      <c r="AP925" s="58"/>
      <c r="AQ925" s="58"/>
      <c r="AR925" s="58"/>
    </row>
    <row r="926" spans="1:44" ht="15.75" customHeight="1" x14ac:dyDescent="0.25">
      <c r="A926" s="63"/>
      <c r="B926" s="62"/>
      <c r="C926" s="62"/>
      <c r="D926" s="62"/>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c r="AE926" s="58"/>
      <c r="AF926" s="58"/>
      <c r="AG926" s="58"/>
      <c r="AH926" s="58"/>
      <c r="AI926" s="58"/>
      <c r="AJ926" s="58"/>
      <c r="AK926" s="58"/>
      <c r="AL926" s="58"/>
      <c r="AM926" s="58"/>
      <c r="AN926" s="58"/>
      <c r="AO926" s="58"/>
      <c r="AP926" s="58"/>
      <c r="AQ926" s="58"/>
      <c r="AR926" s="58"/>
    </row>
    <row r="927" spans="1:44" ht="15.75" customHeight="1" x14ac:dyDescent="0.25">
      <c r="A927" s="63"/>
      <c r="B927" s="62"/>
      <c r="C927" s="62"/>
      <c r="D927" s="62"/>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c r="AE927" s="58"/>
      <c r="AF927" s="58"/>
      <c r="AG927" s="58"/>
      <c r="AH927" s="58"/>
      <c r="AI927" s="58"/>
      <c r="AJ927" s="58"/>
      <c r="AK927" s="58"/>
      <c r="AL927" s="58"/>
      <c r="AM927" s="58"/>
      <c r="AN927" s="58"/>
      <c r="AO927" s="58"/>
      <c r="AP927" s="58"/>
      <c r="AQ927" s="58"/>
      <c r="AR927" s="58"/>
    </row>
    <row r="928" spans="1:44" ht="15.75" customHeight="1" x14ac:dyDescent="0.25">
      <c r="A928" s="63"/>
      <c r="B928" s="62"/>
      <c r="C928" s="62"/>
      <c r="D928" s="62"/>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c r="AE928" s="58"/>
      <c r="AF928" s="58"/>
      <c r="AG928" s="58"/>
      <c r="AH928" s="58"/>
      <c r="AI928" s="58"/>
      <c r="AJ928" s="58"/>
      <c r="AK928" s="58"/>
      <c r="AL928" s="58"/>
      <c r="AM928" s="58"/>
      <c r="AN928" s="58"/>
      <c r="AO928" s="58"/>
      <c r="AP928" s="58"/>
      <c r="AQ928" s="58"/>
      <c r="AR928" s="58"/>
    </row>
    <row r="929" spans="1:44" ht="15.75" customHeight="1" x14ac:dyDescent="0.25">
      <c r="A929" s="63"/>
      <c r="B929" s="62"/>
      <c r="C929" s="62"/>
      <c r="D929" s="62"/>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c r="AE929" s="58"/>
      <c r="AF929" s="58"/>
      <c r="AG929" s="58"/>
      <c r="AH929" s="58"/>
      <c r="AI929" s="58"/>
      <c r="AJ929" s="58"/>
      <c r="AK929" s="58"/>
      <c r="AL929" s="58"/>
      <c r="AM929" s="58"/>
      <c r="AN929" s="58"/>
      <c r="AO929" s="58"/>
      <c r="AP929" s="58"/>
      <c r="AQ929" s="58"/>
      <c r="AR929" s="58"/>
    </row>
    <row r="930" spans="1:44" ht="15.75" customHeight="1" x14ac:dyDescent="0.25">
      <c r="A930" s="63"/>
      <c r="B930" s="62"/>
      <c r="C930" s="62"/>
      <c r="D930" s="62"/>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c r="AE930" s="58"/>
      <c r="AF930" s="58"/>
      <c r="AG930" s="58"/>
      <c r="AH930" s="58"/>
      <c r="AI930" s="58"/>
      <c r="AJ930" s="58"/>
      <c r="AK930" s="58"/>
      <c r="AL930" s="58"/>
      <c r="AM930" s="58"/>
      <c r="AN930" s="58"/>
      <c r="AO930" s="58"/>
      <c r="AP930" s="58"/>
      <c r="AQ930" s="58"/>
      <c r="AR930" s="58"/>
    </row>
    <row r="931" spans="1:44" ht="15.75" customHeight="1" x14ac:dyDescent="0.25">
      <c r="A931" s="63"/>
      <c r="B931" s="62"/>
      <c r="C931" s="62"/>
      <c r="D931" s="62"/>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c r="AE931" s="58"/>
      <c r="AF931" s="58"/>
      <c r="AG931" s="58"/>
      <c r="AH931" s="58"/>
      <c r="AI931" s="58"/>
      <c r="AJ931" s="58"/>
      <c r="AK931" s="58"/>
      <c r="AL931" s="58"/>
      <c r="AM931" s="58"/>
      <c r="AN931" s="58"/>
      <c r="AO931" s="58"/>
      <c r="AP931" s="58"/>
      <c r="AQ931" s="58"/>
      <c r="AR931" s="58"/>
    </row>
    <row r="932" spans="1:44" ht="15.75" customHeight="1" x14ac:dyDescent="0.25">
      <c r="A932" s="63"/>
      <c r="B932" s="62"/>
      <c r="C932" s="62"/>
      <c r="D932" s="62"/>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c r="AE932" s="58"/>
      <c r="AF932" s="58"/>
      <c r="AG932" s="58"/>
      <c r="AH932" s="58"/>
      <c r="AI932" s="58"/>
      <c r="AJ932" s="58"/>
      <c r="AK932" s="58"/>
      <c r="AL932" s="58"/>
      <c r="AM932" s="58"/>
      <c r="AN932" s="58"/>
      <c r="AO932" s="58"/>
      <c r="AP932" s="58"/>
      <c r="AQ932" s="58"/>
      <c r="AR932" s="58"/>
    </row>
    <row r="933" spans="1:44" ht="15.75" customHeight="1" x14ac:dyDescent="0.25">
      <c r="A933" s="63"/>
      <c r="B933" s="62"/>
      <c r="C933" s="62"/>
      <c r="D933" s="62"/>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c r="AE933" s="58"/>
      <c r="AF933" s="58"/>
      <c r="AG933" s="58"/>
      <c r="AH933" s="58"/>
      <c r="AI933" s="58"/>
      <c r="AJ933" s="58"/>
      <c r="AK933" s="58"/>
      <c r="AL933" s="58"/>
      <c r="AM933" s="58"/>
      <c r="AN933" s="58"/>
      <c r="AO933" s="58"/>
      <c r="AP933" s="58"/>
      <c r="AQ933" s="58"/>
      <c r="AR933" s="58"/>
    </row>
    <row r="934" spans="1:44" ht="15.75" customHeight="1" x14ac:dyDescent="0.25">
      <c r="A934" s="63"/>
      <c r="B934" s="62"/>
      <c r="C934" s="62"/>
      <c r="D934" s="62"/>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c r="AE934" s="58"/>
      <c r="AF934" s="58"/>
      <c r="AG934" s="58"/>
      <c r="AH934" s="58"/>
      <c r="AI934" s="58"/>
      <c r="AJ934" s="58"/>
      <c r="AK934" s="58"/>
      <c r="AL934" s="58"/>
      <c r="AM934" s="58"/>
      <c r="AN934" s="58"/>
      <c r="AO934" s="58"/>
      <c r="AP934" s="58"/>
      <c r="AQ934" s="58"/>
      <c r="AR934" s="58"/>
    </row>
    <row r="935" spans="1:44" ht="15.75" customHeight="1" x14ac:dyDescent="0.25">
      <c r="A935" s="63"/>
      <c r="B935" s="62"/>
      <c r="C935" s="62"/>
      <c r="D935" s="62"/>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c r="AE935" s="58"/>
      <c r="AF935" s="58"/>
      <c r="AG935" s="58"/>
      <c r="AH935" s="58"/>
      <c r="AI935" s="58"/>
      <c r="AJ935" s="58"/>
      <c r="AK935" s="58"/>
      <c r="AL935" s="58"/>
      <c r="AM935" s="58"/>
      <c r="AN935" s="58"/>
      <c r="AO935" s="58"/>
      <c r="AP935" s="58"/>
      <c r="AQ935" s="58"/>
      <c r="AR935" s="58"/>
    </row>
    <row r="936" spans="1:44" ht="15.75" customHeight="1" x14ac:dyDescent="0.25">
      <c r="A936" s="63"/>
      <c r="B936" s="62"/>
      <c r="C936" s="62"/>
      <c r="D936" s="62"/>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c r="AE936" s="58"/>
      <c r="AF936" s="58"/>
      <c r="AG936" s="58"/>
      <c r="AH936" s="58"/>
      <c r="AI936" s="58"/>
      <c r="AJ936" s="58"/>
      <c r="AK936" s="58"/>
      <c r="AL936" s="58"/>
      <c r="AM936" s="58"/>
      <c r="AN936" s="58"/>
      <c r="AO936" s="58"/>
      <c r="AP936" s="58"/>
      <c r="AQ936" s="58"/>
      <c r="AR936" s="58"/>
    </row>
    <row r="937" spans="1:44" ht="15.75" customHeight="1" x14ac:dyDescent="0.25">
      <c r="A937" s="63"/>
      <c r="B937" s="62"/>
      <c r="C937" s="62"/>
      <c r="D937" s="62"/>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c r="AE937" s="58"/>
      <c r="AF937" s="58"/>
      <c r="AG937" s="58"/>
      <c r="AH937" s="58"/>
      <c r="AI937" s="58"/>
      <c r="AJ937" s="58"/>
      <c r="AK937" s="58"/>
      <c r="AL937" s="58"/>
      <c r="AM937" s="58"/>
      <c r="AN937" s="58"/>
      <c r="AO937" s="58"/>
      <c r="AP937" s="58"/>
      <c r="AQ937" s="58"/>
      <c r="AR937" s="58"/>
    </row>
    <row r="938" spans="1:44" ht="15.75" customHeight="1" x14ac:dyDescent="0.25">
      <c r="A938" s="63"/>
      <c r="B938" s="62"/>
      <c r="C938" s="62"/>
      <c r="D938" s="62"/>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c r="AE938" s="58"/>
      <c r="AF938" s="58"/>
      <c r="AG938" s="58"/>
      <c r="AH938" s="58"/>
      <c r="AI938" s="58"/>
      <c r="AJ938" s="58"/>
      <c r="AK938" s="58"/>
      <c r="AL938" s="58"/>
      <c r="AM938" s="58"/>
      <c r="AN938" s="58"/>
      <c r="AO938" s="58"/>
      <c r="AP938" s="58"/>
      <c r="AQ938" s="58"/>
      <c r="AR938" s="58"/>
    </row>
    <row r="939" spans="1:44" ht="15.75" customHeight="1" x14ac:dyDescent="0.25">
      <c r="A939" s="63"/>
      <c r="B939" s="62"/>
      <c r="C939" s="62"/>
      <c r="D939" s="62"/>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c r="AE939" s="58"/>
      <c r="AF939" s="58"/>
      <c r="AG939" s="58"/>
      <c r="AH939" s="58"/>
      <c r="AI939" s="58"/>
      <c r="AJ939" s="58"/>
      <c r="AK939" s="58"/>
      <c r="AL939" s="58"/>
      <c r="AM939" s="58"/>
      <c r="AN939" s="58"/>
      <c r="AO939" s="58"/>
      <c r="AP939" s="58"/>
      <c r="AQ939" s="58"/>
      <c r="AR939" s="58"/>
    </row>
    <row r="940" spans="1:44" ht="15.75" customHeight="1" x14ac:dyDescent="0.25">
      <c r="A940" s="63"/>
      <c r="B940" s="62"/>
      <c r="C940" s="62"/>
      <c r="D940" s="62"/>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c r="AE940" s="58"/>
      <c r="AF940" s="58"/>
      <c r="AG940" s="58"/>
      <c r="AH940" s="58"/>
      <c r="AI940" s="58"/>
      <c r="AJ940" s="58"/>
      <c r="AK940" s="58"/>
      <c r="AL940" s="58"/>
      <c r="AM940" s="58"/>
      <c r="AN940" s="58"/>
      <c r="AO940" s="58"/>
      <c r="AP940" s="58"/>
      <c r="AQ940" s="58"/>
      <c r="AR940" s="58"/>
    </row>
    <row r="941" spans="1:44" ht="15.75" customHeight="1" x14ac:dyDescent="0.25">
      <c r="A941" s="63"/>
      <c r="B941" s="62"/>
      <c r="C941" s="62"/>
      <c r="D941" s="62"/>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c r="AE941" s="58"/>
      <c r="AF941" s="58"/>
      <c r="AG941" s="58"/>
      <c r="AH941" s="58"/>
      <c r="AI941" s="58"/>
      <c r="AJ941" s="58"/>
      <c r="AK941" s="58"/>
      <c r="AL941" s="58"/>
      <c r="AM941" s="58"/>
      <c r="AN941" s="58"/>
      <c r="AO941" s="58"/>
      <c r="AP941" s="58"/>
      <c r="AQ941" s="58"/>
      <c r="AR941" s="58"/>
    </row>
    <row r="942" spans="1:44" ht="15.75" customHeight="1" x14ac:dyDescent="0.25">
      <c r="A942" s="63"/>
      <c r="B942" s="62"/>
      <c r="C942" s="62"/>
      <c r="D942" s="62"/>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c r="AE942" s="58"/>
      <c r="AF942" s="58"/>
      <c r="AG942" s="58"/>
      <c r="AH942" s="58"/>
      <c r="AI942" s="58"/>
      <c r="AJ942" s="58"/>
      <c r="AK942" s="58"/>
      <c r="AL942" s="58"/>
      <c r="AM942" s="58"/>
      <c r="AN942" s="58"/>
      <c r="AO942" s="58"/>
      <c r="AP942" s="58"/>
      <c r="AQ942" s="58"/>
      <c r="AR942" s="58"/>
    </row>
    <row r="943" spans="1:44" ht="15.75" customHeight="1" x14ac:dyDescent="0.25">
      <c r="A943" s="63"/>
      <c r="B943" s="62"/>
      <c r="C943" s="62"/>
      <c r="D943" s="62"/>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c r="AE943" s="58"/>
      <c r="AF943" s="58"/>
      <c r="AG943" s="58"/>
      <c r="AH943" s="58"/>
      <c r="AI943" s="58"/>
      <c r="AJ943" s="58"/>
      <c r="AK943" s="58"/>
      <c r="AL943" s="58"/>
      <c r="AM943" s="58"/>
      <c r="AN943" s="58"/>
      <c r="AO943" s="58"/>
      <c r="AP943" s="58"/>
      <c r="AQ943" s="58"/>
      <c r="AR943" s="58"/>
    </row>
    <row r="944" spans="1:44" ht="15.75" customHeight="1" x14ac:dyDescent="0.25">
      <c r="A944" s="63"/>
      <c r="B944" s="62"/>
      <c r="C944" s="62"/>
      <c r="D944" s="62"/>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c r="AE944" s="58"/>
      <c r="AF944" s="58"/>
      <c r="AG944" s="58"/>
      <c r="AH944" s="58"/>
      <c r="AI944" s="58"/>
      <c r="AJ944" s="58"/>
      <c r="AK944" s="58"/>
      <c r="AL944" s="58"/>
      <c r="AM944" s="58"/>
      <c r="AN944" s="58"/>
      <c r="AO944" s="58"/>
      <c r="AP944" s="58"/>
      <c r="AQ944" s="58"/>
      <c r="AR944" s="58"/>
    </row>
    <row r="945" spans="1:44" ht="15.75" customHeight="1" x14ac:dyDescent="0.25">
      <c r="A945" s="63"/>
      <c r="B945" s="62"/>
      <c r="C945" s="62"/>
      <c r="D945" s="62"/>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c r="AE945" s="58"/>
      <c r="AF945" s="58"/>
      <c r="AG945" s="58"/>
      <c r="AH945" s="58"/>
      <c r="AI945" s="58"/>
      <c r="AJ945" s="58"/>
      <c r="AK945" s="58"/>
      <c r="AL945" s="58"/>
      <c r="AM945" s="58"/>
      <c r="AN945" s="58"/>
      <c r="AO945" s="58"/>
      <c r="AP945" s="58"/>
      <c r="AQ945" s="58"/>
      <c r="AR945" s="58"/>
    </row>
    <row r="946" spans="1:44" ht="15.75" customHeight="1" x14ac:dyDescent="0.25">
      <c r="A946" s="63"/>
      <c r="B946" s="62"/>
      <c r="C946" s="62"/>
      <c r="D946" s="62"/>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c r="AE946" s="58"/>
      <c r="AF946" s="58"/>
      <c r="AG946" s="58"/>
      <c r="AH946" s="58"/>
      <c r="AI946" s="58"/>
      <c r="AJ946" s="58"/>
      <c r="AK946" s="58"/>
      <c r="AL946" s="58"/>
      <c r="AM946" s="58"/>
      <c r="AN946" s="58"/>
      <c r="AO946" s="58"/>
      <c r="AP946" s="58"/>
      <c r="AQ946" s="58"/>
      <c r="AR946" s="58"/>
    </row>
    <row r="947" spans="1:44" ht="15.75" customHeight="1" x14ac:dyDescent="0.25">
      <c r="A947" s="63"/>
      <c r="B947" s="62"/>
      <c r="C947" s="62"/>
      <c r="D947" s="62"/>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c r="AE947" s="58"/>
      <c r="AF947" s="58"/>
      <c r="AG947" s="58"/>
      <c r="AH947" s="58"/>
      <c r="AI947" s="58"/>
      <c r="AJ947" s="58"/>
      <c r="AK947" s="58"/>
      <c r="AL947" s="58"/>
      <c r="AM947" s="58"/>
      <c r="AN947" s="58"/>
      <c r="AO947" s="58"/>
      <c r="AP947" s="58"/>
      <c r="AQ947" s="58"/>
      <c r="AR947" s="58"/>
    </row>
    <row r="948" spans="1:44" ht="15.75" customHeight="1" x14ac:dyDescent="0.25">
      <c r="A948" s="63"/>
      <c r="B948" s="62"/>
      <c r="C948" s="62"/>
      <c r="D948" s="62"/>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c r="AE948" s="58"/>
      <c r="AF948" s="58"/>
      <c r="AG948" s="58"/>
      <c r="AH948" s="58"/>
      <c r="AI948" s="58"/>
      <c r="AJ948" s="58"/>
      <c r="AK948" s="58"/>
      <c r="AL948" s="58"/>
      <c r="AM948" s="58"/>
      <c r="AN948" s="58"/>
      <c r="AO948" s="58"/>
      <c r="AP948" s="58"/>
      <c r="AQ948" s="58"/>
      <c r="AR948" s="58"/>
    </row>
    <row r="949" spans="1:44" ht="15.75" customHeight="1" x14ac:dyDescent="0.25">
      <c r="A949" s="63"/>
      <c r="B949" s="62"/>
      <c r="C949" s="62"/>
      <c r="D949" s="62"/>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c r="AE949" s="58"/>
      <c r="AF949" s="58"/>
      <c r="AG949" s="58"/>
      <c r="AH949" s="58"/>
      <c r="AI949" s="58"/>
      <c r="AJ949" s="58"/>
      <c r="AK949" s="58"/>
      <c r="AL949" s="58"/>
      <c r="AM949" s="58"/>
      <c r="AN949" s="58"/>
      <c r="AO949" s="58"/>
      <c r="AP949" s="58"/>
      <c r="AQ949" s="58"/>
      <c r="AR949" s="58"/>
    </row>
    <row r="950" spans="1:44" ht="15.75" customHeight="1" x14ac:dyDescent="0.25">
      <c r="A950" s="63"/>
      <c r="B950" s="62"/>
      <c r="C950" s="62"/>
      <c r="D950" s="62"/>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c r="AE950" s="58"/>
      <c r="AF950" s="58"/>
      <c r="AG950" s="58"/>
      <c r="AH950" s="58"/>
      <c r="AI950" s="58"/>
      <c r="AJ950" s="58"/>
      <c r="AK950" s="58"/>
      <c r="AL950" s="58"/>
      <c r="AM950" s="58"/>
      <c r="AN950" s="58"/>
      <c r="AO950" s="58"/>
      <c r="AP950" s="58"/>
      <c r="AQ950" s="58"/>
      <c r="AR950" s="58"/>
    </row>
    <row r="951" spans="1:44" ht="15.75" customHeight="1" x14ac:dyDescent="0.25">
      <c r="A951" s="63"/>
      <c r="B951" s="62"/>
      <c r="C951" s="62"/>
      <c r="D951" s="62"/>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c r="AE951" s="58"/>
      <c r="AF951" s="58"/>
      <c r="AG951" s="58"/>
      <c r="AH951" s="58"/>
      <c r="AI951" s="58"/>
      <c r="AJ951" s="58"/>
      <c r="AK951" s="58"/>
      <c r="AL951" s="58"/>
      <c r="AM951" s="58"/>
      <c r="AN951" s="58"/>
      <c r="AO951" s="58"/>
      <c r="AP951" s="58"/>
      <c r="AQ951" s="58"/>
      <c r="AR951" s="58"/>
    </row>
    <row r="952" spans="1:44" ht="15.75" customHeight="1" x14ac:dyDescent="0.25">
      <c r="A952" s="63"/>
      <c r="B952" s="62"/>
      <c r="C952" s="62"/>
      <c r="D952" s="62"/>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c r="AE952" s="58"/>
      <c r="AF952" s="58"/>
      <c r="AG952" s="58"/>
      <c r="AH952" s="58"/>
      <c r="AI952" s="58"/>
      <c r="AJ952" s="58"/>
      <c r="AK952" s="58"/>
      <c r="AL952" s="58"/>
      <c r="AM952" s="58"/>
      <c r="AN952" s="58"/>
      <c r="AO952" s="58"/>
      <c r="AP952" s="58"/>
      <c r="AQ952" s="58"/>
      <c r="AR952" s="58"/>
    </row>
    <row r="953" spans="1:44" ht="15.75" customHeight="1" x14ac:dyDescent="0.25">
      <c r="A953" s="63"/>
      <c r="B953" s="62"/>
      <c r="C953" s="62"/>
      <c r="D953" s="62"/>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c r="AE953" s="58"/>
      <c r="AF953" s="58"/>
      <c r="AG953" s="58"/>
      <c r="AH953" s="58"/>
      <c r="AI953" s="58"/>
      <c r="AJ953" s="58"/>
      <c r="AK953" s="58"/>
      <c r="AL953" s="58"/>
      <c r="AM953" s="58"/>
      <c r="AN953" s="58"/>
      <c r="AO953" s="58"/>
      <c r="AP953" s="58"/>
      <c r="AQ953" s="58"/>
      <c r="AR953" s="58"/>
    </row>
    <row r="954" spans="1:44" ht="15.75" customHeight="1" x14ac:dyDescent="0.25">
      <c r="A954" s="63"/>
      <c r="B954" s="62"/>
      <c r="C954" s="62"/>
      <c r="D954" s="62"/>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c r="AE954" s="58"/>
      <c r="AF954" s="58"/>
      <c r="AG954" s="58"/>
      <c r="AH954" s="58"/>
      <c r="AI954" s="58"/>
      <c r="AJ954" s="58"/>
      <c r="AK954" s="58"/>
      <c r="AL954" s="58"/>
      <c r="AM954" s="58"/>
      <c r="AN954" s="58"/>
      <c r="AO954" s="58"/>
      <c r="AP954" s="58"/>
      <c r="AQ954" s="58"/>
      <c r="AR954" s="58"/>
    </row>
    <row r="955" spans="1:44" ht="15.75" customHeight="1" x14ac:dyDescent="0.25">
      <c r="A955" s="63"/>
      <c r="B955" s="62"/>
      <c r="C955" s="62"/>
      <c r="D955" s="62"/>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c r="AE955" s="58"/>
      <c r="AF955" s="58"/>
      <c r="AG955" s="58"/>
      <c r="AH955" s="58"/>
      <c r="AI955" s="58"/>
      <c r="AJ955" s="58"/>
      <c r="AK955" s="58"/>
      <c r="AL955" s="58"/>
      <c r="AM955" s="58"/>
      <c r="AN955" s="58"/>
      <c r="AO955" s="58"/>
      <c r="AP955" s="58"/>
      <c r="AQ955" s="58"/>
      <c r="AR955" s="58"/>
    </row>
    <row r="956" spans="1:44" ht="15.75" customHeight="1" x14ac:dyDescent="0.25">
      <c r="A956" s="63"/>
      <c r="B956" s="62"/>
      <c r="C956" s="62"/>
      <c r="D956" s="62"/>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c r="AE956" s="58"/>
      <c r="AF956" s="58"/>
      <c r="AG956" s="58"/>
      <c r="AH956" s="58"/>
      <c r="AI956" s="58"/>
      <c r="AJ956" s="58"/>
      <c r="AK956" s="58"/>
      <c r="AL956" s="58"/>
      <c r="AM956" s="58"/>
      <c r="AN956" s="58"/>
      <c r="AO956" s="58"/>
      <c r="AP956" s="58"/>
      <c r="AQ956" s="58"/>
      <c r="AR956" s="58"/>
    </row>
    <row r="957" spans="1:44" ht="15.75" customHeight="1" x14ac:dyDescent="0.25">
      <c r="A957" s="63"/>
      <c r="B957" s="62"/>
      <c r="C957" s="62"/>
      <c r="D957" s="62"/>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c r="AE957" s="58"/>
      <c r="AF957" s="58"/>
      <c r="AG957" s="58"/>
      <c r="AH957" s="58"/>
      <c r="AI957" s="58"/>
      <c r="AJ957" s="58"/>
      <c r="AK957" s="58"/>
      <c r="AL957" s="58"/>
      <c r="AM957" s="58"/>
      <c r="AN957" s="58"/>
      <c r="AO957" s="58"/>
      <c r="AP957" s="58"/>
      <c r="AQ957" s="58"/>
      <c r="AR957" s="58"/>
    </row>
    <row r="958" spans="1:44" ht="15.75" customHeight="1" x14ac:dyDescent="0.25">
      <c r="A958" s="63"/>
      <c r="B958" s="62"/>
      <c r="C958" s="62"/>
      <c r="D958" s="62"/>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c r="AE958" s="58"/>
      <c r="AF958" s="58"/>
      <c r="AG958" s="58"/>
      <c r="AH958" s="58"/>
      <c r="AI958" s="58"/>
      <c r="AJ958" s="58"/>
      <c r="AK958" s="58"/>
      <c r="AL958" s="58"/>
      <c r="AM958" s="58"/>
      <c r="AN958" s="58"/>
      <c r="AO958" s="58"/>
      <c r="AP958" s="58"/>
      <c r="AQ958" s="58"/>
      <c r="AR958" s="58"/>
    </row>
    <row r="959" spans="1:44" ht="15.75" customHeight="1" x14ac:dyDescent="0.25">
      <c r="A959" s="63"/>
      <c r="B959" s="62"/>
      <c r="C959" s="62"/>
      <c r="D959" s="62"/>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c r="AE959" s="58"/>
      <c r="AF959" s="58"/>
      <c r="AG959" s="58"/>
      <c r="AH959" s="58"/>
      <c r="AI959" s="58"/>
      <c r="AJ959" s="58"/>
      <c r="AK959" s="58"/>
      <c r="AL959" s="58"/>
      <c r="AM959" s="58"/>
      <c r="AN959" s="58"/>
      <c r="AO959" s="58"/>
      <c r="AP959" s="58"/>
      <c r="AQ959" s="58"/>
      <c r="AR959" s="58"/>
    </row>
    <row r="960" spans="1:44" ht="15.75" customHeight="1" x14ac:dyDescent="0.25">
      <c r="A960" s="63"/>
      <c r="B960" s="62"/>
      <c r="C960" s="62"/>
      <c r="D960" s="62"/>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c r="AE960" s="58"/>
      <c r="AF960" s="58"/>
      <c r="AG960" s="58"/>
      <c r="AH960" s="58"/>
      <c r="AI960" s="58"/>
      <c r="AJ960" s="58"/>
      <c r="AK960" s="58"/>
      <c r="AL960" s="58"/>
      <c r="AM960" s="58"/>
      <c r="AN960" s="58"/>
      <c r="AO960" s="58"/>
      <c r="AP960" s="58"/>
      <c r="AQ960" s="58"/>
      <c r="AR960" s="58"/>
    </row>
    <row r="961" spans="1:44" ht="15.75" customHeight="1" x14ac:dyDescent="0.25">
      <c r="A961" s="63"/>
      <c r="B961" s="62"/>
      <c r="C961" s="62"/>
      <c r="D961" s="62"/>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c r="AE961" s="58"/>
      <c r="AF961" s="58"/>
      <c r="AG961" s="58"/>
      <c r="AH961" s="58"/>
      <c r="AI961" s="58"/>
      <c r="AJ961" s="58"/>
      <c r="AK961" s="58"/>
      <c r="AL961" s="58"/>
      <c r="AM961" s="58"/>
      <c r="AN961" s="58"/>
      <c r="AO961" s="58"/>
      <c r="AP961" s="58"/>
      <c r="AQ961" s="58"/>
      <c r="AR961" s="58"/>
    </row>
    <row r="962" spans="1:44" ht="15.75" customHeight="1" x14ac:dyDescent="0.25">
      <c r="A962" s="63"/>
      <c r="B962" s="62"/>
      <c r="C962" s="62"/>
      <c r="D962" s="62"/>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c r="AE962" s="58"/>
      <c r="AF962" s="58"/>
      <c r="AG962" s="58"/>
      <c r="AH962" s="58"/>
      <c r="AI962" s="58"/>
      <c r="AJ962" s="58"/>
      <c r="AK962" s="58"/>
      <c r="AL962" s="58"/>
      <c r="AM962" s="58"/>
      <c r="AN962" s="58"/>
      <c r="AO962" s="58"/>
      <c r="AP962" s="58"/>
      <c r="AQ962" s="58"/>
      <c r="AR962" s="58"/>
    </row>
    <row r="963" spans="1:44" ht="15.75" customHeight="1" x14ac:dyDescent="0.25">
      <c r="A963" s="63"/>
      <c r="B963" s="62"/>
      <c r="C963" s="62"/>
      <c r="D963" s="62"/>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c r="AE963" s="58"/>
      <c r="AF963" s="58"/>
      <c r="AG963" s="58"/>
      <c r="AH963" s="58"/>
      <c r="AI963" s="58"/>
      <c r="AJ963" s="58"/>
      <c r="AK963" s="58"/>
      <c r="AL963" s="58"/>
      <c r="AM963" s="58"/>
      <c r="AN963" s="58"/>
      <c r="AO963" s="58"/>
      <c r="AP963" s="58"/>
      <c r="AQ963" s="58"/>
      <c r="AR963" s="58"/>
    </row>
    <row r="964" spans="1:44" ht="15.75" customHeight="1" x14ac:dyDescent="0.25">
      <c r="A964" s="63"/>
      <c r="B964" s="62"/>
      <c r="C964" s="62"/>
      <c r="D964" s="62"/>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c r="AE964" s="58"/>
      <c r="AF964" s="58"/>
      <c r="AG964" s="58"/>
      <c r="AH964" s="58"/>
      <c r="AI964" s="58"/>
      <c r="AJ964" s="58"/>
      <c r="AK964" s="58"/>
      <c r="AL964" s="58"/>
      <c r="AM964" s="58"/>
      <c r="AN964" s="58"/>
      <c r="AO964" s="58"/>
      <c r="AP964" s="58"/>
      <c r="AQ964" s="58"/>
      <c r="AR964" s="58"/>
    </row>
    <row r="965" spans="1:44" ht="15.75" customHeight="1" x14ac:dyDescent="0.25">
      <c r="A965" s="63"/>
      <c r="B965" s="62"/>
      <c r="C965" s="62"/>
      <c r="D965" s="62"/>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c r="AE965" s="58"/>
      <c r="AF965" s="58"/>
      <c r="AG965" s="58"/>
      <c r="AH965" s="58"/>
      <c r="AI965" s="58"/>
      <c r="AJ965" s="58"/>
      <c r="AK965" s="58"/>
      <c r="AL965" s="58"/>
      <c r="AM965" s="58"/>
      <c r="AN965" s="58"/>
      <c r="AO965" s="58"/>
      <c r="AP965" s="58"/>
      <c r="AQ965" s="58"/>
      <c r="AR965" s="58"/>
    </row>
    <row r="966" spans="1:44" ht="15.75" customHeight="1" x14ac:dyDescent="0.25">
      <c r="A966" s="63"/>
      <c r="B966" s="62"/>
      <c r="C966" s="62"/>
      <c r="D966" s="62"/>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c r="AE966" s="58"/>
      <c r="AF966" s="58"/>
      <c r="AG966" s="58"/>
      <c r="AH966" s="58"/>
      <c r="AI966" s="58"/>
      <c r="AJ966" s="58"/>
      <c r="AK966" s="58"/>
      <c r="AL966" s="58"/>
      <c r="AM966" s="58"/>
      <c r="AN966" s="58"/>
      <c r="AO966" s="58"/>
      <c r="AP966" s="58"/>
      <c r="AQ966" s="58"/>
      <c r="AR966" s="58"/>
    </row>
    <row r="967" spans="1:44" ht="15.75" customHeight="1" x14ac:dyDescent="0.25">
      <c r="A967" s="63"/>
      <c r="B967" s="62"/>
      <c r="C967" s="62"/>
      <c r="D967" s="62"/>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c r="AE967" s="58"/>
      <c r="AF967" s="58"/>
      <c r="AG967" s="58"/>
      <c r="AH967" s="58"/>
      <c r="AI967" s="58"/>
      <c r="AJ967" s="58"/>
      <c r="AK967" s="58"/>
      <c r="AL967" s="58"/>
      <c r="AM967" s="58"/>
      <c r="AN967" s="58"/>
      <c r="AO967" s="58"/>
      <c r="AP967" s="58"/>
      <c r="AQ967" s="58"/>
      <c r="AR967" s="58"/>
    </row>
    <row r="968" spans="1:44" ht="15.75" customHeight="1" x14ac:dyDescent="0.25">
      <c r="A968" s="63"/>
      <c r="B968" s="62"/>
      <c r="C968" s="62"/>
      <c r="D968" s="62"/>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c r="AE968" s="58"/>
      <c r="AF968" s="58"/>
      <c r="AG968" s="58"/>
      <c r="AH968" s="58"/>
      <c r="AI968" s="58"/>
      <c r="AJ968" s="58"/>
      <c r="AK968" s="58"/>
      <c r="AL968" s="58"/>
      <c r="AM968" s="58"/>
      <c r="AN968" s="58"/>
      <c r="AO968" s="58"/>
      <c r="AP968" s="58"/>
      <c r="AQ968" s="58"/>
      <c r="AR968" s="58"/>
    </row>
    <row r="969" spans="1:44" ht="15.75" customHeight="1" x14ac:dyDescent="0.25">
      <c r="A969" s="63"/>
      <c r="B969" s="62"/>
      <c r="C969" s="62"/>
      <c r="D969" s="62"/>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c r="AE969" s="58"/>
      <c r="AF969" s="58"/>
      <c r="AG969" s="58"/>
      <c r="AH969" s="58"/>
      <c r="AI969" s="58"/>
      <c r="AJ969" s="58"/>
      <c r="AK969" s="58"/>
      <c r="AL969" s="58"/>
      <c r="AM969" s="58"/>
      <c r="AN969" s="58"/>
      <c r="AO969" s="58"/>
      <c r="AP969" s="58"/>
      <c r="AQ969" s="58"/>
      <c r="AR969" s="58"/>
    </row>
    <row r="970" spans="1:44" ht="15.75" customHeight="1" x14ac:dyDescent="0.25">
      <c r="A970" s="63"/>
      <c r="B970" s="62"/>
      <c r="C970" s="62"/>
      <c r="D970" s="62"/>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c r="AE970" s="58"/>
      <c r="AF970" s="58"/>
      <c r="AG970" s="58"/>
      <c r="AH970" s="58"/>
      <c r="AI970" s="58"/>
      <c r="AJ970" s="58"/>
      <c r="AK970" s="58"/>
      <c r="AL970" s="58"/>
      <c r="AM970" s="58"/>
      <c r="AN970" s="58"/>
      <c r="AO970" s="58"/>
      <c r="AP970" s="58"/>
      <c r="AQ970" s="58"/>
      <c r="AR970" s="58"/>
    </row>
    <row r="971" spans="1:44" ht="15.75" customHeight="1" x14ac:dyDescent="0.25">
      <c r="A971" s="63"/>
      <c r="B971" s="62"/>
      <c r="C971" s="62"/>
      <c r="D971" s="62"/>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c r="AE971" s="58"/>
      <c r="AF971" s="58"/>
      <c r="AG971" s="58"/>
      <c r="AH971" s="58"/>
      <c r="AI971" s="58"/>
      <c r="AJ971" s="58"/>
      <c r="AK971" s="58"/>
      <c r="AL971" s="58"/>
      <c r="AM971" s="58"/>
      <c r="AN971" s="58"/>
      <c r="AO971" s="58"/>
      <c r="AP971" s="58"/>
      <c r="AQ971" s="58"/>
      <c r="AR971" s="58"/>
    </row>
    <row r="972" spans="1:44" ht="15.75" customHeight="1" x14ac:dyDescent="0.25">
      <c r="A972" s="63"/>
      <c r="B972" s="62"/>
      <c r="C972" s="62"/>
      <c r="D972" s="62"/>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c r="AE972" s="58"/>
      <c r="AF972" s="58"/>
      <c r="AG972" s="58"/>
      <c r="AH972" s="58"/>
      <c r="AI972" s="58"/>
      <c r="AJ972" s="58"/>
      <c r="AK972" s="58"/>
      <c r="AL972" s="58"/>
      <c r="AM972" s="58"/>
      <c r="AN972" s="58"/>
      <c r="AO972" s="58"/>
      <c r="AP972" s="58"/>
      <c r="AQ972" s="58"/>
      <c r="AR972" s="58"/>
    </row>
    <row r="973" spans="1:44" ht="15.75" customHeight="1" x14ac:dyDescent="0.25">
      <c r="A973" s="63"/>
      <c r="B973" s="62"/>
      <c r="C973" s="62"/>
      <c r="D973" s="62"/>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c r="AE973" s="58"/>
      <c r="AF973" s="58"/>
      <c r="AG973" s="58"/>
      <c r="AH973" s="58"/>
      <c r="AI973" s="58"/>
      <c r="AJ973" s="58"/>
      <c r="AK973" s="58"/>
      <c r="AL973" s="58"/>
      <c r="AM973" s="58"/>
      <c r="AN973" s="58"/>
      <c r="AO973" s="58"/>
      <c r="AP973" s="58"/>
      <c r="AQ973" s="58"/>
      <c r="AR973" s="58"/>
    </row>
    <row r="974" spans="1:44" ht="15.75" customHeight="1" x14ac:dyDescent="0.25">
      <c r="A974" s="63"/>
      <c r="B974" s="62"/>
      <c r="C974" s="62"/>
      <c r="D974" s="62"/>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c r="AE974" s="58"/>
      <c r="AF974" s="58"/>
      <c r="AG974" s="58"/>
      <c r="AH974" s="58"/>
      <c r="AI974" s="58"/>
      <c r="AJ974" s="58"/>
      <c r="AK974" s="58"/>
      <c r="AL974" s="58"/>
      <c r="AM974" s="58"/>
      <c r="AN974" s="58"/>
      <c r="AO974" s="58"/>
      <c r="AP974" s="58"/>
      <c r="AQ974" s="58"/>
      <c r="AR974" s="58"/>
    </row>
    <row r="975" spans="1:44" ht="15.75" customHeight="1" x14ac:dyDescent="0.25">
      <c r="A975" s="63"/>
      <c r="B975" s="62"/>
      <c r="C975" s="62"/>
      <c r="D975" s="62"/>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c r="AE975" s="58"/>
      <c r="AF975" s="58"/>
      <c r="AG975" s="58"/>
      <c r="AH975" s="58"/>
      <c r="AI975" s="58"/>
      <c r="AJ975" s="58"/>
      <c r="AK975" s="58"/>
      <c r="AL975" s="58"/>
      <c r="AM975" s="58"/>
      <c r="AN975" s="58"/>
      <c r="AO975" s="58"/>
      <c r="AP975" s="58"/>
      <c r="AQ975" s="58"/>
      <c r="AR975" s="58"/>
    </row>
    <row r="976" spans="1:44" ht="15.75" customHeight="1" x14ac:dyDescent="0.25">
      <c r="A976" s="63"/>
      <c r="B976" s="62"/>
      <c r="C976" s="62"/>
      <c r="D976" s="62"/>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c r="AE976" s="58"/>
      <c r="AF976" s="58"/>
      <c r="AG976" s="58"/>
      <c r="AH976" s="58"/>
      <c r="AI976" s="58"/>
      <c r="AJ976" s="58"/>
      <c r="AK976" s="58"/>
      <c r="AL976" s="58"/>
      <c r="AM976" s="58"/>
      <c r="AN976" s="58"/>
      <c r="AO976" s="58"/>
      <c r="AP976" s="58"/>
      <c r="AQ976" s="58"/>
      <c r="AR976" s="58"/>
    </row>
    <row r="977" spans="1:44" ht="15.75" customHeight="1" x14ac:dyDescent="0.25">
      <c r="A977" s="63"/>
      <c r="B977" s="62"/>
      <c r="C977" s="62"/>
      <c r="D977" s="62"/>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c r="AE977" s="58"/>
      <c r="AF977" s="58"/>
      <c r="AG977" s="58"/>
      <c r="AH977" s="58"/>
      <c r="AI977" s="58"/>
      <c r="AJ977" s="58"/>
      <c r="AK977" s="58"/>
      <c r="AL977" s="58"/>
      <c r="AM977" s="58"/>
      <c r="AN977" s="58"/>
      <c r="AO977" s="58"/>
      <c r="AP977" s="58"/>
      <c r="AQ977" s="58"/>
      <c r="AR977" s="58"/>
    </row>
    <row r="978" spans="1:44" ht="15.75" customHeight="1" x14ac:dyDescent="0.25">
      <c r="A978" s="63"/>
      <c r="B978" s="62"/>
      <c r="C978" s="62"/>
      <c r="D978" s="62"/>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c r="AE978" s="58"/>
      <c r="AF978" s="58"/>
      <c r="AG978" s="58"/>
      <c r="AH978" s="58"/>
      <c r="AI978" s="58"/>
      <c r="AJ978" s="58"/>
      <c r="AK978" s="58"/>
      <c r="AL978" s="58"/>
      <c r="AM978" s="58"/>
      <c r="AN978" s="58"/>
      <c r="AO978" s="58"/>
      <c r="AP978" s="58"/>
      <c r="AQ978" s="58"/>
      <c r="AR978" s="58"/>
    </row>
    <row r="979" spans="1:44" ht="15.75" customHeight="1" x14ac:dyDescent="0.25">
      <c r="A979" s="63"/>
      <c r="B979" s="62"/>
      <c r="C979" s="62"/>
      <c r="D979" s="62"/>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c r="AE979" s="58"/>
      <c r="AF979" s="58"/>
      <c r="AG979" s="58"/>
      <c r="AH979" s="58"/>
      <c r="AI979" s="58"/>
      <c r="AJ979" s="58"/>
      <c r="AK979" s="58"/>
      <c r="AL979" s="58"/>
      <c r="AM979" s="58"/>
      <c r="AN979" s="58"/>
      <c r="AO979" s="58"/>
      <c r="AP979" s="58"/>
      <c r="AQ979" s="58"/>
      <c r="AR979" s="58"/>
    </row>
    <row r="980" spans="1:44" ht="15.75" customHeight="1" x14ac:dyDescent="0.25">
      <c r="A980" s="63"/>
      <c r="B980" s="62"/>
      <c r="C980" s="62"/>
      <c r="D980" s="62"/>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c r="AE980" s="58"/>
      <c r="AF980" s="58"/>
      <c r="AG980" s="58"/>
      <c r="AH980" s="58"/>
      <c r="AI980" s="58"/>
      <c r="AJ980" s="58"/>
      <c r="AK980" s="58"/>
      <c r="AL980" s="58"/>
      <c r="AM980" s="58"/>
      <c r="AN980" s="58"/>
      <c r="AO980" s="58"/>
      <c r="AP980" s="58"/>
      <c r="AQ980" s="58"/>
      <c r="AR980" s="58"/>
    </row>
    <row r="981" spans="1:44" ht="15.75" customHeight="1" x14ac:dyDescent="0.25">
      <c r="A981" s="63"/>
      <c r="B981" s="62"/>
      <c r="C981" s="62"/>
      <c r="D981" s="62"/>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c r="AE981" s="58"/>
      <c r="AF981" s="58"/>
      <c r="AG981" s="58"/>
      <c r="AH981" s="58"/>
      <c r="AI981" s="58"/>
      <c r="AJ981" s="58"/>
      <c r="AK981" s="58"/>
      <c r="AL981" s="58"/>
      <c r="AM981" s="58"/>
      <c r="AN981" s="58"/>
      <c r="AO981" s="58"/>
      <c r="AP981" s="58"/>
      <c r="AQ981" s="58"/>
      <c r="AR981" s="58"/>
    </row>
    <row r="982" spans="1:44" ht="15.75" customHeight="1" x14ac:dyDescent="0.25">
      <c r="A982" s="63"/>
      <c r="B982" s="62"/>
      <c r="C982" s="62"/>
      <c r="D982" s="62"/>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c r="AE982" s="58"/>
      <c r="AF982" s="58"/>
      <c r="AG982" s="58"/>
      <c r="AH982" s="58"/>
      <c r="AI982" s="58"/>
      <c r="AJ982" s="58"/>
      <c r="AK982" s="58"/>
      <c r="AL982" s="58"/>
      <c r="AM982" s="58"/>
      <c r="AN982" s="58"/>
      <c r="AO982" s="58"/>
      <c r="AP982" s="58"/>
      <c r="AQ982" s="58"/>
      <c r="AR982" s="58"/>
    </row>
    <row r="983" spans="1:44" ht="15.75" customHeight="1" x14ac:dyDescent="0.25">
      <c r="A983" s="63"/>
      <c r="B983" s="62"/>
      <c r="C983" s="62"/>
      <c r="D983" s="62"/>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c r="AE983" s="58"/>
      <c r="AF983" s="58"/>
      <c r="AG983" s="58"/>
      <c r="AH983" s="58"/>
      <c r="AI983" s="58"/>
      <c r="AJ983" s="58"/>
      <c r="AK983" s="58"/>
      <c r="AL983" s="58"/>
      <c r="AM983" s="58"/>
      <c r="AN983" s="58"/>
      <c r="AO983" s="58"/>
      <c r="AP983" s="58"/>
      <c r="AQ983" s="58"/>
      <c r="AR983" s="58"/>
    </row>
    <row r="984" spans="1:44" ht="15.75" customHeight="1" x14ac:dyDescent="0.25">
      <c r="A984" s="63"/>
      <c r="B984" s="62"/>
      <c r="C984" s="62"/>
      <c r="D984" s="62"/>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c r="AE984" s="58"/>
      <c r="AF984" s="58"/>
      <c r="AG984" s="58"/>
      <c r="AH984" s="58"/>
      <c r="AI984" s="58"/>
      <c r="AJ984" s="58"/>
      <c r="AK984" s="58"/>
      <c r="AL984" s="58"/>
      <c r="AM984" s="58"/>
      <c r="AN984" s="58"/>
      <c r="AO984" s="58"/>
      <c r="AP984" s="58"/>
      <c r="AQ984" s="58"/>
      <c r="AR984" s="58"/>
    </row>
    <row r="985" spans="1:44" ht="15.75" customHeight="1" x14ac:dyDescent="0.25">
      <c r="A985" s="63"/>
      <c r="B985" s="62"/>
      <c r="C985" s="62"/>
      <c r="D985" s="62"/>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c r="AE985" s="58"/>
      <c r="AF985" s="58"/>
      <c r="AG985" s="58"/>
      <c r="AH985" s="58"/>
      <c r="AI985" s="58"/>
      <c r="AJ985" s="58"/>
      <c r="AK985" s="58"/>
      <c r="AL985" s="58"/>
      <c r="AM985" s="58"/>
      <c r="AN985" s="58"/>
      <c r="AO985" s="58"/>
      <c r="AP985" s="58"/>
      <c r="AQ985" s="58"/>
      <c r="AR985" s="58"/>
    </row>
    <row r="986" spans="1:44" ht="15.75" customHeight="1" x14ac:dyDescent="0.25">
      <c r="A986" s="63"/>
      <c r="B986" s="62"/>
      <c r="C986" s="62"/>
      <c r="D986" s="62"/>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c r="AE986" s="58"/>
      <c r="AF986" s="58"/>
      <c r="AG986" s="58"/>
      <c r="AH986" s="58"/>
      <c r="AI986" s="58"/>
      <c r="AJ986" s="58"/>
      <c r="AK986" s="58"/>
      <c r="AL986" s="58"/>
      <c r="AM986" s="58"/>
      <c r="AN986" s="58"/>
      <c r="AO986" s="58"/>
      <c r="AP986" s="58"/>
      <c r="AQ986" s="58"/>
      <c r="AR986" s="58"/>
    </row>
    <row r="987" spans="1:44" ht="15.75" customHeight="1" x14ac:dyDescent="0.25">
      <c r="A987" s="63"/>
      <c r="B987" s="62"/>
      <c r="C987" s="62"/>
      <c r="D987" s="62"/>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c r="AE987" s="58"/>
      <c r="AF987" s="58"/>
      <c r="AG987" s="58"/>
      <c r="AH987" s="58"/>
      <c r="AI987" s="58"/>
      <c r="AJ987" s="58"/>
      <c r="AK987" s="58"/>
      <c r="AL987" s="58"/>
      <c r="AM987" s="58"/>
      <c r="AN987" s="58"/>
      <c r="AO987" s="58"/>
      <c r="AP987" s="58"/>
      <c r="AQ987" s="58"/>
      <c r="AR987" s="58"/>
    </row>
    <row r="988" spans="1:44" ht="15.75" customHeight="1" x14ac:dyDescent="0.25">
      <c r="A988" s="63"/>
      <c r="B988" s="62"/>
      <c r="C988" s="62"/>
      <c r="D988" s="62"/>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c r="AE988" s="58"/>
      <c r="AF988" s="58"/>
      <c r="AG988" s="58"/>
      <c r="AH988" s="58"/>
      <c r="AI988" s="58"/>
      <c r="AJ988" s="58"/>
      <c r="AK988" s="58"/>
      <c r="AL988" s="58"/>
      <c r="AM988" s="58"/>
      <c r="AN988" s="58"/>
      <c r="AO988" s="58"/>
      <c r="AP988" s="58"/>
      <c r="AQ988" s="58"/>
      <c r="AR988" s="58"/>
    </row>
    <row r="989" spans="1:44" ht="15.75" customHeight="1" x14ac:dyDescent="0.25">
      <c r="A989" s="63"/>
      <c r="B989" s="62"/>
      <c r="C989" s="62"/>
      <c r="D989" s="62"/>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c r="AE989" s="58"/>
      <c r="AF989" s="58"/>
      <c r="AG989" s="58"/>
      <c r="AH989" s="58"/>
      <c r="AI989" s="58"/>
      <c r="AJ989" s="58"/>
      <c r="AK989" s="58"/>
      <c r="AL989" s="58"/>
      <c r="AM989" s="58"/>
      <c r="AN989" s="58"/>
      <c r="AO989" s="58"/>
      <c r="AP989" s="58"/>
      <c r="AQ989" s="58"/>
      <c r="AR989" s="58"/>
    </row>
    <row r="990" spans="1:44" ht="15.75" customHeight="1" x14ac:dyDescent="0.25">
      <c r="A990" s="63"/>
      <c r="B990" s="62"/>
      <c r="C990" s="62"/>
      <c r="D990" s="62"/>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c r="AE990" s="58"/>
      <c r="AF990" s="58"/>
      <c r="AG990" s="58"/>
      <c r="AH990" s="58"/>
      <c r="AI990" s="58"/>
      <c r="AJ990" s="58"/>
      <c r="AK990" s="58"/>
      <c r="AL990" s="58"/>
      <c r="AM990" s="58"/>
      <c r="AN990" s="58"/>
      <c r="AO990" s="58"/>
      <c r="AP990" s="58"/>
      <c r="AQ990" s="58"/>
      <c r="AR990" s="58"/>
    </row>
    <row r="991" spans="1:44" ht="15.75" customHeight="1" x14ac:dyDescent="0.25">
      <c r="A991" s="63"/>
      <c r="B991" s="62"/>
      <c r="C991" s="62"/>
      <c r="D991" s="62"/>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c r="AE991" s="58"/>
      <c r="AF991" s="58"/>
      <c r="AG991" s="58"/>
      <c r="AH991" s="58"/>
      <c r="AI991" s="58"/>
      <c r="AJ991" s="58"/>
      <c r="AK991" s="58"/>
      <c r="AL991" s="58"/>
      <c r="AM991" s="58"/>
      <c r="AN991" s="58"/>
      <c r="AO991" s="58"/>
      <c r="AP991" s="58"/>
      <c r="AQ991" s="58"/>
      <c r="AR991" s="58"/>
    </row>
    <row r="992" spans="1:44" ht="15.75" customHeight="1" x14ac:dyDescent="0.25">
      <c r="A992" s="63"/>
      <c r="B992" s="62"/>
      <c r="C992" s="62"/>
      <c r="D992" s="62"/>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c r="AE992" s="58"/>
      <c r="AF992" s="58"/>
      <c r="AG992" s="58"/>
      <c r="AH992" s="58"/>
      <c r="AI992" s="58"/>
      <c r="AJ992" s="58"/>
      <c r="AK992" s="58"/>
      <c r="AL992" s="58"/>
      <c r="AM992" s="58"/>
      <c r="AN992" s="58"/>
      <c r="AO992" s="58"/>
      <c r="AP992" s="58"/>
      <c r="AQ992" s="58"/>
      <c r="AR992" s="58"/>
    </row>
    <row r="993" spans="1:44" ht="15.75" customHeight="1" x14ac:dyDescent="0.25">
      <c r="A993" s="63"/>
      <c r="B993" s="62"/>
      <c r="C993" s="62"/>
      <c r="D993" s="62"/>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c r="AE993" s="58"/>
      <c r="AF993" s="58"/>
      <c r="AG993" s="58"/>
      <c r="AH993" s="58"/>
      <c r="AI993" s="58"/>
      <c r="AJ993" s="58"/>
      <c r="AK993" s="58"/>
      <c r="AL993" s="58"/>
      <c r="AM993" s="58"/>
      <c r="AN993" s="58"/>
      <c r="AO993" s="58"/>
      <c r="AP993" s="58"/>
      <c r="AQ993" s="58"/>
      <c r="AR993" s="58"/>
    </row>
    <row r="994" spans="1:44" ht="15.75" customHeight="1" x14ac:dyDescent="0.25">
      <c r="A994" s="63"/>
      <c r="B994" s="62"/>
      <c r="C994" s="62"/>
      <c r="D994" s="62"/>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c r="AE994" s="58"/>
      <c r="AF994" s="58"/>
      <c r="AG994" s="58"/>
      <c r="AH994" s="58"/>
      <c r="AI994" s="58"/>
      <c r="AJ994" s="58"/>
      <c r="AK994" s="58"/>
      <c r="AL994" s="58"/>
      <c r="AM994" s="58"/>
      <c r="AN994" s="58"/>
      <c r="AO994" s="58"/>
      <c r="AP994" s="58"/>
      <c r="AQ994" s="58"/>
      <c r="AR994" s="58"/>
    </row>
    <row r="995" spans="1:44" ht="15.75" customHeight="1" x14ac:dyDescent="0.25">
      <c r="A995" s="63"/>
      <c r="B995" s="62"/>
      <c r="C995" s="62"/>
      <c r="D995" s="62"/>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58"/>
      <c r="AD995" s="58"/>
      <c r="AE995" s="58"/>
      <c r="AF995" s="58"/>
      <c r="AG995" s="58"/>
      <c r="AH995" s="58"/>
      <c r="AI995" s="58"/>
      <c r="AJ995" s="58"/>
      <c r="AK995" s="58"/>
      <c r="AL995" s="58"/>
      <c r="AM995" s="58"/>
      <c r="AN995" s="58"/>
      <c r="AO995" s="58"/>
      <c r="AP995" s="58"/>
      <c r="AQ995" s="58"/>
      <c r="AR995" s="58"/>
    </row>
    <row r="996" spans="1:44" ht="15.75" customHeight="1" x14ac:dyDescent="0.25">
      <c r="A996" s="63"/>
      <c r="B996" s="62"/>
      <c r="C996" s="62"/>
      <c r="D996" s="62"/>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58"/>
      <c r="AD996" s="58"/>
      <c r="AE996" s="58"/>
      <c r="AF996" s="58"/>
      <c r="AG996" s="58"/>
      <c r="AH996" s="58"/>
      <c r="AI996" s="58"/>
      <c r="AJ996" s="58"/>
      <c r="AK996" s="58"/>
      <c r="AL996" s="58"/>
      <c r="AM996" s="58"/>
      <c r="AN996" s="58"/>
      <c r="AO996" s="58"/>
      <c r="AP996" s="58"/>
      <c r="AQ996" s="58"/>
      <c r="AR996" s="58"/>
    </row>
    <row r="997" spans="1:44" ht="15.75" customHeight="1" x14ac:dyDescent="0.25">
      <c r="A997" s="63"/>
      <c r="B997" s="62"/>
      <c r="C997" s="62"/>
      <c r="D997" s="62"/>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58"/>
      <c r="AD997" s="58"/>
      <c r="AE997" s="58"/>
      <c r="AF997" s="58"/>
      <c r="AG997" s="58"/>
      <c r="AH997" s="58"/>
      <c r="AI997" s="58"/>
      <c r="AJ997" s="58"/>
      <c r="AK997" s="58"/>
      <c r="AL997" s="58"/>
      <c r="AM997" s="58"/>
      <c r="AN997" s="58"/>
      <c r="AO997" s="58"/>
      <c r="AP997" s="58"/>
      <c r="AQ997" s="58"/>
      <c r="AR997" s="58"/>
    </row>
    <row r="998" spans="1:44" ht="15.75" customHeight="1" x14ac:dyDescent="0.25">
      <c r="A998" s="63"/>
      <c r="B998" s="62"/>
      <c r="C998" s="62"/>
      <c r="D998" s="62"/>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c r="AC998" s="58"/>
      <c r="AD998" s="58"/>
      <c r="AE998" s="58"/>
      <c r="AF998" s="58"/>
      <c r="AG998" s="58"/>
      <c r="AH998" s="58"/>
      <c r="AI998" s="58"/>
      <c r="AJ998" s="58"/>
      <c r="AK998" s="58"/>
      <c r="AL998" s="58"/>
      <c r="AM998" s="58"/>
      <c r="AN998" s="58"/>
      <c r="AO998" s="58"/>
      <c r="AP998" s="58"/>
      <c r="AQ998" s="58"/>
      <c r="AR998" s="58"/>
    </row>
    <row r="999" spans="1:44" ht="15.75" customHeight="1" x14ac:dyDescent="0.25">
      <c r="A999" s="63"/>
      <c r="B999" s="62"/>
      <c r="C999" s="62"/>
      <c r="D999" s="62"/>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c r="AC999" s="58"/>
      <c r="AD999" s="58"/>
      <c r="AE999" s="58"/>
      <c r="AF999" s="58"/>
      <c r="AG999" s="58"/>
      <c r="AH999" s="58"/>
      <c r="AI999" s="58"/>
      <c r="AJ999" s="58"/>
      <c r="AK999" s="58"/>
      <c r="AL999" s="58"/>
      <c r="AM999" s="58"/>
      <c r="AN999" s="58"/>
      <c r="AO999" s="58"/>
      <c r="AP999" s="58"/>
      <c r="AQ999" s="58"/>
      <c r="AR999" s="58"/>
    </row>
    <row r="1000" spans="1:44" ht="15.75" customHeight="1" x14ac:dyDescent="0.25">
      <c r="A1000" s="63"/>
      <c r="B1000" s="62"/>
      <c r="C1000" s="62"/>
      <c r="D1000" s="62"/>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c r="AC1000" s="58"/>
      <c r="AD1000" s="58"/>
      <c r="AE1000" s="58"/>
      <c r="AF1000" s="58"/>
      <c r="AG1000" s="58"/>
      <c r="AH1000" s="58"/>
      <c r="AI1000" s="58"/>
      <c r="AJ1000" s="58"/>
      <c r="AK1000" s="58"/>
      <c r="AL1000" s="58"/>
      <c r="AM1000" s="58"/>
      <c r="AN1000" s="58"/>
      <c r="AO1000" s="58"/>
      <c r="AP1000" s="58"/>
      <c r="AQ1000" s="58"/>
      <c r="AR1000" s="58"/>
    </row>
    <row r="1001" spans="1:44" ht="15.75" customHeight="1" x14ac:dyDescent="0.25">
      <c r="A1001" s="63"/>
      <c r="B1001" s="62"/>
      <c r="C1001" s="62"/>
      <c r="D1001" s="62"/>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c r="AC1001" s="58"/>
      <c r="AD1001" s="58"/>
      <c r="AE1001" s="58"/>
      <c r="AF1001" s="58"/>
      <c r="AG1001" s="58"/>
      <c r="AH1001" s="58"/>
      <c r="AI1001" s="58"/>
      <c r="AJ1001" s="58"/>
      <c r="AK1001" s="58"/>
      <c r="AL1001" s="58"/>
      <c r="AM1001" s="58"/>
      <c r="AN1001" s="58"/>
      <c r="AO1001" s="58"/>
      <c r="AP1001" s="58"/>
      <c r="AQ1001" s="58"/>
      <c r="AR1001" s="58"/>
    </row>
    <row r="1002" spans="1:44" ht="15.75" customHeight="1" x14ac:dyDescent="0.25">
      <c r="A1002" s="63"/>
      <c r="B1002" s="62"/>
      <c r="C1002" s="62"/>
      <c r="D1002" s="62"/>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c r="AC1002" s="58"/>
      <c r="AD1002" s="58"/>
      <c r="AE1002" s="58"/>
      <c r="AF1002" s="58"/>
      <c r="AG1002" s="58"/>
      <c r="AH1002" s="58"/>
      <c r="AI1002" s="58"/>
      <c r="AJ1002" s="58"/>
      <c r="AK1002" s="58"/>
      <c r="AL1002" s="58"/>
      <c r="AM1002" s="58"/>
      <c r="AN1002" s="58"/>
      <c r="AO1002" s="58"/>
      <c r="AP1002" s="58"/>
      <c r="AQ1002" s="58"/>
      <c r="AR1002" s="58"/>
    </row>
    <row r="1003" spans="1:44" ht="15.75" customHeight="1" x14ac:dyDescent="0.25">
      <c r="A1003" s="63"/>
      <c r="B1003" s="62"/>
      <c r="C1003" s="62"/>
      <c r="D1003" s="62"/>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c r="AC1003" s="58"/>
      <c r="AD1003" s="58"/>
      <c r="AE1003" s="58"/>
      <c r="AF1003" s="58"/>
      <c r="AG1003" s="58"/>
      <c r="AH1003" s="58"/>
      <c r="AI1003" s="58"/>
      <c r="AJ1003" s="58"/>
      <c r="AK1003" s="58"/>
      <c r="AL1003" s="58"/>
      <c r="AM1003" s="58"/>
      <c r="AN1003" s="58"/>
      <c r="AO1003" s="58"/>
      <c r="AP1003" s="58"/>
      <c r="AQ1003" s="58"/>
      <c r="AR1003" s="58"/>
    </row>
  </sheetData>
  <mergeCells count="248">
    <mergeCell ref="B44:M44"/>
    <mergeCell ref="N44:X44"/>
    <mergeCell ref="B45:M45"/>
    <mergeCell ref="N45:X45"/>
    <mergeCell ref="N46:X46"/>
    <mergeCell ref="A1:AR2"/>
    <mergeCell ref="A4:N4"/>
    <mergeCell ref="AF11:AG11"/>
    <mergeCell ref="A13:AR13"/>
    <mergeCell ref="A15:Z17"/>
    <mergeCell ref="AA15:AB17"/>
    <mergeCell ref="AC15:AF15"/>
    <mergeCell ref="AG15:AJ15"/>
    <mergeCell ref="AK15:AN15"/>
    <mergeCell ref="AO15:AR15"/>
    <mergeCell ref="AO16:AP17"/>
    <mergeCell ref="AQ16:AR17"/>
    <mergeCell ref="A18:Z20"/>
    <mergeCell ref="AA18:AB20"/>
    <mergeCell ref="AC18:AD20"/>
    <mergeCell ref="AE18:AF20"/>
    <mergeCell ref="AG18:AH20"/>
    <mergeCell ref="AI18:AJ20"/>
    <mergeCell ref="AK18:AL20"/>
    <mergeCell ref="AM18:AN20"/>
    <mergeCell ref="AC16:AD17"/>
    <mergeCell ref="AE16:AF17"/>
    <mergeCell ref="AG16:AH17"/>
    <mergeCell ref="AI16:AJ17"/>
    <mergeCell ref="AK16:AL17"/>
    <mergeCell ref="AM16:AN17"/>
    <mergeCell ref="AO18:AP20"/>
    <mergeCell ref="AQ18:AR20"/>
    <mergeCell ref="A21:Z23"/>
    <mergeCell ref="AA21:AB23"/>
    <mergeCell ref="AC21:AD23"/>
    <mergeCell ref="AE21:AF23"/>
    <mergeCell ref="AG21:AH23"/>
    <mergeCell ref="AI21:AJ23"/>
    <mergeCell ref="AK21:AL23"/>
    <mergeCell ref="AM21:AN23"/>
    <mergeCell ref="AO21:AP23"/>
    <mergeCell ref="AQ21:AR23"/>
    <mergeCell ref="A24:Z26"/>
    <mergeCell ref="AA24:AB26"/>
    <mergeCell ref="AC24:AD26"/>
    <mergeCell ref="AE24:AF26"/>
    <mergeCell ref="AG24:AH26"/>
    <mergeCell ref="AI24:AJ26"/>
    <mergeCell ref="AK24:AL26"/>
    <mergeCell ref="AM24:AN26"/>
    <mergeCell ref="AO24:AP26"/>
    <mergeCell ref="AQ24:AR26"/>
    <mergeCell ref="A27:Z29"/>
    <mergeCell ref="AA27:AB29"/>
    <mergeCell ref="AC27:AD29"/>
    <mergeCell ref="AE27:AF29"/>
    <mergeCell ref="AG27:AH29"/>
    <mergeCell ref="AI27:AJ29"/>
    <mergeCell ref="AK27:AL29"/>
    <mergeCell ref="AM27:AN29"/>
    <mergeCell ref="AO27:AP29"/>
    <mergeCell ref="AQ27:AR29"/>
    <mergeCell ref="A30:Z31"/>
    <mergeCell ref="AA30:AB31"/>
    <mergeCell ref="AC30:AD31"/>
    <mergeCell ref="AE30:AF31"/>
    <mergeCell ref="AG30:AH31"/>
    <mergeCell ref="AI30:AJ31"/>
    <mergeCell ref="AK30:AL31"/>
    <mergeCell ref="AM30:AN31"/>
    <mergeCell ref="AO30:AP31"/>
    <mergeCell ref="AQ30:AR31"/>
    <mergeCell ref="A33:AR33"/>
    <mergeCell ref="A35:A37"/>
    <mergeCell ref="B35:M37"/>
    <mergeCell ref="N35:Z37"/>
    <mergeCell ref="AA35:AB37"/>
    <mergeCell ref="AC35:AF35"/>
    <mergeCell ref="AG35:AJ35"/>
    <mergeCell ref="AK35:AN35"/>
    <mergeCell ref="AO35:AR35"/>
    <mergeCell ref="AC36:AD37"/>
    <mergeCell ref="AE36:AF37"/>
    <mergeCell ref="AG36:AH37"/>
    <mergeCell ref="AI36:AJ37"/>
    <mergeCell ref="AK36:AL37"/>
    <mergeCell ref="AM36:AN37"/>
    <mergeCell ref="AO36:AP37"/>
    <mergeCell ref="AQ36:AR37"/>
    <mergeCell ref="B40:M40"/>
    <mergeCell ref="N40:Z40"/>
    <mergeCell ref="AA40:AB40"/>
    <mergeCell ref="AC40:AD40"/>
    <mergeCell ref="AE40:AF40"/>
    <mergeCell ref="B38:M38"/>
    <mergeCell ref="N38:Z38"/>
    <mergeCell ref="AA38:AB38"/>
    <mergeCell ref="AC38:AD38"/>
    <mergeCell ref="AE38:AF38"/>
    <mergeCell ref="B39:M39"/>
    <mergeCell ref="N39:Z39"/>
    <mergeCell ref="AG40:AH40"/>
    <mergeCell ref="AI40:AJ40"/>
    <mergeCell ref="AK40:AL40"/>
    <mergeCell ref="AM40:AN40"/>
    <mergeCell ref="AO40:AP40"/>
    <mergeCell ref="AQ40:AR40"/>
    <mergeCell ref="AI38:AJ38"/>
    <mergeCell ref="AK38:AL38"/>
    <mergeCell ref="AM38:AN38"/>
    <mergeCell ref="AO38:AP38"/>
    <mergeCell ref="AQ38:AR38"/>
    <mergeCell ref="AG38:AH38"/>
    <mergeCell ref="B43:M43"/>
    <mergeCell ref="N43:X43"/>
    <mergeCell ref="AA43:AB43"/>
    <mergeCell ref="AC43:AD43"/>
    <mergeCell ref="AE43:AF43"/>
    <mergeCell ref="B41:M41"/>
    <mergeCell ref="N41:Z41"/>
    <mergeCell ref="AA41:AB41"/>
    <mergeCell ref="AC41:AD41"/>
    <mergeCell ref="AE41:AF41"/>
    <mergeCell ref="B42:M42"/>
    <mergeCell ref="N42:Z42"/>
    <mergeCell ref="AG43:AH43"/>
    <mergeCell ref="AI43:AJ43"/>
    <mergeCell ref="AK43:AL43"/>
    <mergeCell ref="AM43:AN43"/>
    <mergeCell ref="AO43:AP43"/>
    <mergeCell ref="AQ43:AR43"/>
    <mergeCell ref="AI41:AJ41"/>
    <mergeCell ref="AK41:AL41"/>
    <mergeCell ref="AM41:AN41"/>
    <mergeCell ref="AO41:AP41"/>
    <mergeCell ref="AQ41:AR41"/>
    <mergeCell ref="AG41:AH41"/>
    <mergeCell ref="B46:M46"/>
    <mergeCell ref="AK47:AL48"/>
    <mergeCell ref="AM47:AN48"/>
    <mergeCell ref="AO47:AP48"/>
    <mergeCell ref="AQ47:AR48"/>
    <mergeCell ref="A50:Z50"/>
    <mergeCell ref="AC50:AF50"/>
    <mergeCell ref="AG50:AJ50"/>
    <mergeCell ref="AK50:AN50"/>
    <mergeCell ref="AO50:AR50"/>
    <mergeCell ref="A47:Z48"/>
    <mergeCell ref="AA47:AB48"/>
    <mergeCell ref="AC47:AD48"/>
    <mergeCell ref="AE47:AF48"/>
    <mergeCell ref="AG47:AH48"/>
    <mergeCell ref="AI47:AJ48"/>
    <mergeCell ref="AO52:AP53"/>
    <mergeCell ref="AQ52:AR53"/>
    <mergeCell ref="AC54:AD55"/>
    <mergeCell ref="AE54:AF55"/>
    <mergeCell ref="AG54:AH55"/>
    <mergeCell ref="AI54:AJ55"/>
    <mergeCell ref="AK54:AL55"/>
    <mergeCell ref="AM54:AN55"/>
    <mergeCell ref="AO54:AP55"/>
    <mergeCell ref="AQ54:AR55"/>
    <mergeCell ref="AC52:AD53"/>
    <mergeCell ref="AE52:AF53"/>
    <mergeCell ref="AG52:AH53"/>
    <mergeCell ref="AI52:AJ53"/>
    <mergeCell ref="AK52:AL53"/>
    <mergeCell ref="AM52:AN53"/>
    <mergeCell ref="A61:AR61"/>
    <mergeCell ref="A66:A68"/>
    <mergeCell ref="B66:K68"/>
    <mergeCell ref="L66:M68"/>
    <mergeCell ref="N66:O68"/>
    <mergeCell ref="P66:AJ68"/>
    <mergeCell ref="AK66:AR68"/>
    <mergeCell ref="AC56:AF57"/>
    <mergeCell ref="AG56:AJ57"/>
    <mergeCell ref="AK56:AN57"/>
    <mergeCell ref="AO56:AR57"/>
    <mergeCell ref="AC58:AF59"/>
    <mergeCell ref="AG58:AJ59"/>
    <mergeCell ref="AK58:AN59"/>
    <mergeCell ref="AO58:AR59"/>
    <mergeCell ref="A71:A72"/>
    <mergeCell ref="B71:K72"/>
    <mergeCell ref="L71:M72"/>
    <mergeCell ref="N71:O72"/>
    <mergeCell ref="P71:AJ72"/>
    <mergeCell ref="AK71:AR72"/>
    <mergeCell ref="A69:A70"/>
    <mergeCell ref="B69:K70"/>
    <mergeCell ref="L69:M70"/>
    <mergeCell ref="N69:O70"/>
    <mergeCell ref="P69:AJ70"/>
    <mergeCell ref="AK69:AR70"/>
    <mergeCell ref="A75:A76"/>
    <mergeCell ref="B75:K76"/>
    <mergeCell ref="L75:M76"/>
    <mergeCell ref="N75:O76"/>
    <mergeCell ref="P75:AJ76"/>
    <mergeCell ref="AK75:AR76"/>
    <mergeCell ref="A73:A74"/>
    <mergeCell ref="B73:K74"/>
    <mergeCell ref="L73:M74"/>
    <mergeCell ref="N73:O74"/>
    <mergeCell ref="P73:AJ74"/>
    <mergeCell ref="AK73:AR74"/>
    <mergeCell ref="A83:O88"/>
    <mergeCell ref="P83:AD88"/>
    <mergeCell ref="AE83:AR88"/>
    <mergeCell ref="A89:O89"/>
    <mergeCell ref="P89:AD89"/>
    <mergeCell ref="AE89:AR89"/>
    <mergeCell ref="A77:M78"/>
    <mergeCell ref="N77:O78"/>
    <mergeCell ref="P77:AJ78"/>
    <mergeCell ref="AK77:AR78"/>
    <mergeCell ref="A82:O82"/>
    <mergeCell ref="P82:AD82"/>
    <mergeCell ref="AE82:AR82"/>
    <mergeCell ref="AH99:AO101"/>
    <mergeCell ref="A100:J100"/>
    <mergeCell ref="N100:U101"/>
    <mergeCell ref="B103:AR103"/>
    <mergeCell ref="A105:O105"/>
    <mergeCell ref="P105:AD105"/>
    <mergeCell ref="AE105:AR105"/>
    <mergeCell ref="A90:O90"/>
    <mergeCell ref="P90:AD90"/>
    <mergeCell ref="AE90:AR90"/>
    <mergeCell ref="A92:AR92"/>
    <mergeCell ref="B94:AR94"/>
    <mergeCell ref="A96:K96"/>
    <mergeCell ref="N96:U97"/>
    <mergeCell ref="AH96:AO98"/>
    <mergeCell ref="A98:J98"/>
    <mergeCell ref="N98:U99"/>
    <mergeCell ref="A113:O113"/>
    <mergeCell ref="P113:AD113"/>
    <mergeCell ref="AE113:AR113"/>
    <mergeCell ref="A106:O111"/>
    <mergeCell ref="P106:AD111"/>
    <mergeCell ref="AE106:AR111"/>
    <mergeCell ref="A112:O112"/>
    <mergeCell ref="P112:AD112"/>
    <mergeCell ref="AE112:AR112"/>
  </mergeCells>
  <pageMargins left="5.9055118110236227E-2" right="5.9055118110236227E-2" top="5.9055118110236227E-2" bottom="5.9055118110236227E-2" header="0" footer="0"/>
  <pageSetup paperSize="9" orientation="landscape"/>
  <rowBreaks count="1" manualBreakCount="1">
    <brk id="7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356CE-F34B-4853-BEF0-1BBD14018961}">
  <sheetPr>
    <tabColor rgb="FFFF0000"/>
  </sheetPr>
  <dimension ref="A1:AR1003"/>
  <sheetViews>
    <sheetView showGridLines="0" topLeftCell="A40" workbookViewId="0">
      <selection activeCell="A46" sqref="A46:XFD46"/>
    </sheetView>
  </sheetViews>
  <sheetFormatPr defaultColWidth="14.42578125" defaultRowHeight="15" customHeight="1" x14ac:dyDescent="0.25"/>
  <cols>
    <col min="1" max="1" width="5.140625" style="57" customWidth="1"/>
    <col min="2" max="11" width="3.28515625" style="57" customWidth="1"/>
    <col min="12" max="12" width="2.42578125" style="57" customWidth="1"/>
    <col min="13" max="13" width="4.28515625" style="57" customWidth="1"/>
    <col min="14" max="20" width="3.28515625" style="57" customWidth="1"/>
    <col min="21" max="21" width="4.42578125" style="57" customWidth="1"/>
    <col min="22" max="23" width="3.28515625" style="57" customWidth="1"/>
    <col min="24" max="24" width="0.85546875" style="57" customWidth="1"/>
    <col min="25" max="25" width="0.7109375" style="57" hidden="1" customWidth="1"/>
    <col min="26" max="26" width="0.5703125" style="57" hidden="1" customWidth="1"/>
    <col min="27" max="27" width="3.28515625" style="57" customWidth="1"/>
    <col min="28" max="28" width="6" style="57" customWidth="1"/>
    <col min="29" max="29" width="4.28515625" style="57" customWidth="1"/>
    <col min="30" max="30" width="7.5703125" style="57" customWidth="1"/>
    <col min="31" max="44" width="4.28515625" style="57" customWidth="1"/>
    <col min="45" max="16384" width="14.42578125" style="57"/>
  </cols>
  <sheetData>
    <row r="1" spans="1:44" x14ac:dyDescent="0.25">
      <c r="A1" s="138" t="s">
        <v>133</v>
      </c>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row>
    <row r="2" spans="1:44" x14ac:dyDescent="0.25">
      <c r="A2" s="112"/>
      <c r="B2" s="112"/>
      <c r="C2" s="112"/>
      <c r="D2" s="112"/>
      <c r="E2" s="112"/>
      <c r="F2" s="112"/>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2"/>
      <c r="AP2" s="112"/>
      <c r="AQ2" s="112"/>
      <c r="AR2" s="112"/>
    </row>
    <row r="3" spans="1:44" x14ac:dyDescent="0.25">
      <c r="A3" s="84"/>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row>
    <row r="4" spans="1:44" x14ac:dyDescent="0.25">
      <c r="A4" s="139" t="s">
        <v>71</v>
      </c>
      <c r="B4" s="103"/>
      <c r="C4" s="103"/>
      <c r="D4" s="103"/>
      <c r="E4" s="103"/>
      <c r="F4" s="103"/>
      <c r="G4" s="103"/>
      <c r="H4" s="103"/>
      <c r="I4" s="103"/>
      <c r="J4" s="103"/>
      <c r="K4" s="103"/>
      <c r="L4" s="103"/>
      <c r="M4" s="103"/>
      <c r="N4" s="103"/>
      <c r="O4" s="58"/>
      <c r="P4" s="58"/>
      <c r="Q4" s="58"/>
      <c r="R4" s="58"/>
      <c r="S4" s="59"/>
      <c r="T4" s="58"/>
      <c r="U4" s="58"/>
      <c r="V4" s="58"/>
      <c r="W4" s="58"/>
      <c r="X4" s="58"/>
      <c r="Y4" s="58"/>
      <c r="Z4" s="58"/>
      <c r="AA4" s="60" t="s">
        <v>72</v>
      </c>
      <c r="AB4" s="58"/>
      <c r="AC4" s="58"/>
      <c r="AD4" s="58"/>
      <c r="AE4" s="58"/>
      <c r="AF4" s="58"/>
      <c r="AG4" s="58"/>
      <c r="AH4" s="58"/>
      <c r="AI4" s="58"/>
      <c r="AJ4" s="58"/>
      <c r="AK4" s="58"/>
      <c r="AL4" s="58"/>
      <c r="AM4" s="58"/>
      <c r="AN4" s="58"/>
      <c r="AO4" s="58"/>
      <c r="AP4" s="58"/>
      <c r="AQ4" s="58"/>
      <c r="AR4" s="58"/>
    </row>
    <row r="5" spans="1:44" x14ac:dyDescent="0.25">
      <c r="A5" s="61"/>
      <c r="B5" s="62"/>
      <c r="C5" s="62"/>
      <c r="D5" s="62"/>
      <c r="E5" s="58"/>
      <c r="F5" s="58"/>
      <c r="G5" s="58"/>
      <c r="H5" s="58"/>
      <c r="I5" s="58"/>
      <c r="J5" s="58"/>
      <c r="K5" s="58"/>
      <c r="L5" s="58"/>
      <c r="M5" s="58"/>
      <c r="N5" s="58"/>
      <c r="O5" s="58"/>
      <c r="P5" s="58"/>
      <c r="Q5" s="58"/>
      <c r="R5" s="58"/>
      <c r="S5" s="59"/>
      <c r="T5" s="58"/>
      <c r="U5" s="58"/>
      <c r="V5" s="58"/>
      <c r="W5" s="58"/>
      <c r="X5" s="58"/>
      <c r="Y5" s="58"/>
      <c r="Z5" s="58"/>
      <c r="AA5" s="60"/>
      <c r="AB5" s="58"/>
      <c r="AC5" s="58"/>
      <c r="AD5" s="58"/>
      <c r="AE5" s="58"/>
      <c r="AF5" s="58"/>
      <c r="AG5" s="58"/>
      <c r="AH5" s="58"/>
      <c r="AI5" s="58"/>
      <c r="AJ5" s="58"/>
      <c r="AK5" s="58"/>
      <c r="AL5" s="58"/>
      <c r="AM5" s="58"/>
      <c r="AN5" s="58"/>
      <c r="AO5" s="58"/>
      <c r="AP5" s="58"/>
      <c r="AQ5" s="58"/>
      <c r="AR5" s="58"/>
    </row>
    <row r="6" spans="1:44" ht="16.5" customHeight="1" x14ac:dyDescent="0.25">
      <c r="A6" s="64" t="s">
        <v>73</v>
      </c>
      <c r="B6" s="62"/>
      <c r="C6" s="62"/>
      <c r="D6" s="62"/>
      <c r="E6" s="58" t="s">
        <v>137</v>
      </c>
      <c r="F6" s="58"/>
      <c r="G6" s="58"/>
      <c r="H6" s="58"/>
      <c r="I6" s="58"/>
      <c r="J6" s="58"/>
      <c r="K6" s="58"/>
      <c r="L6" s="58"/>
      <c r="M6" s="58"/>
      <c r="N6" s="58"/>
      <c r="O6" s="58"/>
      <c r="P6" s="58"/>
      <c r="Q6" s="58"/>
      <c r="R6" s="58"/>
      <c r="S6" s="58"/>
      <c r="T6" s="58"/>
      <c r="U6" s="58"/>
      <c r="V6" s="58"/>
      <c r="W6" s="58"/>
      <c r="X6" s="58"/>
      <c r="Y6" s="58"/>
      <c r="Z6" s="58"/>
      <c r="AA6" s="58" t="s">
        <v>73</v>
      </c>
      <c r="AB6" s="58"/>
      <c r="AC6" s="58"/>
      <c r="AD6" s="58"/>
      <c r="AE6" s="58" t="s">
        <v>74</v>
      </c>
      <c r="AF6" s="58"/>
      <c r="AG6" s="58"/>
      <c r="AH6" s="58"/>
      <c r="AI6" s="58"/>
      <c r="AJ6" s="58"/>
      <c r="AK6" s="58"/>
      <c r="AL6" s="58"/>
      <c r="AM6" s="58"/>
      <c r="AN6" s="58"/>
      <c r="AO6" s="58"/>
      <c r="AP6" s="58"/>
      <c r="AQ6" s="58"/>
      <c r="AR6" s="58"/>
    </row>
    <row r="7" spans="1:44" ht="16.5" customHeight="1" x14ac:dyDescent="0.25">
      <c r="A7" s="64" t="s">
        <v>76</v>
      </c>
      <c r="B7" s="62"/>
      <c r="C7" s="62"/>
      <c r="D7" s="62"/>
      <c r="E7" s="58" t="s">
        <v>151</v>
      </c>
      <c r="F7" s="58"/>
      <c r="G7" s="58"/>
      <c r="H7" s="58"/>
      <c r="I7" s="58"/>
      <c r="J7" s="58"/>
      <c r="K7" s="58"/>
      <c r="L7" s="58"/>
      <c r="M7" s="58"/>
      <c r="N7" s="58"/>
      <c r="O7" s="58"/>
      <c r="P7" s="58"/>
      <c r="Q7" s="58"/>
      <c r="R7" s="58"/>
      <c r="S7" s="58"/>
      <c r="T7" s="58"/>
      <c r="U7" s="58"/>
      <c r="V7" s="58"/>
      <c r="W7" s="58"/>
      <c r="X7" s="58"/>
      <c r="Y7" s="58"/>
      <c r="Z7" s="58"/>
      <c r="AA7" s="58" t="s">
        <v>76</v>
      </c>
      <c r="AB7" s="58"/>
      <c r="AC7" s="58"/>
      <c r="AD7" s="58"/>
      <c r="AE7" s="58" t="s">
        <v>140</v>
      </c>
      <c r="AF7" s="58"/>
      <c r="AG7" s="58"/>
      <c r="AH7" s="58"/>
      <c r="AI7" s="58"/>
      <c r="AJ7" s="58"/>
      <c r="AK7" s="58"/>
      <c r="AL7" s="58"/>
      <c r="AM7" s="58"/>
      <c r="AN7" s="58"/>
      <c r="AO7" s="58"/>
      <c r="AP7" s="58"/>
      <c r="AQ7" s="58"/>
      <c r="AR7" s="58"/>
    </row>
    <row r="8" spans="1:44" ht="16.5" customHeight="1" x14ac:dyDescent="0.25">
      <c r="A8" s="64" t="s">
        <v>77</v>
      </c>
      <c r="B8" s="62"/>
      <c r="C8" s="62"/>
      <c r="D8" s="62"/>
      <c r="E8" s="58" t="s">
        <v>136</v>
      </c>
      <c r="F8" s="58"/>
      <c r="G8" s="58"/>
      <c r="H8" s="58"/>
      <c r="I8" s="58"/>
      <c r="J8" s="58"/>
      <c r="K8" s="58"/>
      <c r="L8" s="58"/>
      <c r="M8" s="58"/>
      <c r="N8" s="58"/>
      <c r="O8" s="58"/>
      <c r="P8" s="58"/>
      <c r="Q8" s="58"/>
      <c r="R8" s="58"/>
      <c r="S8" s="58"/>
      <c r="T8" s="58"/>
      <c r="U8" s="58"/>
      <c r="V8" s="58"/>
      <c r="W8" s="58"/>
      <c r="X8" s="58"/>
      <c r="Y8" s="58"/>
      <c r="Z8" s="58"/>
      <c r="AA8" s="58" t="s">
        <v>77</v>
      </c>
      <c r="AB8" s="58"/>
      <c r="AC8" s="58"/>
      <c r="AD8" s="58"/>
      <c r="AE8" s="58" t="s">
        <v>141</v>
      </c>
      <c r="AF8" s="58"/>
      <c r="AG8" s="58"/>
      <c r="AH8" s="58"/>
      <c r="AI8" s="58"/>
      <c r="AJ8" s="58"/>
      <c r="AK8" s="58"/>
      <c r="AL8" s="58"/>
      <c r="AM8" s="58"/>
      <c r="AN8" s="58"/>
      <c r="AO8" s="58"/>
      <c r="AP8" s="58"/>
      <c r="AQ8" s="58"/>
      <c r="AR8" s="58"/>
    </row>
    <row r="9" spans="1:44" ht="16.5" customHeight="1" x14ac:dyDescent="0.25">
      <c r="A9" s="64" t="s">
        <v>134</v>
      </c>
      <c r="B9" s="62"/>
      <c r="C9" s="62"/>
      <c r="D9" s="62"/>
      <c r="E9" s="58" t="s">
        <v>79</v>
      </c>
      <c r="F9" s="58"/>
      <c r="G9" s="58"/>
      <c r="H9" s="58"/>
      <c r="I9" s="58"/>
      <c r="J9" s="58"/>
      <c r="K9" s="58"/>
      <c r="L9" s="58"/>
      <c r="M9" s="58"/>
      <c r="N9" s="58"/>
      <c r="O9" s="58"/>
      <c r="P9" s="58"/>
      <c r="Q9" s="58"/>
      <c r="R9" s="58"/>
      <c r="S9" s="58"/>
      <c r="T9" s="58"/>
      <c r="U9" s="58"/>
      <c r="V9" s="58"/>
      <c r="W9" s="58"/>
      <c r="X9" s="58"/>
      <c r="Y9" s="58"/>
      <c r="Z9" s="58"/>
      <c r="AA9" s="58" t="s">
        <v>78</v>
      </c>
      <c r="AB9" s="58"/>
      <c r="AC9" s="58"/>
      <c r="AD9" s="58"/>
      <c r="AE9" s="58" t="s">
        <v>137</v>
      </c>
      <c r="AF9" s="58"/>
      <c r="AG9" s="58"/>
      <c r="AH9" s="58"/>
      <c r="AI9" s="58"/>
      <c r="AJ9" s="58"/>
      <c r="AK9" s="58"/>
      <c r="AL9" s="58"/>
      <c r="AM9" s="58"/>
      <c r="AN9" s="58"/>
      <c r="AO9" s="58"/>
      <c r="AP9" s="58"/>
      <c r="AQ9" s="58"/>
      <c r="AR9" s="58"/>
    </row>
    <row r="10" spans="1:44" ht="16.5" customHeight="1" x14ac:dyDescent="0.25">
      <c r="A10" s="64" t="s">
        <v>138</v>
      </c>
      <c r="B10" s="62"/>
      <c r="C10" s="62"/>
      <c r="D10" s="62"/>
      <c r="E10" s="58" t="s">
        <v>139</v>
      </c>
      <c r="F10" s="58"/>
      <c r="G10" s="58"/>
      <c r="H10" s="58"/>
      <c r="I10" s="58"/>
      <c r="J10" s="58"/>
      <c r="K10" s="58"/>
      <c r="L10" s="58"/>
      <c r="M10" s="58"/>
      <c r="N10" s="58"/>
      <c r="O10" s="58"/>
      <c r="P10" s="58"/>
      <c r="Q10" s="58"/>
      <c r="R10" s="58"/>
      <c r="S10" s="58"/>
      <c r="T10" s="58"/>
      <c r="U10" s="58"/>
      <c r="V10" s="58"/>
      <c r="W10" s="58"/>
      <c r="X10" s="58"/>
      <c r="Y10" s="58"/>
      <c r="Z10" s="58"/>
      <c r="AA10" s="58" t="s">
        <v>80</v>
      </c>
      <c r="AB10" s="58"/>
      <c r="AC10" s="58"/>
      <c r="AD10" s="58"/>
      <c r="AE10" s="58" t="s">
        <v>139</v>
      </c>
      <c r="AF10" s="58"/>
      <c r="AG10" s="58"/>
      <c r="AH10" s="58"/>
      <c r="AI10" s="58"/>
      <c r="AJ10" s="58"/>
      <c r="AK10" s="58"/>
      <c r="AL10" s="58"/>
      <c r="AM10" s="58"/>
      <c r="AN10" s="58"/>
      <c r="AO10" s="58"/>
      <c r="AP10" s="58"/>
      <c r="AQ10" s="58"/>
      <c r="AR10" s="58"/>
    </row>
    <row r="11" spans="1:44" ht="16.5" customHeight="1" x14ac:dyDescent="0.25">
      <c r="A11" s="64" t="s">
        <v>81</v>
      </c>
      <c r="B11" s="62"/>
      <c r="C11" s="62"/>
      <c r="D11" s="62"/>
      <c r="E11" s="58" t="s">
        <v>137</v>
      </c>
      <c r="F11" s="58"/>
      <c r="G11" s="58"/>
      <c r="H11" s="58"/>
      <c r="I11" s="58"/>
      <c r="J11" s="58"/>
      <c r="K11" s="58"/>
      <c r="L11" s="58"/>
      <c r="M11" s="58"/>
      <c r="N11" s="58"/>
      <c r="O11" s="58"/>
      <c r="P11" s="58"/>
      <c r="Q11" s="58"/>
      <c r="R11" s="58"/>
      <c r="S11" s="58"/>
      <c r="T11" s="58"/>
      <c r="U11" s="58"/>
      <c r="V11" s="58"/>
      <c r="W11" s="58"/>
      <c r="X11" s="58"/>
      <c r="Y11" s="58"/>
      <c r="Z11" s="58"/>
      <c r="AA11" s="58" t="s">
        <v>81</v>
      </c>
      <c r="AB11" s="58"/>
      <c r="AC11" s="58"/>
      <c r="AD11" s="58"/>
      <c r="AE11" s="58" t="s">
        <v>75</v>
      </c>
      <c r="AF11" s="140"/>
      <c r="AG11" s="103"/>
      <c r="AH11" s="58"/>
      <c r="AI11" s="58"/>
      <c r="AJ11" s="58"/>
      <c r="AK11" s="58"/>
      <c r="AL11" s="58"/>
      <c r="AM11" s="58"/>
      <c r="AN11" s="58"/>
      <c r="AO11" s="58"/>
      <c r="AP11" s="58"/>
      <c r="AQ11" s="58"/>
      <c r="AR11" s="58"/>
    </row>
    <row r="12" spans="1:44" x14ac:dyDescent="0.25">
      <c r="A12" s="64"/>
      <c r="B12" s="62"/>
      <c r="C12" s="62"/>
      <c r="D12" s="62"/>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row>
    <row r="13" spans="1:44" x14ac:dyDescent="0.25">
      <c r="A13" s="121" t="s">
        <v>82</v>
      </c>
      <c r="B13" s="112"/>
      <c r="C13" s="112"/>
      <c r="D13" s="112"/>
      <c r="E13" s="112"/>
      <c r="F13" s="112"/>
      <c r="G13" s="112"/>
      <c r="H13" s="112"/>
      <c r="I13" s="112"/>
      <c r="J13" s="112"/>
      <c r="K13" s="112"/>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c r="AI13" s="112"/>
      <c r="AJ13" s="112"/>
      <c r="AK13" s="112"/>
      <c r="AL13" s="112"/>
      <c r="AM13" s="112"/>
      <c r="AN13" s="112"/>
      <c r="AO13" s="112"/>
      <c r="AP13" s="112"/>
      <c r="AQ13" s="112"/>
      <c r="AR13" s="112"/>
    </row>
    <row r="14" spans="1:44" ht="8.25" customHeight="1" x14ac:dyDescent="0.25">
      <c r="A14" s="64"/>
      <c r="B14" s="62"/>
      <c r="C14" s="62"/>
      <c r="D14" s="62"/>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row>
    <row r="15" spans="1:44" x14ac:dyDescent="0.25">
      <c r="A15" s="124" t="s">
        <v>83</v>
      </c>
      <c r="B15" s="100"/>
      <c r="C15" s="100"/>
      <c r="D15" s="100"/>
      <c r="E15" s="100"/>
      <c r="F15" s="100"/>
      <c r="G15" s="100"/>
      <c r="H15" s="100"/>
      <c r="I15" s="100"/>
      <c r="J15" s="100"/>
      <c r="K15" s="100"/>
      <c r="L15" s="100"/>
      <c r="M15" s="100"/>
      <c r="N15" s="100"/>
      <c r="O15" s="100"/>
      <c r="P15" s="100"/>
      <c r="Q15" s="100"/>
      <c r="R15" s="100"/>
      <c r="S15" s="100"/>
      <c r="T15" s="100"/>
      <c r="U15" s="100"/>
      <c r="V15" s="100"/>
      <c r="W15" s="100"/>
      <c r="X15" s="100"/>
      <c r="Y15" s="100"/>
      <c r="Z15" s="101"/>
      <c r="AA15" s="125" t="s">
        <v>84</v>
      </c>
      <c r="AB15" s="101"/>
      <c r="AC15" s="135" t="s">
        <v>85</v>
      </c>
      <c r="AD15" s="97"/>
      <c r="AE15" s="97"/>
      <c r="AF15" s="98"/>
      <c r="AG15" s="135" t="s">
        <v>86</v>
      </c>
      <c r="AH15" s="97"/>
      <c r="AI15" s="97"/>
      <c r="AJ15" s="98"/>
      <c r="AK15" s="135" t="s">
        <v>87</v>
      </c>
      <c r="AL15" s="97"/>
      <c r="AM15" s="97"/>
      <c r="AN15" s="98"/>
      <c r="AO15" s="135" t="s">
        <v>88</v>
      </c>
      <c r="AP15" s="97"/>
      <c r="AQ15" s="97"/>
      <c r="AR15" s="98"/>
    </row>
    <row r="16" spans="1:44" ht="15" customHeight="1" x14ac:dyDescent="0.25">
      <c r="A16" s="102"/>
      <c r="B16" s="103"/>
      <c r="C16" s="103"/>
      <c r="D16" s="103"/>
      <c r="E16" s="103"/>
      <c r="F16" s="103"/>
      <c r="G16" s="103"/>
      <c r="H16" s="103"/>
      <c r="I16" s="103"/>
      <c r="J16" s="103"/>
      <c r="K16" s="103"/>
      <c r="L16" s="103"/>
      <c r="M16" s="103"/>
      <c r="N16" s="103"/>
      <c r="O16" s="103"/>
      <c r="P16" s="103"/>
      <c r="Q16" s="103"/>
      <c r="R16" s="103"/>
      <c r="S16" s="103"/>
      <c r="T16" s="103"/>
      <c r="U16" s="103"/>
      <c r="V16" s="103"/>
      <c r="W16" s="103"/>
      <c r="X16" s="103"/>
      <c r="Y16" s="103"/>
      <c r="Z16" s="104"/>
      <c r="AA16" s="102"/>
      <c r="AB16" s="104"/>
      <c r="AC16" s="125" t="s">
        <v>89</v>
      </c>
      <c r="AD16" s="101"/>
      <c r="AE16" s="125" t="s">
        <v>90</v>
      </c>
      <c r="AF16" s="101"/>
      <c r="AG16" s="125" t="s">
        <v>89</v>
      </c>
      <c r="AH16" s="101"/>
      <c r="AI16" s="125" t="s">
        <v>90</v>
      </c>
      <c r="AJ16" s="101"/>
      <c r="AK16" s="125" t="s">
        <v>89</v>
      </c>
      <c r="AL16" s="101"/>
      <c r="AM16" s="125" t="s">
        <v>90</v>
      </c>
      <c r="AN16" s="101"/>
      <c r="AO16" s="125" t="s">
        <v>89</v>
      </c>
      <c r="AP16" s="101"/>
      <c r="AQ16" s="125" t="s">
        <v>90</v>
      </c>
      <c r="AR16" s="101"/>
    </row>
    <row r="17" spans="1:44" x14ac:dyDescent="0.25">
      <c r="A17" s="105"/>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7"/>
      <c r="AA17" s="105"/>
      <c r="AB17" s="107"/>
      <c r="AC17" s="105"/>
      <c r="AD17" s="107"/>
      <c r="AE17" s="105"/>
      <c r="AF17" s="107"/>
      <c r="AG17" s="105"/>
      <c r="AH17" s="107"/>
      <c r="AI17" s="105"/>
      <c r="AJ17" s="107"/>
      <c r="AK17" s="105"/>
      <c r="AL17" s="107"/>
      <c r="AM17" s="105"/>
      <c r="AN17" s="107"/>
      <c r="AO17" s="105"/>
      <c r="AP17" s="107"/>
      <c r="AQ17" s="105"/>
      <c r="AR17" s="107"/>
    </row>
    <row r="18" spans="1:44" ht="15" customHeight="1" x14ac:dyDescent="0.25">
      <c r="A18" s="99" t="s">
        <v>142</v>
      </c>
      <c r="B18" s="100"/>
      <c r="C18" s="100"/>
      <c r="D18" s="100"/>
      <c r="E18" s="100"/>
      <c r="F18" s="100"/>
      <c r="G18" s="100"/>
      <c r="H18" s="100"/>
      <c r="I18" s="100"/>
      <c r="J18" s="100"/>
      <c r="K18" s="100"/>
      <c r="L18" s="100"/>
      <c r="M18" s="100"/>
      <c r="N18" s="100"/>
      <c r="O18" s="100"/>
      <c r="P18" s="100"/>
      <c r="Q18" s="100"/>
      <c r="R18" s="100"/>
      <c r="S18" s="100"/>
      <c r="T18" s="100"/>
      <c r="U18" s="100"/>
      <c r="V18" s="100"/>
      <c r="W18" s="100"/>
      <c r="X18" s="100"/>
      <c r="Y18" s="100"/>
      <c r="Z18" s="101"/>
      <c r="AA18" s="137">
        <v>0.25</v>
      </c>
      <c r="AB18" s="101"/>
      <c r="AC18" s="108"/>
      <c r="AD18" s="101"/>
      <c r="AE18" s="108"/>
      <c r="AF18" s="101"/>
      <c r="AG18" s="108"/>
      <c r="AH18" s="101"/>
      <c r="AI18" s="108"/>
      <c r="AJ18" s="101"/>
      <c r="AK18" s="108">
        <v>5</v>
      </c>
      <c r="AL18" s="101"/>
      <c r="AM18" s="108">
        <v>4</v>
      </c>
      <c r="AN18" s="101"/>
      <c r="AO18" s="108">
        <v>4</v>
      </c>
      <c r="AP18" s="101"/>
      <c r="AQ18" s="108">
        <v>4</v>
      </c>
      <c r="AR18" s="101"/>
    </row>
    <row r="19" spans="1:44" ht="15" customHeight="1" x14ac:dyDescent="0.25">
      <c r="A19" s="102"/>
      <c r="B19" s="103"/>
      <c r="C19" s="103"/>
      <c r="D19" s="103"/>
      <c r="E19" s="103"/>
      <c r="F19" s="103"/>
      <c r="G19" s="103"/>
      <c r="H19" s="103"/>
      <c r="I19" s="103"/>
      <c r="J19" s="103"/>
      <c r="K19" s="103"/>
      <c r="L19" s="103"/>
      <c r="M19" s="103"/>
      <c r="N19" s="103"/>
      <c r="O19" s="103"/>
      <c r="P19" s="103"/>
      <c r="Q19" s="103"/>
      <c r="R19" s="103"/>
      <c r="S19" s="103"/>
      <c r="T19" s="103"/>
      <c r="U19" s="103"/>
      <c r="V19" s="103"/>
      <c r="W19" s="103"/>
      <c r="X19" s="103"/>
      <c r="Y19" s="103"/>
      <c r="Z19" s="104"/>
      <c r="AA19" s="102"/>
      <c r="AB19" s="104"/>
      <c r="AC19" s="102"/>
      <c r="AD19" s="104"/>
      <c r="AE19" s="102"/>
      <c r="AF19" s="104"/>
      <c r="AG19" s="102"/>
      <c r="AH19" s="104"/>
      <c r="AI19" s="102"/>
      <c r="AJ19" s="104"/>
      <c r="AK19" s="102"/>
      <c r="AL19" s="104"/>
      <c r="AM19" s="102"/>
      <c r="AN19" s="104"/>
      <c r="AO19" s="102"/>
      <c r="AP19" s="104"/>
      <c r="AQ19" s="102"/>
      <c r="AR19" s="104"/>
    </row>
    <row r="20" spans="1:44" x14ac:dyDescent="0.25">
      <c r="A20" s="105"/>
      <c r="B20" s="106"/>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7"/>
      <c r="AA20" s="105"/>
      <c r="AB20" s="107"/>
      <c r="AC20" s="105"/>
      <c r="AD20" s="107"/>
      <c r="AE20" s="105"/>
      <c r="AF20" s="107"/>
      <c r="AG20" s="105"/>
      <c r="AH20" s="107"/>
      <c r="AI20" s="105"/>
      <c r="AJ20" s="107"/>
      <c r="AK20" s="105"/>
      <c r="AL20" s="107"/>
      <c r="AM20" s="105"/>
      <c r="AN20" s="107"/>
      <c r="AO20" s="105"/>
      <c r="AP20" s="107"/>
      <c r="AQ20" s="105"/>
      <c r="AR20" s="107"/>
    </row>
    <row r="21" spans="1:44" ht="15.75" customHeight="1" x14ac:dyDescent="0.25">
      <c r="A21" s="99" t="s">
        <v>143</v>
      </c>
      <c r="B21" s="100"/>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1"/>
      <c r="AA21" s="137">
        <v>0.25</v>
      </c>
      <c r="AB21" s="101"/>
      <c r="AC21" s="108"/>
      <c r="AD21" s="101"/>
      <c r="AE21" s="108"/>
      <c r="AF21" s="101"/>
      <c r="AG21" s="108"/>
      <c r="AH21" s="101"/>
      <c r="AI21" s="108"/>
      <c r="AJ21" s="101"/>
      <c r="AK21" s="108">
        <v>5</v>
      </c>
      <c r="AL21" s="101"/>
      <c r="AM21" s="108">
        <v>4</v>
      </c>
      <c r="AN21" s="101"/>
      <c r="AO21" s="108">
        <v>5</v>
      </c>
      <c r="AP21" s="101"/>
      <c r="AQ21" s="108">
        <v>4</v>
      </c>
      <c r="AR21" s="101"/>
    </row>
    <row r="22" spans="1:44" ht="15.75" customHeight="1" x14ac:dyDescent="0.25">
      <c r="A22" s="102"/>
      <c r="B22" s="103"/>
      <c r="C22" s="103"/>
      <c r="D22" s="103"/>
      <c r="E22" s="103"/>
      <c r="F22" s="103"/>
      <c r="G22" s="103"/>
      <c r="H22" s="103"/>
      <c r="I22" s="103"/>
      <c r="J22" s="103"/>
      <c r="K22" s="103"/>
      <c r="L22" s="103"/>
      <c r="M22" s="103"/>
      <c r="N22" s="103"/>
      <c r="O22" s="103"/>
      <c r="P22" s="103"/>
      <c r="Q22" s="103"/>
      <c r="R22" s="103"/>
      <c r="S22" s="103"/>
      <c r="T22" s="103"/>
      <c r="U22" s="103"/>
      <c r="V22" s="103"/>
      <c r="W22" s="103"/>
      <c r="X22" s="103"/>
      <c r="Y22" s="103"/>
      <c r="Z22" s="104"/>
      <c r="AA22" s="102"/>
      <c r="AB22" s="104"/>
      <c r="AC22" s="102"/>
      <c r="AD22" s="104"/>
      <c r="AE22" s="102"/>
      <c r="AF22" s="104"/>
      <c r="AG22" s="102"/>
      <c r="AH22" s="104"/>
      <c r="AI22" s="102"/>
      <c r="AJ22" s="104"/>
      <c r="AK22" s="102"/>
      <c r="AL22" s="104"/>
      <c r="AM22" s="102"/>
      <c r="AN22" s="104"/>
      <c r="AO22" s="102"/>
      <c r="AP22" s="104"/>
      <c r="AQ22" s="102"/>
      <c r="AR22" s="104"/>
    </row>
    <row r="23" spans="1:44" ht="15.75" customHeight="1" x14ac:dyDescent="0.25">
      <c r="A23" s="105"/>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7"/>
      <c r="AA23" s="105"/>
      <c r="AB23" s="107"/>
      <c r="AC23" s="105"/>
      <c r="AD23" s="107"/>
      <c r="AE23" s="105"/>
      <c r="AF23" s="107"/>
      <c r="AG23" s="105"/>
      <c r="AH23" s="107"/>
      <c r="AI23" s="105"/>
      <c r="AJ23" s="107"/>
      <c r="AK23" s="105"/>
      <c r="AL23" s="107"/>
      <c r="AM23" s="105"/>
      <c r="AN23" s="107"/>
      <c r="AO23" s="105"/>
      <c r="AP23" s="107"/>
      <c r="AQ23" s="105"/>
      <c r="AR23" s="107"/>
    </row>
    <row r="24" spans="1:44" ht="15.75" customHeight="1" x14ac:dyDescent="0.25">
      <c r="A24" s="99" t="s">
        <v>144</v>
      </c>
      <c r="B24" s="100"/>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Z24" s="101"/>
      <c r="AA24" s="137">
        <v>0.25</v>
      </c>
      <c r="AB24" s="101"/>
      <c r="AC24" s="108"/>
      <c r="AD24" s="101"/>
      <c r="AE24" s="108"/>
      <c r="AF24" s="101"/>
      <c r="AG24" s="108"/>
      <c r="AH24" s="101"/>
      <c r="AI24" s="108"/>
      <c r="AJ24" s="101"/>
      <c r="AK24" s="108">
        <v>5</v>
      </c>
      <c r="AL24" s="101"/>
      <c r="AM24" s="108">
        <v>4</v>
      </c>
      <c r="AN24" s="101"/>
      <c r="AO24" s="108">
        <v>5</v>
      </c>
      <c r="AP24" s="101"/>
      <c r="AQ24" s="108">
        <v>4</v>
      </c>
      <c r="AR24" s="101"/>
    </row>
    <row r="25" spans="1:44" ht="15.75" customHeight="1" x14ac:dyDescent="0.25">
      <c r="A25" s="102"/>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c r="Z25" s="104"/>
      <c r="AA25" s="102"/>
      <c r="AB25" s="104"/>
      <c r="AC25" s="102"/>
      <c r="AD25" s="104"/>
      <c r="AE25" s="102"/>
      <c r="AF25" s="104"/>
      <c r="AG25" s="102"/>
      <c r="AH25" s="104"/>
      <c r="AI25" s="102"/>
      <c r="AJ25" s="104"/>
      <c r="AK25" s="102"/>
      <c r="AL25" s="104"/>
      <c r="AM25" s="102"/>
      <c r="AN25" s="104"/>
      <c r="AO25" s="102"/>
      <c r="AP25" s="104"/>
      <c r="AQ25" s="102"/>
      <c r="AR25" s="104"/>
    </row>
    <row r="26" spans="1:44" ht="15.75" customHeight="1" x14ac:dyDescent="0.25">
      <c r="A26" s="105"/>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7"/>
      <c r="AA26" s="105"/>
      <c r="AB26" s="107"/>
      <c r="AC26" s="105"/>
      <c r="AD26" s="107"/>
      <c r="AE26" s="105"/>
      <c r="AF26" s="107"/>
      <c r="AG26" s="105"/>
      <c r="AH26" s="107"/>
      <c r="AI26" s="105"/>
      <c r="AJ26" s="107"/>
      <c r="AK26" s="105"/>
      <c r="AL26" s="107"/>
      <c r="AM26" s="105"/>
      <c r="AN26" s="107"/>
      <c r="AO26" s="105"/>
      <c r="AP26" s="107"/>
      <c r="AQ26" s="105"/>
      <c r="AR26" s="107"/>
    </row>
    <row r="27" spans="1:44" ht="15.75" customHeight="1" x14ac:dyDescent="0.25">
      <c r="A27" s="99" t="s">
        <v>152</v>
      </c>
      <c r="B27" s="100"/>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1"/>
      <c r="AA27" s="137">
        <v>0.25</v>
      </c>
      <c r="AB27" s="101"/>
      <c r="AC27" s="108"/>
      <c r="AD27" s="101"/>
      <c r="AE27" s="108"/>
      <c r="AF27" s="101"/>
      <c r="AG27" s="108"/>
      <c r="AH27" s="101"/>
      <c r="AI27" s="108"/>
      <c r="AJ27" s="101"/>
      <c r="AK27" s="108">
        <v>4</v>
      </c>
      <c r="AL27" s="101"/>
      <c r="AM27" s="108">
        <v>4</v>
      </c>
      <c r="AN27" s="101"/>
      <c r="AO27" s="108">
        <v>5</v>
      </c>
      <c r="AP27" s="101"/>
      <c r="AQ27" s="108">
        <v>4</v>
      </c>
      <c r="AR27" s="101"/>
    </row>
    <row r="28" spans="1:44" ht="15.75" customHeight="1" x14ac:dyDescent="0.25">
      <c r="A28" s="102"/>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4"/>
      <c r="AA28" s="102"/>
      <c r="AB28" s="104"/>
      <c r="AC28" s="102"/>
      <c r="AD28" s="104"/>
      <c r="AE28" s="102"/>
      <c r="AF28" s="104"/>
      <c r="AG28" s="102"/>
      <c r="AH28" s="104"/>
      <c r="AI28" s="102"/>
      <c r="AJ28" s="104"/>
      <c r="AK28" s="102"/>
      <c r="AL28" s="104"/>
      <c r="AM28" s="102"/>
      <c r="AN28" s="104"/>
      <c r="AO28" s="102"/>
      <c r="AP28" s="104"/>
      <c r="AQ28" s="102"/>
      <c r="AR28" s="104"/>
    </row>
    <row r="29" spans="1:44" ht="15.75" customHeight="1" x14ac:dyDescent="0.25">
      <c r="A29" s="105"/>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7"/>
      <c r="AA29" s="105"/>
      <c r="AB29" s="107"/>
      <c r="AC29" s="105"/>
      <c r="AD29" s="107"/>
      <c r="AE29" s="105"/>
      <c r="AF29" s="107"/>
      <c r="AG29" s="105"/>
      <c r="AH29" s="107"/>
      <c r="AI29" s="105"/>
      <c r="AJ29" s="107"/>
      <c r="AK29" s="105"/>
      <c r="AL29" s="107"/>
      <c r="AM29" s="105"/>
      <c r="AN29" s="107"/>
      <c r="AO29" s="105"/>
      <c r="AP29" s="107"/>
      <c r="AQ29" s="105"/>
      <c r="AR29" s="107"/>
    </row>
    <row r="30" spans="1:44" ht="15.75" customHeight="1" x14ac:dyDescent="0.25">
      <c r="A30" s="129" t="s">
        <v>91</v>
      </c>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1"/>
      <c r="AA30" s="127">
        <f>SUM(AA18:AB29)</f>
        <v>1</v>
      </c>
      <c r="AB30" s="101"/>
      <c r="AC30" s="127">
        <f>SUMPRODUCT($AA$18:$AB$29,AC18:AD29)/($AA$30*5)</f>
        <v>0</v>
      </c>
      <c r="AD30" s="101"/>
      <c r="AE30" s="127">
        <f>SUMPRODUCT($AA$18:$AB$29,AE18:AF29)/($AA$30*5)</f>
        <v>0</v>
      </c>
      <c r="AF30" s="101"/>
      <c r="AG30" s="127">
        <f>SUMPRODUCT($AA$18:$AB$29,AG18:AH29)/($AA$30*5)</f>
        <v>0</v>
      </c>
      <c r="AH30" s="101"/>
      <c r="AI30" s="127">
        <f>SUMPRODUCT($AA$18:$AB$29,AI18:AJ29)/($AA$30*5)</f>
        <v>0</v>
      </c>
      <c r="AJ30" s="101"/>
      <c r="AK30" s="127">
        <f>SUMPRODUCT($AA$18:$AB$29,AK18:AL29)/($AA$30*5)</f>
        <v>0.95</v>
      </c>
      <c r="AL30" s="101"/>
      <c r="AM30" s="127">
        <f>SUMPRODUCT($AA$18:$AB$29,AM18:AN29)/($AA$30*5)</f>
        <v>0.8</v>
      </c>
      <c r="AN30" s="101"/>
      <c r="AO30" s="127">
        <f>SUMPRODUCT($AA$18:$AB$29,AO18:AP29)/($AA$30*5)</f>
        <v>0.95</v>
      </c>
      <c r="AP30" s="101"/>
      <c r="AQ30" s="127">
        <f>SUMPRODUCT($AA$18:$AB$29,AQ18:AR29)/($AA$30*5)</f>
        <v>0.8</v>
      </c>
      <c r="AR30" s="101"/>
    </row>
    <row r="31" spans="1:44" ht="15.75" customHeight="1" x14ac:dyDescent="0.25">
      <c r="A31" s="105"/>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7"/>
      <c r="AA31" s="105"/>
      <c r="AB31" s="107"/>
      <c r="AC31" s="105"/>
      <c r="AD31" s="107"/>
      <c r="AE31" s="105"/>
      <c r="AF31" s="107"/>
      <c r="AG31" s="105"/>
      <c r="AH31" s="107"/>
      <c r="AI31" s="105"/>
      <c r="AJ31" s="107"/>
      <c r="AK31" s="105"/>
      <c r="AL31" s="107"/>
      <c r="AM31" s="105"/>
      <c r="AN31" s="107"/>
      <c r="AO31" s="105"/>
      <c r="AP31" s="107"/>
      <c r="AQ31" s="105"/>
      <c r="AR31" s="107"/>
    </row>
    <row r="32" spans="1:44" ht="8.25" customHeight="1" x14ac:dyDescent="0.25">
      <c r="A32" s="64"/>
      <c r="B32" s="62"/>
      <c r="C32" s="62"/>
      <c r="D32" s="62"/>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row>
    <row r="33" spans="1:44" ht="15.75" customHeight="1" x14ac:dyDescent="0.25">
      <c r="A33" s="121" t="s">
        <v>146</v>
      </c>
      <c r="B33" s="112"/>
      <c r="C33" s="112"/>
      <c r="D33" s="112"/>
      <c r="E33" s="112"/>
      <c r="F33" s="112"/>
      <c r="G33" s="112"/>
      <c r="H33" s="112"/>
      <c r="I33" s="112"/>
      <c r="J33" s="112"/>
      <c r="K33" s="112"/>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row>
    <row r="34" spans="1:44" ht="8.25" customHeight="1" x14ac:dyDescent="0.25">
      <c r="A34" s="64"/>
      <c r="B34" s="62"/>
      <c r="C34" s="62"/>
      <c r="D34" s="62"/>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row>
    <row r="35" spans="1:44" ht="15.75" customHeight="1" x14ac:dyDescent="0.25">
      <c r="A35" s="136" t="s">
        <v>92</v>
      </c>
      <c r="B35" s="124" t="s">
        <v>145</v>
      </c>
      <c r="C35" s="100"/>
      <c r="D35" s="100"/>
      <c r="E35" s="100"/>
      <c r="F35" s="100"/>
      <c r="G35" s="100"/>
      <c r="H35" s="100"/>
      <c r="I35" s="100"/>
      <c r="J35" s="100"/>
      <c r="K35" s="100"/>
      <c r="L35" s="100"/>
      <c r="M35" s="101"/>
      <c r="N35" s="125" t="s">
        <v>147</v>
      </c>
      <c r="O35" s="100"/>
      <c r="P35" s="100"/>
      <c r="Q35" s="100"/>
      <c r="R35" s="100"/>
      <c r="S35" s="100"/>
      <c r="T35" s="100"/>
      <c r="U35" s="100"/>
      <c r="V35" s="100"/>
      <c r="W35" s="100"/>
      <c r="X35" s="100"/>
      <c r="Y35" s="100"/>
      <c r="Z35" s="101"/>
      <c r="AA35" s="125" t="s">
        <v>84</v>
      </c>
      <c r="AB35" s="101"/>
      <c r="AC35" s="135" t="s">
        <v>85</v>
      </c>
      <c r="AD35" s="97"/>
      <c r="AE35" s="97"/>
      <c r="AF35" s="98"/>
      <c r="AG35" s="135" t="s">
        <v>86</v>
      </c>
      <c r="AH35" s="97"/>
      <c r="AI35" s="97"/>
      <c r="AJ35" s="98"/>
      <c r="AK35" s="135" t="s">
        <v>87</v>
      </c>
      <c r="AL35" s="97"/>
      <c r="AM35" s="97"/>
      <c r="AN35" s="98"/>
      <c r="AO35" s="135" t="s">
        <v>88</v>
      </c>
      <c r="AP35" s="97"/>
      <c r="AQ35" s="97"/>
      <c r="AR35" s="98"/>
    </row>
    <row r="36" spans="1:44" ht="15" customHeight="1" x14ac:dyDescent="0.25">
      <c r="A36" s="123"/>
      <c r="B36" s="102"/>
      <c r="C36" s="103"/>
      <c r="D36" s="103"/>
      <c r="E36" s="103"/>
      <c r="F36" s="103"/>
      <c r="G36" s="103"/>
      <c r="H36" s="103"/>
      <c r="I36" s="103"/>
      <c r="J36" s="103"/>
      <c r="K36" s="103"/>
      <c r="L36" s="103"/>
      <c r="M36" s="104"/>
      <c r="N36" s="102"/>
      <c r="O36" s="103"/>
      <c r="P36" s="103"/>
      <c r="Q36" s="103"/>
      <c r="R36" s="103"/>
      <c r="S36" s="103"/>
      <c r="T36" s="103"/>
      <c r="U36" s="103"/>
      <c r="V36" s="103"/>
      <c r="W36" s="103"/>
      <c r="X36" s="103"/>
      <c r="Y36" s="103"/>
      <c r="Z36" s="104"/>
      <c r="AA36" s="102"/>
      <c r="AB36" s="104"/>
      <c r="AC36" s="125" t="s">
        <v>89</v>
      </c>
      <c r="AD36" s="101"/>
      <c r="AE36" s="125" t="s">
        <v>90</v>
      </c>
      <c r="AF36" s="101"/>
      <c r="AG36" s="125" t="s">
        <v>89</v>
      </c>
      <c r="AH36" s="101"/>
      <c r="AI36" s="125" t="s">
        <v>90</v>
      </c>
      <c r="AJ36" s="101"/>
      <c r="AK36" s="125" t="s">
        <v>89</v>
      </c>
      <c r="AL36" s="101"/>
      <c r="AM36" s="125" t="s">
        <v>90</v>
      </c>
      <c r="AN36" s="101"/>
      <c r="AO36" s="125" t="s">
        <v>89</v>
      </c>
      <c r="AP36" s="101"/>
      <c r="AQ36" s="125" t="s">
        <v>90</v>
      </c>
      <c r="AR36" s="101"/>
    </row>
    <row r="37" spans="1:44" ht="15.75" customHeight="1" x14ac:dyDescent="0.25">
      <c r="A37" s="119"/>
      <c r="B37" s="105"/>
      <c r="C37" s="106"/>
      <c r="D37" s="106"/>
      <c r="E37" s="106"/>
      <c r="F37" s="106"/>
      <c r="G37" s="106"/>
      <c r="H37" s="106"/>
      <c r="I37" s="106"/>
      <c r="J37" s="106"/>
      <c r="K37" s="106"/>
      <c r="L37" s="106"/>
      <c r="M37" s="107"/>
      <c r="N37" s="105"/>
      <c r="O37" s="106"/>
      <c r="P37" s="106"/>
      <c r="Q37" s="106"/>
      <c r="R37" s="106"/>
      <c r="S37" s="106"/>
      <c r="T37" s="106"/>
      <c r="U37" s="106"/>
      <c r="V37" s="106"/>
      <c r="W37" s="106"/>
      <c r="X37" s="106"/>
      <c r="Y37" s="106"/>
      <c r="Z37" s="107"/>
      <c r="AA37" s="105"/>
      <c r="AB37" s="107"/>
      <c r="AC37" s="105"/>
      <c r="AD37" s="107"/>
      <c r="AE37" s="105"/>
      <c r="AF37" s="107"/>
      <c r="AG37" s="105"/>
      <c r="AH37" s="107"/>
      <c r="AI37" s="105"/>
      <c r="AJ37" s="107"/>
      <c r="AK37" s="105"/>
      <c r="AL37" s="107"/>
      <c r="AM37" s="105"/>
      <c r="AN37" s="107"/>
      <c r="AO37" s="105"/>
      <c r="AP37" s="107"/>
      <c r="AQ37" s="105"/>
      <c r="AR37" s="107"/>
    </row>
    <row r="38" spans="1:44" ht="59.25" customHeight="1" x14ac:dyDescent="0.25">
      <c r="A38" s="70">
        <v>1</v>
      </c>
      <c r="B38" s="131" t="s">
        <v>153</v>
      </c>
      <c r="C38" s="97"/>
      <c r="D38" s="97"/>
      <c r="E38" s="97"/>
      <c r="F38" s="97"/>
      <c r="G38" s="97"/>
      <c r="H38" s="97"/>
      <c r="I38" s="97"/>
      <c r="J38" s="97"/>
      <c r="K38" s="97"/>
      <c r="L38" s="97"/>
      <c r="M38" s="98"/>
      <c r="N38" s="131" t="s">
        <v>149</v>
      </c>
      <c r="O38" s="97"/>
      <c r="P38" s="97"/>
      <c r="Q38" s="97"/>
      <c r="R38" s="97"/>
      <c r="S38" s="97"/>
      <c r="T38" s="97"/>
      <c r="U38" s="97"/>
      <c r="V38" s="97"/>
      <c r="W38" s="97"/>
      <c r="X38" s="97"/>
      <c r="Y38" s="97"/>
      <c r="Z38" s="98"/>
      <c r="AA38" s="132"/>
      <c r="AB38" s="98"/>
      <c r="AC38" s="133"/>
      <c r="AD38" s="98"/>
      <c r="AE38" s="96"/>
      <c r="AF38" s="98"/>
      <c r="AG38" s="96"/>
      <c r="AH38" s="98"/>
      <c r="AI38" s="96"/>
      <c r="AJ38" s="98"/>
      <c r="AK38" s="96">
        <v>4</v>
      </c>
      <c r="AL38" s="98"/>
      <c r="AM38" s="96">
        <v>4</v>
      </c>
      <c r="AN38" s="98"/>
      <c r="AO38" s="96">
        <v>4</v>
      </c>
      <c r="AP38" s="98"/>
      <c r="AQ38" s="96">
        <v>4</v>
      </c>
      <c r="AR38" s="98"/>
    </row>
    <row r="39" spans="1:44" ht="59.25" customHeight="1" x14ac:dyDescent="0.25">
      <c r="A39" s="74">
        <v>2</v>
      </c>
      <c r="B39" s="131" t="s">
        <v>397</v>
      </c>
      <c r="C39" s="97"/>
      <c r="D39" s="97"/>
      <c r="E39" s="97"/>
      <c r="F39" s="97"/>
      <c r="G39" s="97"/>
      <c r="H39" s="97"/>
      <c r="I39" s="97"/>
      <c r="J39" s="97"/>
      <c r="K39" s="97"/>
      <c r="L39" s="97"/>
      <c r="M39" s="98"/>
      <c r="N39" s="131" t="s">
        <v>400</v>
      </c>
      <c r="O39" s="97"/>
      <c r="P39" s="97"/>
      <c r="Q39" s="97"/>
      <c r="R39" s="97"/>
      <c r="S39" s="97"/>
      <c r="T39" s="97"/>
      <c r="U39" s="97"/>
      <c r="V39" s="97"/>
      <c r="W39" s="97"/>
      <c r="X39" s="97"/>
      <c r="Y39" s="97"/>
      <c r="Z39" s="98"/>
      <c r="AA39" s="71"/>
      <c r="AB39" s="67"/>
      <c r="AC39" s="72"/>
      <c r="AD39" s="67"/>
      <c r="AE39" s="73"/>
      <c r="AF39" s="67"/>
      <c r="AG39" s="73"/>
      <c r="AH39" s="67"/>
      <c r="AI39" s="73"/>
      <c r="AJ39" s="67"/>
      <c r="AK39" s="73"/>
      <c r="AL39" s="67"/>
      <c r="AM39" s="73"/>
      <c r="AN39" s="67"/>
      <c r="AO39" s="73"/>
      <c r="AP39" s="67"/>
      <c r="AQ39" s="73"/>
      <c r="AR39" s="67"/>
    </row>
    <row r="40" spans="1:44" ht="60.75" customHeight="1" x14ac:dyDescent="0.25">
      <c r="A40" s="70">
        <v>3</v>
      </c>
      <c r="B40" s="130" t="s">
        <v>406</v>
      </c>
      <c r="C40" s="97"/>
      <c r="D40" s="97"/>
      <c r="E40" s="97"/>
      <c r="F40" s="97"/>
      <c r="G40" s="97"/>
      <c r="H40" s="97"/>
      <c r="I40" s="97"/>
      <c r="J40" s="97"/>
      <c r="K40" s="97"/>
      <c r="L40" s="97"/>
      <c r="M40" s="98"/>
      <c r="N40" s="131" t="s">
        <v>401</v>
      </c>
      <c r="O40" s="97"/>
      <c r="P40" s="97"/>
      <c r="Q40" s="97"/>
      <c r="R40" s="97"/>
      <c r="S40" s="97"/>
      <c r="T40" s="97"/>
      <c r="U40" s="97"/>
      <c r="V40" s="97"/>
      <c r="W40" s="97"/>
      <c r="X40" s="97"/>
      <c r="Y40" s="97"/>
      <c r="Z40" s="98"/>
      <c r="AA40" s="132"/>
      <c r="AB40" s="98"/>
      <c r="AC40" s="133"/>
      <c r="AD40" s="98"/>
      <c r="AE40" s="96"/>
      <c r="AF40" s="98"/>
      <c r="AG40" s="96"/>
      <c r="AH40" s="98"/>
      <c r="AI40" s="96"/>
      <c r="AJ40" s="98"/>
      <c r="AK40" s="96">
        <v>5</v>
      </c>
      <c r="AL40" s="98"/>
      <c r="AM40" s="96">
        <v>5</v>
      </c>
      <c r="AN40" s="98"/>
      <c r="AO40" s="96">
        <v>5</v>
      </c>
      <c r="AP40" s="98"/>
      <c r="AQ40" s="96">
        <v>5</v>
      </c>
      <c r="AR40" s="98"/>
    </row>
    <row r="41" spans="1:44" ht="69" customHeight="1" x14ac:dyDescent="0.25">
      <c r="A41" s="74">
        <v>4</v>
      </c>
      <c r="B41" s="134" t="s">
        <v>407</v>
      </c>
      <c r="C41" s="97"/>
      <c r="D41" s="97"/>
      <c r="E41" s="97"/>
      <c r="F41" s="97"/>
      <c r="G41" s="97"/>
      <c r="H41" s="97"/>
      <c r="I41" s="97"/>
      <c r="J41" s="97"/>
      <c r="K41" s="97"/>
      <c r="L41" s="97"/>
      <c r="M41" s="98"/>
      <c r="N41" s="131" t="s">
        <v>402</v>
      </c>
      <c r="O41" s="97"/>
      <c r="P41" s="97"/>
      <c r="Q41" s="97"/>
      <c r="R41" s="97"/>
      <c r="S41" s="97"/>
      <c r="T41" s="97"/>
      <c r="U41" s="97"/>
      <c r="V41" s="97"/>
      <c r="W41" s="97"/>
      <c r="X41" s="97"/>
      <c r="Y41" s="97"/>
      <c r="Z41" s="98"/>
      <c r="AA41" s="132"/>
      <c r="AB41" s="98"/>
      <c r="AC41" s="133"/>
      <c r="AD41" s="98"/>
      <c r="AE41" s="96"/>
      <c r="AF41" s="98"/>
      <c r="AG41" s="96"/>
      <c r="AH41" s="98"/>
      <c r="AI41" s="96"/>
      <c r="AJ41" s="98"/>
      <c r="AK41" s="96">
        <v>5</v>
      </c>
      <c r="AL41" s="98"/>
      <c r="AM41" s="96">
        <v>5</v>
      </c>
      <c r="AN41" s="98"/>
      <c r="AO41" s="96">
        <v>5</v>
      </c>
      <c r="AP41" s="98"/>
      <c r="AQ41" s="96">
        <v>5</v>
      </c>
      <c r="AR41" s="98"/>
    </row>
    <row r="42" spans="1:44" ht="69" customHeight="1" x14ac:dyDescent="0.25">
      <c r="A42" s="70">
        <v>5</v>
      </c>
      <c r="B42" s="134" t="s">
        <v>408</v>
      </c>
      <c r="C42" s="97"/>
      <c r="D42" s="97"/>
      <c r="E42" s="97"/>
      <c r="F42" s="97"/>
      <c r="G42" s="97"/>
      <c r="H42" s="97"/>
      <c r="I42" s="97"/>
      <c r="J42" s="97"/>
      <c r="K42" s="97"/>
      <c r="L42" s="97"/>
      <c r="M42" s="98"/>
      <c r="N42" s="131" t="s">
        <v>403</v>
      </c>
      <c r="O42" s="97"/>
      <c r="P42" s="97"/>
      <c r="Q42" s="97"/>
      <c r="R42" s="97"/>
      <c r="S42" s="97"/>
      <c r="T42" s="97"/>
      <c r="U42" s="97"/>
      <c r="V42" s="97"/>
      <c r="W42" s="97"/>
      <c r="X42" s="97"/>
      <c r="Y42" s="97"/>
      <c r="Z42" s="98"/>
      <c r="AA42" s="71"/>
      <c r="AB42" s="67"/>
      <c r="AC42" s="72"/>
      <c r="AD42" s="67"/>
      <c r="AE42" s="73"/>
      <c r="AF42" s="67"/>
      <c r="AG42" s="73"/>
      <c r="AH42" s="67"/>
      <c r="AI42" s="73"/>
      <c r="AJ42" s="67"/>
      <c r="AK42" s="73"/>
      <c r="AL42" s="67"/>
      <c r="AM42" s="73"/>
      <c r="AN42" s="67"/>
      <c r="AO42" s="73"/>
      <c r="AP42" s="67"/>
      <c r="AQ42" s="73"/>
      <c r="AR42" s="67"/>
    </row>
    <row r="43" spans="1:44" ht="54" customHeight="1" x14ac:dyDescent="0.25">
      <c r="A43" s="74">
        <v>6</v>
      </c>
      <c r="B43" s="134" t="s">
        <v>409</v>
      </c>
      <c r="C43" s="97"/>
      <c r="D43" s="97"/>
      <c r="E43" s="97"/>
      <c r="F43" s="97"/>
      <c r="G43" s="97"/>
      <c r="H43" s="97"/>
      <c r="I43" s="97"/>
      <c r="J43" s="97"/>
      <c r="K43" s="97"/>
      <c r="L43" s="97"/>
      <c r="M43" s="98"/>
      <c r="N43" s="130" t="s">
        <v>150</v>
      </c>
      <c r="O43" s="97"/>
      <c r="P43" s="97"/>
      <c r="Q43" s="97"/>
      <c r="R43" s="97"/>
      <c r="S43" s="97"/>
      <c r="T43" s="97"/>
      <c r="U43" s="97"/>
      <c r="V43" s="97"/>
      <c r="W43" s="97"/>
      <c r="X43" s="98"/>
      <c r="Y43" s="76"/>
      <c r="Z43" s="76"/>
      <c r="AA43" s="132"/>
      <c r="AB43" s="98"/>
      <c r="AC43" s="133"/>
      <c r="AD43" s="98"/>
      <c r="AE43" s="96"/>
      <c r="AF43" s="98"/>
      <c r="AG43" s="96"/>
      <c r="AH43" s="98"/>
      <c r="AI43" s="96"/>
      <c r="AJ43" s="98"/>
      <c r="AK43" s="96">
        <v>5</v>
      </c>
      <c r="AL43" s="98"/>
      <c r="AM43" s="96">
        <v>3</v>
      </c>
      <c r="AN43" s="98"/>
      <c r="AO43" s="96">
        <v>5</v>
      </c>
      <c r="AP43" s="98"/>
      <c r="AQ43" s="96">
        <v>3</v>
      </c>
      <c r="AR43" s="98"/>
    </row>
    <row r="44" spans="1:44" ht="54" customHeight="1" x14ac:dyDescent="0.25">
      <c r="A44" s="70">
        <v>7</v>
      </c>
      <c r="B44" s="134" t="s">
        <v>410</v>
      </c>
      <c r="C44" s="97"/>
      <c r="D44" s="97"/>
      <c r="E44" s="97"/>
      <c r="F44" s="97"/>
      <c r="G44" s="97"/>
      <c r="H44" s="97"/>
      <c r="I44" s="97"/>
      <c r="J44" s="97"/>
      <c r="K44" s="97"/>
      <c r="L44" s="97"/>
      <c r="M44" s="98"/>
      <c r="N44" s="130" t="s">
        <v>405</v>
      </c>
      <c r="O44" s="97"/>
      <c r="P44" s="97"/>
      <c r="Q44" s="97"/>
      <c r="R44" s="97"/>
      <c r="S44" s="97"/>
      <c r="T44" s="97"/>
      <c r="U44" s="97"/>
      <c r="V44" s="97"/>
      <c r="W44" s="97"/>
      <c r="X44" s="98"/>
      <c r="Y44" s="202"/>
      <c r="Z44" s="203"/>
      <c r="AA44" s="71"/>
      <c r="AB44" s="67"/>
      <c r="AC44" s="72"/>
      <c r="AD44" s="67"/>
      <c r="AE44" s="73"/>
      <c r="AF44" s="67"/>
      <c r="AG44" s="73"/>
      <c r="AH44" s="67"/>
      <c r="AI44" s="73"/>
      <c r="AJ44" s="67"/>
      <c r="AK44" s="73"/>
      <c r="AL44" s="67"/>
      <c r="AM44" s="73"/>
      <c r="AN44" s="67"/>
      <c r="AO44" s="73"/>
      <c r="AP44" s="67"/>
      <c r="AQ44" s="73"/>
      <c r="AR44" s="67"/>
    </row>
    <row r="45" spans="1:44" ht="54" customHeight="1" x14ac:dyDescent="0.25">
      <c r="A45" s="74">
        <v>8</v>
      </c>
      <c r="B45" s="134" t="s">
        <v>412</v>
      </c>
      <c r="C45" s="97"/>
      <c r="D45" s="97"/>
      <c r="E45" s="97"/>
      <c r="F45" s="97"/>
      <c r="G45" s="97"/>
      <c r="H45" s="97"/>
      <c r="I45" s="97"/>
      <c r="J45" s="97"/>
      <c r="K45" s="97"/>
      <c r="L45" s="97"/>
      <c r="M45" s="98"/>
      <c r="N45" s="130"/>
      <c r="O45" s="97"/>
      <c r="P45" s="97"/>
      <c r="Q45" s="97"/>
      <c r="R45" s="97"/>
      <c r="S45" s="97"/>
      <c r="T45" s="97"/>
      <c r="U45" s="97"/>
      <c r="V45" s="97"/>
      <c r="W45" s="97"/>
      <c r="X45" s="98"/>
      <c r="Y45" s="202"/>
      <c r="Z45" s="203"/>
      <c r="AA45" s="71"/>
      <c r="AB45" s="67"/>
      <c r="AC45" s="72"/>
      <c r="AD45" s="67"/>
      <c r="AE45" s="73"/>
      <c r="AF45" s="67"/>
      <c r="AG45" s="73"/>
      <c r="AH45" s="67"/>
      <c r="AI45" s="73"/>
      <c r="AJ45" s="67"/>
      <c r="AK45" s="73"/>
      <c r="AL45" s="67"/>
      <c r="AM45" s="73"/>
      <c r="AN45" s="67"/>
      <c r="AO45" s="73"/>
      <c r="AP45" s="67"/>
      <c r="AQ45" s="73"/>
      <c r="AR45" s="67"/>
    </row>
    <row r="46" spans="1:44" ht="54" customHeight="1" x14ac:dyDescent="0.25">
      <c r="A46" s="70">
        <v>9</v>
      </c>
      <c r="B46" s="134" t="s">
        <v>436</v>
      </c>
      <c r="C46" s="97"/>
      <c r="D46" s="97"/>
      <c r="E46" s="97"/>
      <c r="F46" s="97"/>
      <c r="G46" s="97"/>
      <c r="H46" s="97"/>
      <c r="I46" s="97"/>
      <c r="J46" s="97"/>
      <c r="K46" s="97"/>
      <c r="L46" s="97"/>
      <c r="M46" s="98"/>
      <c r="N46" s="130" t="s">
        <v>437</v>
      </c>
      <c r="O46" s="97"/>
      <c r="P46" s="97"/>
      <c r="Q46" s="97"/>
      <c r="R46" s="97"/>
      <c r="S46" s="97"/>
      <c r="T46" s="97"/>
      <c r="U46" s="97"/>
      <c r="V46" s="97"/>
      <c r="W46" s="97"/>
      <c r="X46" s="98"/>
      <c r="Y46" s="204"/>
      <c r="Z46" s="205"/>
      <c r="AA46" s="68"/>
      <c r="AB46" s="65"/>
      <c r="AC46" s="206"/>
      <c r="AD46" s="65"/>
      <c r="AE46" s="69"/>
      <c r="AF46" s="65"/>
      <c r="AG46" s="69"/>
      <c r="AH46" s="65"/>
      <c r="AI46" s="69"/>
      <c r="AJ46" s="65"/>
      <c r="AK46" s="69"/>
      <c r="AL46" s="65"/>
      <c r="AM46" s="69"/>
      <c r="AN46" s="65"/>
      <c r="AO46" s="69"/>
      <c r="AP46" s="65"/>
      <c r="AQ46" s="69"/>
      <c r="AR46" s="65"/>
    </row>
    <row r="47" spans="1:44" ht="15.75" customHeight="1" x14ac:dyDescent="0.25">
      <c r="A47" s="129" t="s">
        <v>93</v>
      </c>
      <c r="B47" s="100"/>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1"/>
      <c r="AA47" s="127">
        <f>SUM(AA38:AB45)</f>
        <v>0</v>
      </c>
      <c r="AB47" s="101"/>
      <c r="AC47" s="127" t="e">
        <f>SUMPRODUCT($AA$38:$AB$45,AC38:AD45)/(SUM($AA$38:$AB$45)*5)</f>
        <v>#DIV/0!</v>
      </c>
      <c r="AD47" s="101"/>
      <c r="AE47" s="127" t="e">
        <f>SUMPRODUCT($AA$38:$AB$45,AE38:AF45)/(SUM($AA$38:$AB$45)*5)</f>
        <v>#DIV/0!</v>
      </c>
      <c r="AF47" s="101"/>
      <c r="AG47" s="127" t="e">
        <f>SUMPRODUCT($AA$38:$AB$45,AG38:AH45)/(SUM($AA$38:$AB$45)*5)</f>
        <v>#DIV/0!</v>
      </c>
      <c r="AH47" s="101"/>
      <c r="AI47" s="127" t="e">
        <f>SUMPRODUCT($AA$38:$AB$45,AI38:AJ45)/(SUM($AA$38:$AB$45)*5)</f>
        <v>#DIV/0!</v>
      </c>
      <c r="AJ47" s="101"/>
      <c r="AK47" s="127" t="e">
        <f>SUMPRODUCT($AA$38:$AB$45,AK38:AL45)/(SUM($AA$38:$AB$45)*5)</f>
        <v>#DIV/0!</v>
      </c>
      <c r="AL47" s="101"/>
      <c r="AM47" s="127" t="e">
        <f>SUMPRODUCT($AA$38:$AB$45,AM38:AN45)/(SUM($AA$38:$AB$45)*5)</f>
        <v>#DIV/0!</v>
      </c>
      <c r="AN47" s="101"/>
      <c r="AO47" s="127" t="e">
        <f>SUMPRODUCT($AA$38:$AB$45,AO38:AP45)/(SUM($AA$38:$AB$45)*5)</f>
        <v>#DIV/0!</v>
      </c>
      <c r="AP47" s="101"/>
      <c r="AQ47" s="127" t="e">
        <f>SUMPRODUCT($AA$38:$AB$45,AQ38:AR45)/(SUM($AA$38:$AB$45)*5)</f>
        <v>#DIV/0!</v>
      </c>
      <c r="AR47" s="101"/>
    </row>
    <row r="48" spans="1:44" ht="15.75" customHeight="1" x14ac:dyDescent="0.25">
      <c r="A48" s="105"/>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7"/>
      <c r="AA48" s="105"/>
      <c r="AB48" s="107"/>
      <c r="AC48" s="105"/>
      <c r="AD48" s="107"/>
      <c r="AE48" s="105"/>
      <c r="AF48" s="107"/>
      <c r="AG48" s="105"/>
      <c r="AH48" s="107"/>
      <c r="AI48" s="105"/>
      <c r="AJ48" s="107"/>
      <c r="AK48" s="105"/>
      <c r="AL48" s="107"/>
      <c r="AM48" s="105"/>
      <c r="AN48" s="107"/>
      <c r="AO48" s="105"/>
      <c r="AP48" s="107"/>
      <c r="AQ48" s="105"/>
      <c r="AR48" s="107"/>
    </row>
    <row r="49" spans="1:44" ht="8.25" customHeight="1" x14ac:dyDescent="0.25">
      <c r="A49" s="64"/>
      <c r="B49" s="62"/>
      <c r="C49" s="62"/>
      <c r="D49" s="62"/>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row>
    <row r="50" spans="1:44" ht="15.75" customHeight="1" x14ac:dyDescent="0.25">
      <c r="A50" s="114" t="s">
        <v>94</v>
      </c>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c r="AA50" s="77"/>
      <c r="AB50" s="77"/>
      <c r="AC50" s="128" t="s">
        <v>85</v>
      </c>
      <c r="AD50" s="112"/>
      <c r="AE50" s="112"/>
      <c r="AF50" s="112"/>
      <c r="AG50" s="128" t="s">
        <v>86</v>
      </c>
      <c r="AH50" s="112"/>
      <c r="AI50" s="112"/>
      <c r="AJ50" s="112"/>
      <c r="AK50" s="128" t="s">
        <v>87</v>
      </c>
      <c r="AL50" s="112"/>
      <c r="AM50" s="112"/>
      <c r="AN50" s="112"/>
      <c r="AO50" s="128" t="s">
        <v>88</v>
      </c>
      <c r="AP50" s="112"/>
      <c r="AQ50" s="112"/>
      <c r="AR50" s="112"/>
    </row>
    <row r="51" spans="1:44" ht="8.25" customHeight="1" x14ac:dyDescent="0.25">
      <c r="A51" s="64"/>
      <c r="B51" s="62"/>
      <c r="C51" s="62"/>
      <c r="D51" s="62"/>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row>
    <row r="52" spans="1:44" ht="15.75" customHeight="1" x14ac:dyDescent="0.25">
      <c r="A52" s="64"/>
      <c r="B52" s="62"/>
      <c r="C52" s="62"/>
      <c r="D52" s="62"/>
      <c r="E52" s="58"/>
      <c r="F52" s="58"/>
      <c r="G52" s="58"/>
      <c r="H52" s="58"/>
      <c r="I52" s="58"/>
      <c r="J52" s="58"/>
      <c r="K52" s="58"/>
      <c r="L52" s="58"/>
      <c r="M52" s="58"/>
      <c r="N52" s="58"/>
      <c r="O52" s="58"/>
      <c r="P52" s="58"/>
      <c r="Q52" s="58"/>
      <c r="R52" s="58"/>
      <c r="S52" s="58"/>
      <c r="T52" s="58"/>
      <c r="U52" s="58"/>
      <c r="V52" s="58"/>
      <c r="W52" s="58"/>
      <c r="X52" s="58"/>
      <c r="Y52" s="58"/>
      <c r="Z52" s="78" t="s">
        <v>95</v>
      </c>
      <c r="AA52" s="58"/>
      <c r="AB52" s="79"/>
      <c r="AC52" s="110" t="e">
        <f>AC30*20%+AC47*80%</f>
        <v>#DIV/0!</v>
      </c>
      <c r="AD52" s="101"/>
      <c r="AE52" s="110" t="e">
        <f>AE30*20%+AE47*80%</f>
        <v>#DIV/0!</v>
      </c>
      <c r="AF52" s="101"/>
      <c r="AG52" s="110" t="e">
        <f>AG30*20%+AG47*80%</f>
        <v>#DIV/0!</v>
      </c>
      <c r="AH52" s="101"/>
      <c r="AI52" s="110" t="e">
        <f>AI30*20%+AI47*80%</f>
        <v>#DIV/0!</v>
      </c>
      <c r="AJ52" s="101"/>
      <c r="AK52" s="110" t="e">
        <f>AK30*20%+AK47*80%</f>
        <v>#DIV/0!</v>
      </c>
      <c r="AL52" s="101"/>
      <c r="AM52" s="110" t="e">
        <f>AM30*20%+AM47*80%</f>
        <v>#DIV/0!</v>
      </c>
      <c r="AN52" s="101"/>
      <c r="AO52" s="110" t="e">
        <f>AO30*20%+AO47*80%</f>
        <v>#DIV/0!</v>
      </c>
      <c r="AP52" s="101"/>
      <c r="AQ52" s="110" t="e">
        <f>AQ30*20%+AQ47*80%</f>
        <v>#DIV/0!</v>
      </c>
      <c r="AR52" s="101"/>
    </row>
    <row r="53" spans="1:44" ht="15.75" customHeight="1" x14ac:dyDescent="0.25">
      <c r="A53" s="64"/>
      <c r="B53" s="62"/>
      <c r="C53" s="62"/>
      <c r="D53" s="62"/>
      <c r="E53" s="58"/>
      <c r="F53" s="58"/>
      <c r="G53" s="58"/>
      <c r="H53" s="58"/>
      <c r="I53" s="58"/>
      <c r="J53" s="58"/>
      <c r="K53" s="58"/>
      <c r="L53" s="58"/>
      <c r="M53" s="58"/>
      <c r="N53" s="58"/>
      <c r="O53" s="58"/>
      <c r="P53" s="58"/>
      <c r="Q53" s="58"/>
      <c r="R53" s="58"/>
      <c r="S53" s="58"/>
      <c r="T53" s="58"/>
      <c r="U53" s="58"/>
      <c r="V53" s="58"/>
      <c r="W53" s="58"/>
      <c r="X53" s="58"/>
      <c r="Y53" s="58"/>
      <c r="Z53" s="78"/>
      <c r="AA53" s="78" t="s">
        <v>96</v>
      </c>
      <c r="AB53" s="79"/>
      <c r="AC53" s="105"/>
      <c r="AD53" s="107"/>
      <c r="AE53" s="105"/>
      <c r="AF53" s="107"/>
      <c r="AG53" s="105"/>
      <c r="AH53" s="107"/>
      <c r="AI53" s="105"/>
      <c r="AJ53" s="107"/>
      <c r="AK53" s="105"/>
      <c r="AL53" s="107"/>
      <c r="AM53" s="105"/>
      <c r="AN53" s="107"/>
      <c r="AO53" s="105"/>
      <c r="AP53" s="107"/>
      <c r="AQ53" s="105"/>
      <c r="AR53" s="107"/>
    </row>
    <row r="54" spans="1:44" ht="15.75" customHeight="1" x14ac:dyDescent="0.25">
      <c r="A54" s="64"/>
      <c r="B54" s="62"/>
      <c r="C54" s="62"/>
      <c r="D54" s="62"/>
      <c r="E54" s="58"/>
      <c r="F54" s="58"/>
      <c r="G54" s="58"/>
      <c r="H54" s="58"/>
      <c r="I54" s="58"/>
      <c r="J54" s="58"/>
      <c r="K54" s="58"/>
      <c r="L54" s="58"/>
      <c r="M54" s="58"/>
      <c r="N54" s="58"/>
      <c r="O54" s="58"/>
      <c r="P54" s="58"/>
      <c r="Q54" s="58"/>
      <c r="R54" s="58"/>
      <c r="S54" s="58"/>
      <c r="T54" s="58"/>
      <c r="U54" s="58"/>
      <c r="V54" s="58"/>
      <c r="W54" s="58"/>
      <c r="X54" s="58"/>
      <c r="Y54" s="58"/>
      <c r="Z54" s="78" t="s">
        <v>97</v>
      </c>
      <c r="AA54" s="78"/>
      <c r="AB54" s="79"/>
      <c r="AC54" s="126" t="e">
        <f>IF(AC52&lt;55%,"D",IF(AC52&lt;80%,"C",IF(AC52&lt;90%,"B","A")))</f>
        <v>#DIV/0!</v>
      </c>
      <c r="AD54" s="101"/>
      <c r="AE54" s="126" t="e">
        <f>IF(AE52&lt;55%,"D",IF(AE52&lt;80%,"C",IF(AE52&lt;90%,"B","A")))</f>
        <v>#DIV/0!</v>
      </c>
      <c r="AF54" s="101"/>
      <c r="AG54" s="126" t="e">
        <f>IF(AG52&lt;55%,"D",IF(AG52&lt;80%,"C",IF(AG52&lt;90%,"B","A")))</f>
        <v>#DIV/0!</v>
      </c>
      <c r="AH54" s="101"/>
      <c r="AI54" s="126" t="e">
        <f>IF(AI52&lt;55%,"D",IF(AI52&lt;80%,"C",IF(AI52&lt;90%,"B","A")))</f>
        <v>#DIV/0!</v>
      </c>
      <c r="AJ54" s="101"/>
      <c r="AK54" s="126" t="e">
        <f>IF(AK52&lt;55%,"D",IF(AK52&lt;80%,"C",IF(AK52&lt;90%,"B","A")))</f>
        <v>#DIV/0!</v>
      </c>
      <c r="AL54" s="101"/>
      <c r="AM54" s="126" t="e">
        <f>IF(AM52&lt;55%,"D",IF(AM52&lt;80%,"C",IF(AM52&lt;90%,"B","A")))</f>
        <v>#DIV/0!</v>
      </c>
      <c r="AN54" s="101"/>
      <c r="AO54" s="126" t="e">
        <f>IF(AO52&lt;55%,"D",IF(AO52&lt;80%,"C",IF(AO52&lt;90%,"B","A")))</f>
        <v>#DIV/0!</v>
      </c>
      <c r="AP54" s="101"/>
      <c r="AQ54" s="126" t="e">
        <f>IF(AQ52&lt;55%,"D",IF(AQ52&lt;80%,"C",IF(AQ52&lt;90%,"B","A")))</f>
        <v>#DIV/0!</v>
      </c>
      <c r="AR54" s="101"/>
    </row>
    <row r="55" spans="1:44" ht="15.75" customHeight="1" x14ac:dyDescent="0.25">
      <c r="A55" s="64"/>
      <c r="B55" s="62"/>
      <c r="C55" s="62"/>
      <c r="D55" s="62"/>
      <c r="E55" s="58"/>
      <c r="F55" s="58"/>
      <c r="G55" s="58"/>
      <c r="H55" s="58"/>
      <c r="I55" s="58"/>
      <c r="J55" s="58"/>
      <c r="K55" s="58"/>
      <c r="L55" s="58"/>
      <c r="M55" s="58"/>
      <c r="N55" s="58"/>
      <c r="O55" s="58"/>
      <c r="P55" s="58"/>
      <c r="Q55" s="58"/>
      <c r="R55" s="58"/>
      <c r="S55" s="58"/>
      <c r="T55" s="58"/>
      <c r="U55" s="58"/>
      <c r="V55" s="58"/>
      <c r="W55" s="58"/>
      <c r="X55" s="58"/>
      <c r="Y55" s="58"/>
      <c r="Z55" s="78"/>
      <c r="AA55" s="78" t="s">
        <v>98</v>
      </c>
      <c r="AB55" s="79"/>
      <c r="AC55" s="105"/>
      <c r="AD55" s="107"/>
      <c r="AE55" s="105"/>
      <c r="AF55" s="107"/>
      <c r="AG55" s="105"/>
      <c r="AH55" s="107"/>
      <c r="AI55" s="105"/>
      <c r="AJ55" s="107"/>
      <c r="AK55" s="105"/>
      <c r="AL55" s="107"/>
      <c r="AM55" s="105"/>
      <c r="AN55" s="107"/>
      <c r="AO55" s="105"/>
      <c r="AP55" s="107"/>
      <c r="AQ55" s="105"/>
      <c r="AR55" s="107"/>
    </row>
    <row r="56" spans="1:44" ht="15.75" customHeight="1" x14ac:dyDescent="0.25">
      <c r="A56" s="64"/>
      <c r="B56" s="62"/>
      <c r="C56" s="62"/>
      <c r="D56" s="62"/>
      <c r="E56" s="58"/>
      <c r="F56" s="58"/>
      <c r="G56" s="58"/>
      <c r="H56" s="58"/>
      <c r="I56" s="58"/>
      <c r="J56" s="58"/>
      <c r="K56" s="58"/>
      <c r="L56" s="58"/>
      <c r="M56" s="58"/>
      <c r="N56" s="58"/>
      <c r="O56" s="58"/>
      <c r="P56" s="58"/>
      <c r="Q56" s="58"/>
      <c r="R56" s="58"/>
      <c r="S56" s="58"/>
      <c r="T56" s="58"/>
      <c r="U56" s="58"/>
      <c r="V56" s="58"/>
      <c r="W56" s="58"/>
      <c r="X56" s="58"/>
      <c r="Y56" s="58"/>
      <c r="Z56" s="78" t="s">
        <v>99</v>
      </c>
      <c r="AA56" s="78"/>
      <c r="AB56" s="79"/>
      <c r="AC56" s="126"/>
      <c r="AD56" s="100"/>
      <c r="AE56" s="100"/>
      <c r="AF56" s="101"/>
      <c r="AG56" s="126"/>
      <c r="AH56" s="100"/>
      <c r="AI56" s="100"/>
      <c r="AJ56" s="101"/>
      <c r="AK56" s="126"/>
      <c r="AL56" s="100"/>
      <c r="AM56" s="100"/>
      <c r="AN56" s="101"/>
      <c r="AO56" s="126"/>
      <c r="AP56" s="100"/>
      <c r="AQ56" s="100"/>
      <c r="AR56" s="101"/>
    </row>
    <row r="57" spans="1:44" ht="15.75" customHeight="1" x14ac:dyDescent="0.25">
      <c r="A57" s="64"/>
      <c r="B57" s="62"/>
      <c r="C57" s="62"/>
      <c r="D57" s="62"/>
      <c r="E57" s="58"/>
      <c r="F57" s="58"/>
      <c r="G57" s="58"/>
      <c r="H57" s="58"/>
      <c r="I57" s="58"/>
      <c r="J57" s="58"/>
      <c r="K57" s="58"/>
      <c r="L57" s="58"/>
      <c r="M57" s="58"/>
      <c r="N57" s="58"/>
      <c r="O57" s="58"/>
      <c r="P57" s="58"/>
      <c r="Q57" s="58"/>
      <c r="R57" s="58"/>
      <c r="S57" s="58"/>
      <c r="T57" s="58"/>
      <c r="U57" s="58"/>
      <c r="V57" s="58"/>
      <c r="W57" s="58"/>
      <c r="X57" s="58"/>
      <c r="Y57" s="58"/>
      <c r="Z57" s="78"/>
      <c r="AA57" s="78" t="s">
        <v>100</v>
      </c>
      <c r="AB57" s="79"/>
      <c r="AC57" s="105"/>
      <c r="AD57" s="106"/>
      <c r="AE57" s="106"/>
      <c r="AF57" s="107"/>
      <c r="AG57" s="105"/>
      <c r="AH57" s="106"/>
      <c r="AI57" s="106"/>
      <c r="AJ57" s="107"/>
      <c r="AK57" s="105"/>
      <c r="AL57" s="106"/>
      <c r="AM57" s="106"/>
      <c r="AN57" s="107"/>
      <c r="AO57" s="105"/>
      <c r="AP57" s="106"/>
      <c r="AQ57" s="106"/>
      <c r="AR57" s="107"/>
    </row>
    <row r="58" spans="1:44" ht="15.75" customHeight="1" x14ac:dyDescent="0.25">
      <c r="A58" s="64"/>
      <c r="B58" s="62"/>
      <c r="C58" s="62"/>
      <c r="D58" s="62"/>
      <c r="E58" s="58"/>
      <c r="F58" s="58"/>
      <c r="G58" s="58"/>
      <c r="H58" s="58"/>
      <c r="I58" s="58"/>
      <c r="J58" s="58"/>
      <c r="K58" s="58"/>
      <c r="L58" s="58"/>
      <c r="M58" s="58"/>
      <c r="N58" s="58"/>
      <c r="O58" s="58"/>
      <c r="P58" s="58"/>
      <c r="Q58" s="58"/>
      <c r="R58" s="58"/>
      <c r="S58" s="58"/>
      <c r="T58" s="58"/>
      <c r="U58" s="58"/>
      <c r="V58" s="58"/>
      <c r="W58" s="58"/>
      <c r="X58" s="58"/>
      <c r="Y58" s="58"/>
      <c r="Z58" s="78" t="s">
        <v>101</v>
      </c>
      <c r="AA58" s="78"/>
      <c r="AB58" s="79"/>
      <c r="AC58" s="126"/>
      <c r="AD58" s="100"/>
      <c r="AE58" s="100"/>
      <c r="AF58" s="101"/>
      <c r="AG58" s="126"/>
      <c r="AH58" s="100"/>
      <c r="AI58" s="100"/>
      <c r="AJ58" s="101"/>
      <c r="AK58" s="126"/>
      <c r="AL58" s="100"/>
      <c r="AM58" s="100"/>
      <c r="AN58" s="101"/>
      <c r="AO58" s="126"/>
      <c r="AP58" s="100"/>
      <c r="AQ58" s="100"/>
      <c r="AR58" s="101"/>
    </row>
    <row r="59" spans="1:44" ht="15.75" customHeight="1" x14ac:dyDescent="0.25">
      <c r="A59" s="64"/>
      <c r="B59" s="62"/>
      <c r="C59" s="62"/>
      <c r="D59" s="62"/>
      <c r="E59" s="58"/>
      <c r="F59" s="58"/>
      <c r="G59" s="58"/>
      <c r="H59" s="58"/>
      <c r="I59" s="58"/>
      <c r="J59" s="58"/>
      <c r="K59" s="58"/>
      <c r="L59" s="58"/>
      <c r="M59" s="58"/>
      <c r="N59" s="58"/>
      <c r="O59" s="58"/>
      <c r="P59" s="58"/>
      <c r="Q59" s="58"/>
      <c r="R59" s="58"/>
      <c r="S59" s="58"/>
      <c r="T59" s="58"/>
      <c r="U59" s="58"/>
      <c r="V59" s="58"/>
      <c r="W59" s="58"/>
      <c r="X59" s="58"/>
      <c r="Y59" s="58"/>
      <c r="Z59" s="58"/>
      <c r="AA59" s="78" t="s">
        <v>102</v>
      </c>
      <c r="AB59" s="58"/>
      <c r="AC59" s="105"/>
      <c r="AD59" s="106"/>
      <c r="AE59" s="106"/>
      <c r="AF59" s="107"/>
      <c r="AG59" s="105"/>
      <c r="AH59" s="106"/>
      <c r="AI59" s="106"/>
      <c r="AJ59" s="107"/>
      <c r="AK59" s="105"/>
      <c r="AL59" s="106"/>
      <c r="AM59" s="106"/>
      <c r="AN59" s="107"/>
      <c r="AO59" s="105"/>
      <c r="AP59" s="106"/>
      <c r="AQ59" s="106"/>
      <c r="AR59" s="107"/>
    </row>
    <row r="60" spans="1:44" ht="8.25" customHeight="1" x14ac:dyDescent="0.25">
      <c r="A60" s="64"/>
      <c r="B60" s="62"/>
      <c r="C60" s="62"/>
      <c r="D60" s="62"/>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row>
    <row r="61" spans="1:44" ht="15.75" hidden="1" customHeight="1" x14ac:dyDescent="0.25">
      <c r="A61" s="121" t="s">
        <v>103</v>
      </c>
      <c r="B61" s="112"/>
      <c r="C61" s="112"/>
      <c r="D61" s="112"/>
      <c r="E61" s="112"/>
      <c r="F61" s="112"/>
      <c r="G61" s="112"/>
      <c r="H61" s="112"/>
      <c r="I61" s="112"/>
      <c r="J61" s="112"/>
      <c r="K61" s="112"/>
      <c r="L61" s="112"/>
      <c r="M61" s="112"/>
      <c r="N61" s="112"/>
      <c r="O61" s="112"/>
      <c r="P61" s="112"/>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2"/>
      <c r="AP61" s="112"/>
      <c r="AQ61" s="112"/>
      <c r="AR61" s="112"/>
    </row>
    <row r="62" spans="1:44" ht="8.25" hidden="1" customHeight="1" x14ac:dyDescent="0.25">
      <c r="A62" s="64"/>
      <c r="B62" s="62"/>
      <c r="C62" s="62"/>
      <c r="D62" s="62"/>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row>
    <row r="63" spans="1:44" ht="8.25" hidden="1" customHeight="1" x14ac:dyDescent="0.25">
      <c r="A63" s="64"/>
      <c r="B63" s="62"/>
      <c r="C63" s="62"/>
      <c r="D63" s="62"/>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row>
    <row r="64" spans="1:44" ht="15.75" hidden="1" customHeight="1" x14ac:dyDescent="0.25">
      <c r="A64" s="83"/>
      <c r="B64" s="81"/>
      <c r="C64" s="81"/>
      <c r="D64" s="81" t="s">
        <v>104</v>
      </c>
      <c r="E64" s="82"/>
      <c r="F64" s="82"/>
      <c r="G64" s="82"/>
      <c r="H64" s="82"/>
      <c r="I64" s="82"/>
      <c r="J64" s="82"/>
      <c r="K64" s="82"/>
      <c r="L64" s="82"/>
      <c r="M64" s="82"/>
      <c r="N64" s="82"/>
      <c r="O64" s="82"/>
      <c r="P64" s="82"/>
      <c r="Q64" s="82"/>
      <c r="R64" s="82"/>
      <c r="S64" s="82"/>
      <c r="T64" s="82"/>
      <c r="U64" s="82"/>
      <c r="V64" s="82"/>
      <c r="W64" s="82"/>
      <c r="X64" s="82"/>
      <c r="Y64" s="82"/>
      <c r="Z64" s="82"/>
      <c r="AA64" s="82"/>
      <c r="AB64" s="82"/>
      <c r="AC64" s="82"/>
      <c r="AD64" s="82"/>
      <c r="AE64" s="82"/>
      <c r="AF64" s="82"/>
      <c r="AG64" s="82"/>
      <c r="AH64" s="82"/>
      <c r="AI64" s="82"/>
      <c r="AJ64" s="82"/>
      <c r="AK64" s="82"/>
      <c r="AL64" s="82"/>
      <c r="AM64" s="82"/>
      <c r="AN64" s="82"/>
      <c r="AO64" s="82"/>
      <c r="AP64" s="82"/>
      <c r="AQ64" s="82"/>
      <c r="AR64" s="82"/>
    </row>
    <row r="65" spans="1:44" ht="8.25" hidden="1" customHeight="1" x14ac:dyDescent="0.25">
      <c r="A65" s="64"/>
      <c r="B65" s="62"/>
      <c r="C65" s="62"/>
      <c r="D65" s="62"/>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row>
    <row r="66" spans="1:44" ht="14.25" hidden="1" customHeight="1" x14ac:dyDescent="0.25">
      <c r="A66" s="122" t="s">
        <v>105</v>
      </c>
      <c r="B66" s="124" t="s">
        <v>106</v>
      </c>
      <c r="C66" s="100"/>
      <c r="D66" s="100"/>
      <c r="E66" s="100"/>
      <c r="F66" s="100"/>
      <c r="G66" s="100"/>
      <c r="H66" s="100"/>
      <c r="I66" s="100"/>
      <c r="J66" s="100"/>
      <c r="K66" s="101"/>
      <c r="L66" s="125" t="s">
        <v>107</v>
      </c>
      <c r="M66" s="101"/>
      <c r="N66" s="125" t="s">
        <v>108</v>
      </c>
      <c r="O66" s="101"/>
      <c r="P66" s="124" t="s">
        <v>109</v>
      </c>
      <c r="Q66" s="100"/>
      <c r="R66" s="100"/>
      <c r="S66" s="100"/>
      <c r="T66" s="100"/>
      <c r="U66" s="100"/>
      <c r="V66" s="100"/>
      <c r="W66" s="100"/>
      <c r="X66" s="100"/>
      <c r="Y66" s="100"/>
      <c r="Z66" s="100"/>
      <c r="AA66" s="100"/>
      <c r="AB66" s="100"/>
      <c r="AC66" s="100"/>
      <c r="AD66" s="100"/>
      <c r="AE66" s="100"/>
      <c r="AF66" s="100"/>
      <c r="AG66" s="100"/>
      <c r="AH66" s="100"/>
      <c r="AI66" s="100"/>
      <c r="AJ66" s="101"/>
      <c r="AK66" s="124" t="s">
        <v>110</v>
      </c>
      <c r="AL66" s="100"/>
      <c r="AM66" s="100"/>
      <c r="AN66" s="100"/>
      <c r="AO66" s="100"/>
      <c r="AP66" s="100"/>
      <c r="AQ66" s="100"/>
      <c r="AR66" s="101"/>
    </row>
    <row r="67" spans="1:44" ht="15" hidden="1" customHeight="1" x14ac:dyDescent="0.25">
      <c r="A67" s="123"/>
      <c r="B67" s="102"/>
      <c r="C67" s="103"/>
      <c r="D67" s="103"/>
      <c r="E67" s="103"/>
      <c r="F67" s="103"/>
      <c r="G67" s="103"/>
      <c r="H67" s="103"/>
      <c r="I67" s="103"/>
      <c r="J67" s="103"/>
      <c r="K67" s="104"/>
      <c r="L67" s="102"/>
      <c r="M67" s="104"/>
      <c r="N67" s="102"/>
      <c r="O67" s="104"/>
      <c r="P67" s="102"/>
      <c r="Q67" s="103"/>
      <c r="R67" s="103"/>
      <c r="S67" s="103"/>
      <c r="T67" s="103"/>
      <c r="U67" s="103"/>
      <c r="V67" s="103"/>
      <c r="W67" s="103"/>
      <c r="X67" s="103"/>
      <c r="Y67" s="103"/>
      <c r="Z67" s="103"/>
      <c r="AA67" s="103"/>
      <c r="AB67" s="103"/>
      <c r="AC67" s="103"/>
      <c r="AD67" s="103"/>
      <c r="AE67" s="103"/>
      <c r="AF67" s="103"/>
      <c r="AG67" s="103"/>
      <c r="AH67" s="103"/>
      <c r="AI67" s="103"/>
      <c r="AJ67" s="104"/>
      <c r="AK67" s="102"/>
      <c r="AL67" s="103"/>
      <c r="AM67" s="103"/>
      <c r="AN67" s="103"/>
      <c r="AO67" s="103"/>
      <c r="AP67" s="103"/>
      <c r="AQ67" s="103"/>
      <c r="AR67" s="104"/>
    </row>
    <row r="68" spans="1:44" ht="15.75" hidden="1" customHeight="1" x14ac:dyDescent="0.25">
      <c r="A68" s="119"/>
      <c r="B68" s="105"/>
      <c r="C68" s="106"/>
      <c r="D68" s="106"/>
      <c r="E68" s="106"/>
      <c r="F68" s="106"/>
      <c r="G68" s="106"/>
      <c r="H68" s="106"/>
      <c r="I68" s="106"/>
      <c r="J68" s="106"/>
      <c r="K68" s="107"/>
      <c r="L68" s="105"/>
      <c r="M68" s="107"/>
      <c r="N68" s="105"/>
      <c r="O68" s="107"/>
      <c r="P68" s="105"/>
      <c r="Q68" s="106"/>
      <c r="R68" s="106"/>
      <c r="S68" s="106"/>
      <c r="T68" s="106"/>
      <c r="U68" s="106"/>
      <c r="V68" s="106"/>
      <c r="W68" s="106"/>
      <c r="X68" s="106"/>
      <c r="Y68" s="106"/>
      <c r="Z68" s="106"/>
      <c r="AA68" s="106"/>
      <c r="AB68" s="106"/>
      <c r="AC68" s="106"/>
      <c r="AD68" s="106"/>
      <c r="AE68" s="106"/>
      <c r="AF68" s="106"/>
      <c r="AG68" s="106"/>
      <c r="AH68" s="106"/>
      <c r="AI68" s="106"/>
      <c r="AJ68" s="107"/>
      <c r="AK68" s="105"/>
      <c r="AL68" s="106"/>
      <c r="AM68" s="106"/>
      <c r="AN68" s="106"/>
      <c r="AO68" s="106"/>
      <c r="AP68" s="106"/>
      <c r="AQ68" s="106"/>
      <c r="AR68" s="107"/>
    </row>
    <row r="69" spans="1:44" ht="15.75" hidden="1" customHeight="1" x14ac:dyDescent="0.25">
      <c r="A69" s="118">
        <v>1</v>
      </c>
      <c r="B69" s="99" t="s">
        <v>111</v>
      </c>
      <c r="C69" s="100"/>
      <c r="D69" s="100"/>
      <c r="E69" s="100"/>
      <c r="F69" s="100"/>
      <c r="G69" s="100"/>
      <c r="H69" s="100"/>
      <c r="I69" s="100"/>
      <c r="J69" s="100"/>
      <c r="K69" s="101"/>
      <c r="L69" s="120">
        <v>2</v>
      </c>
      <c r="M69" s="101"/>
      <c r="N69" s="120"/>
      <c r="O69" s="101"/>
      <c r="P69" s="99"/>
      <c r="Q69" s="100"/>
      <c r="R69" s="100"/>
      <c r="S69" s="100"/>
      <c r="T69" s="100"/>
      <c r="U69" s="100"/>
      <c r="V69" s="100"/>
      <c r="W69" s="100"/>
      <c r="X69" s="100"/>
      <c r="Y69" s="100"/>
      <c r="Z69" s="100"/>
      <c r="AA69" s="100"/>
      <c r="AB69" s="100"/>
      <c r="AC69" s="100"/>
      <c r="AD69" s="100"/>
      <c r="AE69" s="100"/>
      <c r="AF69" s="100"/>
      <c r="AG69" s="100"/>
      <c r="AH69" s="100"/>
      <c r="AI69" s="100"/>
      <c r="AJ69" s="101"/>
      <c r="AK69" s="99"/>
      <c r="AL69" s="100"/>
      <c r="AM69" s="100"/>
      <c r="AN69" s="100"/>
      <c r="AO69" s="100"/>
      <c r="AP69" s="100"/>
      <c r="AQ69" s="100"/>
      <c r="AR69" s="101"/>
    </row>
    <row r="70" spans="1:44" ht="15.75" hidden="1" customHeight="1" x14ac:dyDescent="0.25">
      <c r="A70" s="119"/>
      <c r="B70" s="105"/>
      <c r="C70" s="106"/>
      <c r="D70" s="106"/>
      <c r="E70" s="106"/>
      <c r="F70" s="106"/>
      <c r="G70" s="106"/>
      <c r="H70" s="106"/>
      <c r="I70" s="106"/>
      <c r="J70" s="106"/>
      <c r="K70" s="107"/>
      <c r="L70" s="105"/>
      <c r="M70" s="107"/>
      <c r="N70" s="105"/>
      <c r="O70" s="107"/>
      <c r="P70" s="105"/>
      <c r="Q70" s="106"/>
      <c r="R70" s="106"/>
      <c r="S70" s="106"/>
      <c r="T70" s="106"/>
      <c r="U70" s="106"/>
      <c r="V70" s="106"/>
      <c r="W70" s="106"/>
      <c r="X70" s="106"/>
      <c r="Y70" s="106"/>
      <c r="Z70" s="106"/>
      <c r="AA70" s="106"/>
      <c r="AB70" s="106"/>
      <c r="AC70" s="106"/>
      <c r="AD70" s="106"/>
      <c r="AE70" s="106"/>
      <c r="AF70" s="106"/>
      <c r="AG70" s="106"/>
      <c r="AH70" s="106"/>
      <c r="AI70" s="106"/>
      <c r="AJ70" s="107"/>
      <c r="AK70" s="105"/>
      <c r="AL70" s="106"/>
      <c r="AM70" s="106"/>
      <c r="AN70" s="106"/>
      <c r="AO70" s="106"/>
      <c r="AP70" s="106"/>
      <c r="AQ70" s="106"/>
      <c r="AR70" s="107"/>
    </row>
    <row r="71" spans="1:44" ht="15.75" hidden="1" customHeight="1" x14ac:dyDescent="0.25">
      <c r="A71" s="118">
        <v>2</v>
      </c>
      <c r="B71" s="99" t="s">
        <v>112</v>
      </c>
      <c r="C71" s="100"/>
      <c r="D71" s="100"/>
      <c r="E71" s="100"/>
      <c r="F71" s="100"/>
      <c r="G71" s="100"/>
      <c r="H71" s="100"/>
      <c r="I71" s="100"/>
      <c r="J71" s="100"/>
      <c r="K71" s="101"/>
      <c r="L71" s="120">
        <v>1</v>
      </c>
      <c r="M71" s="101"/>
      <c r="N71" s="120"/>
      <c r="O71" s="101"/>
      <c r="P71" s="99"/>
      <c r="Q71" s="100"/>
      <c r="R71" s="100"/>
      <c r="S71" s="100"/>
      <c r="T71" s="100"/>
      <c r="U71" s="100"/>
      <c r="V71" s="100"/>
      <c r="W71" s="100"/>
      <c r="X71" s="100"/>
      <c r="Y71" s="100"/>
      <c r="Z71" s="100"/>
      <c r="AA71" s="100"/>
      <c r="AB71" s="100"/>
      <c r="AC71" s="100"/>
      <c r="AD71" s="100"/>
      <c r="AE71" s="100"/>
      <c r="AF71" s="100"/>
      <c r="AG71" s="100"/>
      <c r="AH71" s="100"/>
      <c r="AI71" s="100"/>
      <c r="AJ71" s="101"/>
      <c r="AK71" s="99"/>
      <c r="AL71" s="100"/>
      <c r="AM71" s="100"/>
      <c r="AN71" s="100"/>
      <c r="AO71" s="100"/>
      <c r="AP71" s="100"/>
      <c r="AQ71" s="100"/>
      <c r="AR71" s="101"/>
    </row>
    <row r="72" spans="1:44" ht="15.75" hidden="1" customHeight="1" x14ac:dyDescent="0.25">
      <c r="A72" s="119"/>
      <c r="B72" s="105"/>
      <c r="C72" s="106"/>
      <c r="D72" s="106"/>
      <c r="E72" s="106"/>
      <c r="F72" s="106"/>
      <c r="G72" s="106"/>
      <c r="H72" s="106"/>
      <c r="I72" s="106"/>
      <c r="J72" s="106"/>
      <c r="K72" s="107"/>
      <c r="L72" s="105"/>
      <c r="M72" s="107"/>
      <c r="N72" s="105"/>
      <c r="O72" s="107"/>
      <c r="P72" s="105"/>
      <c r="Q72" s="106"/>
      <c r="R72" s="106"/>
      <c r="S72" s="106"/>
      <c r="T72" s="106"/>
      <c r="U72" s="106"/>
      <c r="V72" s="106"/>
      <c r="W72" s="106"/>
      <c r="X72" s="106"/>
      <c r="Y72" s="106"/>
      <c r="Z72" s="106"/>
      <c r="AA72" s="106"/>
      <c r="AB72" s="106"/>
      <c r="AC72" s="106"/>
      <c r="AD72" s="106"/>
      <c r="AE72" s="106"/>
      <c r="AF72" s="106"/>
      <c r="AG72" s="106"/>
      <c r="AH72" s="106"/>
      <c r="AI72" s="106"/>
      <c r="AJ72" s="107"/>
      <c r="AK72" s="105"/>
      <c r="AL72" s="106"/>
      <c r="AM72" s="106"/>
      <c r="AN72" s="106"/>
      <c r="AO72" s="106"/>
      <c r="AP72" s="106"/>
      <c r="AQ72" s="106"/>
      <c r="AR72" s="107"/>
    </row>
    <row r="73" spans="1:44" ht="15.75" hidden="1" customHeight="1" x14ac:dyDescent="0.25">
      <c r="A73" s="118">
        <v>3</v>
      </c>
      <c r="B73" s="99" t="s">
        <v>113</v>
      </c>
      <c r="C73" s="100"/>
      <c r="D73" s="100"/>
      <c r="E73" s="100"/>
      <c r="F73" s="100"/>
      <c r="G73" s="100"/>
      <c r="H73" s="100"/>
      <c r="I73" s="100"/>
      <c r="J73" s="100"/>
      <c r="K73" s="101"/>
      <c r="L73" s="120">
        <v>1</v>
      </c>
      <c r="M73" s="101"/>
      <c r="N73" s="120"/>
      <c r="O73" s="101"/>
      <c r="P73" s="99"/>
      <c r="Q73" s="100"/>
      <c r="R73" s="100"/>
      <c r="S73" s="100"/>
      <c r="T73" s="100"/>
      <c r="U73" s="100"/>
      <c r="V73" s="100"/>
      <c r="W73" s="100"/>
      <c r="X73" s="100"/>
      <c r="Y73" s="100"/>
      <c r="Z73" s="100"/>
      <c r="AA73" s="100"/>
      <c r="AB73" s="100"/>
      <c r="AC73" s="100"/>
      <c r="AD73" s="100"/>
      <c r="AE73" s="100"/>
      <c r="AF73" s="100"/>
      <c r="AG73" s="100"/>
      <c r="AH73" s="100"/>
      <c r="AI73" s="100"/>
      <c r="AJ73" s="101"/>
      <c r="AK73" s="99"/>
      <c r="AL73" s="100"/>
      <c r="AM73" s="100"/>
      <c r="AN73" s="100"/>
      <c r="AO73" s="100"/>
      <c r="AP73" s="100"/>
      <c r="AQ73" s="100"/>
      <c r="AR73" s="101"/>
    </row>
    <row r="74" spans="1:44" ht="15.75" hidden="1" customHeight="1" x14ac:dyDescent="0.25">
      <c r="A74" s="119"/>
      <c r="B74" s="105"/>
      <c r="C74" s="106"/>
      <c r="D74" s="106"/>
      <c r="E74" s="106"/>
      <c r="F74" s="106"/>
      <c r="G74" s="106"/>
      <c r="H74" s="106"/>
      <c r="I74" s="106"/>
      <c r="J74" s="106"/>
      <c r="K74" s="107"/>
      <c r="L74" s="105"/>
      <c r="M74" s="107"/>
      <c r="N74" s="105"/>
      <c r="O74" s="107"/>
      <c r="P74" s="105"/>
      <c r="Q74" s="106"/>
      <c r="R74" s="106"/>
      <c r="S74" s="106"/>
      <c r="T74" s="106"/>
      <c r="U74" s="106"/>
      <c r="V74" s="106"/>
      <c r="W74" s="106"/>
      <c r="X74" s="106"/>
      <c r="Y74" s="106"/>
      <c r="Z74" s="106"/>
      <c r="AA74" s="106"/>
      <c r="AB74" s="106"/>
      <c r="AC74" s="106"/>
      <c r="AD74" s="106"/>
      <c r="AE74" s="106"/>
      <c r="AF74" s="106"/>
      <c r="AG74" s="106"/>
      <c r="AH74" s="106"/>
      <c r="AI74" s="106"/>
      <c r="AJ74" s="107"/>
      <c r="AK74" s="105"/>
      <c r="AL74" s="106"/>
      <c r="AM74" s="106"/>
      <c r="AN74" s="106"/>
      <c r="AO74" s="106"/>
      <c r="AP74" s="106"/>
      <c r="AQ74" s="106"/>
      <c r="AR74" s="107"/>
    </row>
    <row r="75" spans="1:44" ht="15.75" hidden="1" customHeight="1" x14ac:dyDescent="0.25">
      <c r="A75" s="118">
        <v>4</v>
      </c>
      <c r="B75" s="99" t="s">
        <v>114</v>
      </c>
      <c r="C75" s="100"/>
      <c r="D75" s="100"/>
      <c r="E75" s="100"/>
      <c r="F75" s="100"/>
      <c r="G75" s="100"/>
      <c r="H75" s="100"/>
      <c r="I75" s="100"/>
      <c r="J75" s="100"/>
      <c r="K75" s="101"/>
      <c r="L75" s="120">
        <v>2</v>
      </c>
      <c r="M75" s="101"/>
      <c r="N75" s="120"/>
      <c r="O75" s="101"/>
      <c r="P75" s="99"/>
      <c r="Q75" s="100"/>
      <c r="R75" s="100"/>
      <c r="S75" s="100"/>
      <c r="T75" s="100"/>
      <c r="U75" s="100"/>
      <c r="V75" s="100"/>
      <c r="W75" s="100"/>
      <c r="X75" s="100"/>
      <c r="Y75" s="100"/>
      <c r="Z75" s="100"/>
      <c r="AA75" s="100"/>
      <c r="AB75" s="100"/>
      <c r="AC75" s="100"/>
      <c r="AD75" s="100"/>
      <c r="AE75" s="100"/>
      <c r="AF75" s="100"/>
      <c r="AG75" s="100"/>
      <c r="AH75" s="100"/>
      <c r="AI75" s="100"/>
      <c r="AJ75" s="101"/>
      <c r="AK75" s="99"/>
      <c r="AL75" s="100"/>
      <c r="AM75" s="100"/>
      <c r="AN75" s="100"/>
      <c r="AO75" s="100"/>
      <c r="AP75" s="100"/>
      <c r="AQ75" s="100"/>
      <c r="AR75" s="101"/>
    </row>
    <row r="76" spans="1:44" ht="15.75" hidden="1" customHeight="1" x14ac:dyDescent="0.25">
      <c r="A76" s="119"/>
      <c r="B76" s="105"/>
      <c r="C76" s="106"/>
      <c r="D76" s="106"/>
      <c r="E76" s="106"/>
      <c r="F76" s="106"/>
      <c r="G76" s="106"/>
      <c r="H76" s="106"/>
      <c r="I76" s="106"/>
      <c r="J76" s="106"/>
      <c r="K76" s="107"/>
      <c r="L76" s="105"/>
      <c r="M76" s="107"/>
      <c r="N76" s="105"/>
      <c r="O76" s="107"/>
      <c r="P76" s="105"/>
      <c r="Q76" s="106"/>
      <c r="R76" s="106"/>
      <c r="S76" s="106"/>
      <c r="T76" s="106"/>
      <c r="U76" s="106"/>
      <c r="V76" s="106"/>
      <c r="W76" s="106"/>
      <c r="X76" s="106"/>
      <c r="Y76" s="106"/>
      <c r="Z76" s="106"/>
      <c r="AA76" s="106"/>
      <c r="AB76" s="106"/>
      <c r="AC76" s="106"/>
      <c r="AD76" s="106"/>
      <c r="AE76" s="106"/>
      <c r="AF76" s="106"/>
      <c r="AG76" s="106"/>
      <c r="AH76" s="106"/>
      <c r="AI76" s="106"/>
      <c r="AJ76" s="107"/>
      <c r="AK76" s="105"/>
      <c r="AL76" s="106"/>
      <c r="AM76" s="106"/>
      <c r="AN76" s="106"/>
      <c r="AO76" s="106"/>
      <c r="AP76" s="106"/>
      <c r="AQ76" s="106"/>
      <c r="AR76" s="107"/>
    </row>
    <row r="77" spans="1:44" ht="14.25" hidden="1" customHeight="1" x14ac:dyDescent="0.25">
      <c r="A77" s="115" t="s">
        <v>115</v>
      </c>
      <c r="B77" s="100"/>
      <c r="C77" s="100"/>
      <c r="D77" s="100"/>
      <c r="E77" s="100"/>
      <c r="F77" s="100"/>
      <c r="G77" s="100"/>
      <c r="H77" s="100"/>
      <c r="I77" s="100"/>
      <c r="J77" s="100"/>
      <c r="K77" s="100"/>
      <c r="L77" s="100"/>
      <c r="M77" s="101"/>
      <c r="N77" s="116">
        <f>SUM(N69:O76)/SUM($L$69:$M$76)</f>
        <v>0</v>
      </c>
      <c r="O77" s="101"/>
      <c r="P77" s="117" t="str">
        <f>IF(AND(N77&gt;0%,N77&lt;85%),"KHÔNG ĐẠT",IF(AND(N77&gt;=85%),"ĐẠT",IF(AND(N77=0),"N/A")))</f>
        <v>N/A</v>
      </c>
      <c r="Q77" s="100"/>
      <c r="R77" s="100"/>
      <c r="S77" s="100"/>
      <c r="T77" s="100"/>
      <c r="U77" s="100"/>
      <c r="V77" s="100"/>
      <c r="W77" s="100"/>
      <c r="X77" s="100"/>
      <c r="Y77" s="100"/>
      <c r="Z77" s="100"/>
      <c r="AA77" s="100"/>
      <c r="AB77" s="100"/>
      <c r="AC77" s="100"/>
      <c r="AD77" s="100"/>
      <c r="AE77" s="100"/>
      <c r="AF77" s="100"/>
      <c r="AG77" s="100"/>
      <c r="AH77" s="100"/>
      <c r="AI77" s="100"/>
      <c r="AJ77" s="101"/>
      <c r="AK77" s="117"/>
      <c r="AL77" s="100"/>
      <c r="AM77" s="100"/>
      <c r="AN77" s="100"/>
      <c r="AO77" s="100"/>
      <c r="AP77" s="100"/>
      <c r="AQ77" s="100"/>
      <c r="AR77" s="101"/>
    </row>
    <row r="78" spans="1:44" ht="14.25" hidden="1" customHeight="1" x14ac:dyDescent="0.25">
      <c r="A78" s="105"/>
      <c r="B78" s="106"/>
      <c r="C78" s="106"/>
      <c r="D78" s="106"/>
      <c r="E78" s="106"/>
      <c r="F78" s="106"/>
      <c r="G78" s="106"/>
      <c r="H78" s="106"/>
      <c r="I78" s="106"/>
      <c r="J78" s="106"/>
      <c r="K78" s="106"/>
      <c r="L78" s="106"/>
      <c r="M78" s="107"/>
      <c r="N78" s="105"/>
      <c r="O78" s="107"/>
      <c r="P78" s="105"/>
      <c r="Q78" s="106"/>
      <c r="R78" s="106"/>
      <c r="S78" s="106"/>
      <c r="T78" s="106"/>
      <c r="U78" s="106"/>
      <c r="V78" s="106"/>
      <c r="W78" s="106"/>
      <c r="X78" s="106"/>
      <c r="Y78" s="106"/>
      <c r="Z78" s="106"/>
      <c r="AA78" s="106"/>
      <c r="AB78" s="106"/>
      <c r="AC78" s="106"/>
      <c r="AD78" s="106"/>
      <c r="AE78" s="106"/>
      <c r="AF78" s="106"/>
      <c r="AG78" s="106"/>
      <c r="AH78" s="106"/>
      <c r="AI78" s="106"/>
      <c r="AJ78" s="107"/>
      <c r="AK78" s="105"/>
      <c r="AL78" s="106"/>
      <c r="AM78" s="106"/>
      <c r="AN78" s="106"/>
      <c r="AO78" s="106"/>
      <c r="AP78" s="106"/>
      <c r="AQ78" s="106"/>
      <c r="AR78" s="107"/>
    </row>
    <row r="79" spans="1:44" ht="8.25" hidden="1" customHeight="1" x14ac:dyDescent="0.25">
      <c r="A79" s="64"/>
      <c r="B79" s="62"/>
      <c r="C79" s="62"/>
      <c r="D79" s="62"/>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row>
    <row r="80" spans="1:44" ht="15.75" customHeight="1" x14ac:dyDescent="0.25">
      <c r="A80" s="83" t="s">
        <v>2</v>
      </c>
      <c r="B80" s="81"/>
      <c r="C80" s="81"/>
      <c r="D80" s="81" t="s">
        <v>116</v>
      </c>
      <c r="E80" s="82"/>
      <c r="F80" s="82"/>
      <c r="G80" s="82"/>
      <c r="H80" s="82"/>
      <c r="I80" s="82"/>
      <c r="J80" s="82"/>
      <c r="K80" s="82"/>
      <c r="L80" s="82"/>
      <c r="M80" s="82"/>
      <c r="N80" s="82"/>
      <c r="O80" s="82"/>
      <c r="P80" s="82"/>
      <c r="Q80" s="82"/>
      <c r="R80" s="82"/>
      <c r="S80" s="82"/>
      <c r="T80" s="82"/>
      <c r="U80" s="82"/>
      <c r="V80" s="82"/>
      <c r="W80" s="82"/>
      <c r="X80" s="82"/>
      <c r="Y80" s="82"/>
      <c r="Z80" s="82"/>
      <c r="AA80" s="82"/>
      <c r="AB80" s="82"/>
      <c r="AC80" s="82"/>
      <c r="AD80" s="82"/>
      <c r="AE80" s="82"/>
      <c r="AF80" s="82"/>
      <c r="AG80" s="82"/>
      <c r="AH80" s="82"/>
      <c r="AI80" s="82"/>
      <c r="AJ80" s="82"/>
      <c r="AK80" s="82"/>
      <c r="AL80" s="82"/>
      <c r="AM80" s="82"/>
      <c r="AN80" s="82"/>
      <c r="AO80" s="82"/>
      <c r="AP80" s="82"/>
      <c r="AQ80" s="82"/>
      <c r="AR80" s="82"/>
    </row>
    <row r="81" spans="1:44" ht="8.25" customHeight="1" x14ac:dyDescent="0.25">
      <c r="A81" s="64"/>
      <c r="B81" s="62"/>
      <c r="C81" s="62"/>
      <c r="D81" s="62"/>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row>
    <row r="82" spans="1:44" ht="15" customHeight="1" x14ac:dyDescent="0.25">
      <c r="A82" s="113" t="s">
        <v>117</v>
      </c>
      <c r="B82" s="97"/>
      <c r="C82" s="97"/>
      <c r="D82" s="97"/>
      <c r="E82" s="97"/>
      <c r="F82" s="97"/>
      <c r="G82" s="97"/>
      <c r="H82" s="97"/>
      <c r="I82" s="97"/>
      <c r="J82" s="97"/>
      <c r="K82" s="97"/>
      <c r="L82" s="97"/>
      <c r="M82" s="97"/>
      <c r="N82" s="97"/>
      <c r="O82" s="98"/>
      <c r="P82" s="113" t="s">
        <v>118</v>
      </c>
      <c r="Q82" s="97"/>
      <c r="R82" s="97"/>
      <c r="S82" s="97"/>
      <c r="T82" s="97"/>
      <c r="U82" s="97"/>
      <c r="V82" s="97"/>
      <c r="W82" s="97"/>
      <c r="X82" s="97"/>
      <c r="Y82" s="97"/>
      <c r="Z82" s="97"/>
      <c r="AA82" s="97"/>
      <c r="AB82" s="97"/>
      <c r="AC82" s="97"/>
      <c r="AD82" s="98"/>
      <c r="AE82" s="113" t="s">
        <v>119</v>
      </c>
      <c r="AF82" s="97"/>
      <c r="AG82" s="97"/>
      <c r="AH82" s="97"/>
      <c r="AI82" s="97"/>
      <c r="AJ82" s="97"/>
      <c r="AK82" s="97"/>
      <c r="AL82" s="97"/>
      <c r="AM82" s="97"/>
      <c r="AN82" s="97"/>
      <c r="AO82" s="97"/>
      <c r="AP82" s="97"/>
      <c r="AQ82" s="97"/>
      <c r="AR82" s="98"/>
    </row>
    <row r="83" spans="1:44" ht="15.75" customHeight="1" x14ac:dyDescent="0.25">
      <c r="A83" s="99"/>
      <c r="B83" s="100"/>
      <c r="C83" s="100"/>
      <c r="D83" s="100"/>
      <c r="E83" s="100"/>
      <c r="F83" s="100"/>
      <c r="G83" s="100"/>
      <c r="H83" s="100"/>
      <c r="I83" s="100"/>
      <c r="J83" s="100"/>
      <c r="K83" s="100"/>
      <c r="L83" s="100"/>
      <c r="M83" s="100"/>
      <c r="N83" s="100"/>
      <c r="O83" s="101"/>
      <c r="P83" s="99"/>
      <c r="Q83" s="100"/>
      <c r="R83" s="100"/>
      <c r="S83" s="100"/>
      <c r="T83" s="100"/>
      <c r="U83" s="100"/>
      <c r="V83" s="100"/>
      <c r="W83" s="100"/>
      <c r="X83" s="100"/>
      <c r="Y83" s="100"/>
      <c r="Z83" s="100"/>
      <c r="AA83" s="100"/>
      <c r="AB83" s="100"/>
      <c r="AC83" s="100"/>
      <c r="AD83" s="101"/>
      <c r="AE83" s="99"/>
      <c r="AF83" s="100"/>
      <c r="AG83" s="100"/>
      <c r="AH83" s="100"/>
      <c r="AI83" s="100"/>
      <c r="AJ83" s="100"/>
      <c r="AK83" s="100"/>
      <c r="AL83" s="100"/>
      <c r="AM83" s="100"/>
      <c r="AN83" s="100"/>
      <c r="AO83" s="100"/>
      <c r="AP83" s="100"/>
      <c r="AQ83" s="100"/>
      <c r="AR83" s="101"/>
    </row>
    <row r="84" spans="1:44" ht="15.75" customHeight="1" x14ac:dyDescent="0.25">
      <c r="A84" s="102"/>
      <c r="B84" s="103"/>
      <c r="C84" s="103"/>
      <c r="D84" s="103"/>
      <c r="E84" s="103"/>
      <c r="F84" s="103"/>
      <c r="G84" s="103"/>
      <c r="H84" s="103"/>
      <c r="I84" s="103"/>
      <c r="J84" s="103"/>
      <c r="K84" s="103"/>
      <c r="L84" s="103"/>
      <c r="M84" s="103"/>
      <c r="N84" s="103"/>
      <c r="O84" s="104"/>
      <c r="P84" s="102"/>
      <c r="Q84" s="103"/>
      <c r="R84" s="103"/>
      <c r="S84" s="103"/>
      <c r="T84" s="103"/>
      <c r="U84" s="103"/>
      <c r="V84" s="103"/>
      <c r="W84" s="103"/>
      <c r="X84" s="103"/>
      <c r="Y84" s="103"/>
      <c r="Z84" s="103"/>
      <c r="AA84" s="103"/>
      <c r="AB84" s="103"/>
      <c r="AC84" s="103"/>
      <c r="AD84" s="104"/>
      <c r="AE84" s="102"/>
      <c r="AF84" s="103"/>
      <c r="AG84" s="103"/>
      <c r="AH84" s="103"/>
      <c r="AI84" s="103"/>
      <c r="AJ84" s="103"/>
      <c r="AK84" s="103"/>
      <c r="AL84" s="103"/>
      <c r="AM84" s="103"/>
      <c r="AN84" s="103"/>
      <c r="AO84" s="103"/>
      <c r="AP84" s="103"/>
      <c r="AQ84" s="103"/>
      <c r="AR84" s="104"/>
    </row>
    <row r="85" spans="1:44" ht="15.75" customHeight="1" x14ac:dyDescent="0.25">
      <c r="A85" s="102"/>
      <c r="B85" s="103"/>
      <c r="C85" s="103"/>
      <c r="D85" s="103"/>
      <c r="E85" s="103"/>
      <c r="F85" s="103"/>
      <c r="G85" s="103"/>
      <c r="H85" s="103"/>
      <c r="I85" s="103"/>
      <c r="J85" s="103"/>
      <c r="K85" s="103"/>
      <c r="L85" s="103"/>
      <c r="M85" s="103"/>
      <c r="N85" s="103"/>
      <c r="O85" s="104"/>
      <c r="P85" s="102"/>
      <c r="Q85" s="103"/>
      <c r="R85" s="103"/>
      <c r="S85" s="103"/>
      <c r="T85" s="103"/>
      <c r="U85" s="103"/>
      <c r="V85" s="103"/>
      <c r="W85" s="103"/>
      <c r="X85" s="103"/>
      <c r="Y85" s="103"/>
      <c r="Z85" s="103"/>
      <c r="AA85" s="103"/>
      <c r="AB85" s="103"/>
      <c r="AC85" s="103"/>
      <c r="AD85" s="104"/>
      <c r="AE85" s="102"/>
      <c r="AF85" s="103"/>
      <c r="AG85" s="103"/>
      <c r="AH85" s="103"/>
      <c r="AI85" s="103"/>
      <c r="AJ85" s="103"/>
      <c r="AK85" s="103"/>
      <c r="AL85" s="103"/>
      <c r="AM85" s="103"/>
      <c r="AN85" s="103"/>
      <c r="AO85" s="103"/>
      <c r="AP85" s="103"/>
      <c r="AQ85" s="103"/>
      <c r="AR85" s="104"/>
    </row>
    <row r="86" spans="1:44" ht="15.75" customHeight="1" x14ac:dyDescent="0.25">
      <c r="A86" s="102"/>
      <c r="B86" s="103"/>
      <c r="C86" s="103"/>
      <c r="D86" s="103"/>
      <c r="E86" s="103"/>
      <c r="F86" s="103"/>
      <c r="G86" s="103"/>
      <c r="H86" s="103"/>
      <c r="I86" s="103"/>
      <c r="J86" s="103"/>
      <c r="K86" s="103"/>
      <c r="L86" s="103"/>
      <c r="M86" s="103"/>
      <c r="N86" s="103"/>
      <c r="O86" s="104"/>
      <c r="P86" s="102"/>
      <c r="Q86" s="103"/>
      <c r="R86" s="103"/>
      <c r="S86" s="103"/>
      <c r="T86" s="103"/>
      <c r="U86" s="103"/>
      <c r="V86" s="103"/>
      <c r="W86" s="103"/>
      <c r="X86" s="103"/>
      <c r="Y86" s="103"/>
      <c r="Z86" s="103"/>
      <c r="AA86" s="103"/>
      <c r="AB86" s="103"/>
      <c r="AC86" s="103"/>
      <c r="AD86" s="104"/>
      <c r="AE86" s="102"/>
      <c r="AF86" s="103"/>
      <c r="AG86" s="103"/>
      <c r="AH86" s="103"/>
      <c r="AI86" s="103"/>
      <c r="AJ86" s="103"/>
      <c r="AK86" s="103"/>
      <c r="AL86" s="103"/>
      <c r="AM86" s="103"/>
      <c r="AN86" s="103"/>
      <c r="AO86" s="103"/>
      <c r="AP86" s="103"/>
      <c r="AQ86" s="103"/>
      <c r="AR86" s="104"/>
    </row>
    <row r="87" spans="1:44" ht="15.75" customHeight="1" x14ac:dyDescent="0.25">
      <c r="A87" s="102"/>
      <c r="B87" s="103"/>
      <c r="C87" s="103"/>
      <c r="D87" s="103"/>
      <c r="E87" s="103"/>
      <c r="F87" s="103"/>
      <c r="G87" s="103"/>
      <c r="H87" s="103"/>
      <c r="I87" s="103"/>
      <c r="J87" s="103"/>
      <c r="K87" s="103"/>
      <c r="L87" s="103"/>
      <c r="M87" s="103"/>
      <c r="N87" s="103"/>
      <c r="O87" s="104"/>
      <c r="P87" s="102"/>
      <c r="Q87" s="103"/>
      <c r="R87" s="103"/>
      <c r="S87" s="103"/>
      <c r="T87" s="103"/>
      <c r="U87" s="103"/>
      <c r="V87" s="103"/>
      <c r="W87" s="103"/>
      <c r="X87" s="103"/>
      <c r="Y87" s="103"/>
      <c r="Z87" s="103"/>
      <c r="AA87" s="103"/>
      <c r="AB87" s="103"/>
      <c r="AC87" s="103"/>
      <c r="AD87" s="104"/>
      <c r="AE87" s="102"/>
      <c r="AF87" s="103"/>
      <c r="AG87" s="103"/>
      <c r="AH87" s="103"/>
      <c r="AI87" s="103"/>
      <c r="AJ87" s="103"/>
      <c r="AK87" s="103"/>
      <c r="AL87" s="103"/>
      <c r="AM87" s="103"/>
      <c r="AN87" s="103"/>
      <c r="AO87" s="103"/>
      <c r="AP87" s="103"/>
      <c r="AQ87" s="103"/>
      <c r="AR87" s="104"/>
    </row>
    <row r="88" spans="1:44" ht="15.75" customHeight="1" x14ac:dyDescent="0.25">
      <c r="A88" s="105"/>
      <c r="B88" s="106"/>
      <c r="C88" s="106"/>
      <c r="D88" s="106"/>
      <c r="E88" s="106"/>
      <c r="F88" s="106"/>
      <c r="G88" s="106"/>
      <c r="H88" s="106"/>
      <c r="I88" s="106"/>
      <c r="J88" s="106"/>
      <c r="K88" s="106"/>
      <c r="L88" s="106"/>
      <c r="M88" s="106"/>
      <c r="N88" s="106"/>
      <c r="O88" s="107"/>
      <c r="P88" s="105"/>
      <c r="Q88" s="106"/>
      <c r="R88" s="106"/>
      <c r="S88" s="106"/>
      <c r="T88" s="106"/>
      <c r="U88" s="106"/>
      <c r="V88" s="106"/>
      <c r="W88" s="106"/>
      <c r="X88" s="106"/>
      <c r="Y88" s="106"/>
      <c r="Z88" s="106"/>
      <c r="AA88" s="106"/>
      <c r="AB88" s="106"/>
      <c r="AC88" s="106"/>
      <c r="AD88" s="107"/>
      <c r="AE88" s="105"/>
      <c r="AF88" s="106"/>
      <c r="AG88" s="106"/>
      <c r="AH88" s="106"/>
      <c r="AI88" s="106"/>
      <c r="AJ88" s="106"/>
      <c r="AK88" s="106"/>
      <c r="AL88" s="106"/>
      <c r="AM88" s="106"/>
      <c r="AN88" s="106"/>
      <c r="AO88" s="106"/>
      <c r="AP88" s="106"/>
      <c r="AQ88" s="106"/>
      <c r="AR88" s="107"/>
    </row>
    <row r="89" spans="1:44" ht="15.75" customHeight="1" x14ac:dyDescent="0.25">
      <c r="A89" s="96" t="s">
        <v>120</v>
      </c>
      <c r="B89" s="97"/>
      <c r="C89" s="97"/>
      <c r="D89" s="97"/>
      <c r="E89" s="97"/>
      <c r="F89" s="97"/>
      <c r="G89" s="97"/>
      <c r="H89" s="97"/>
      <c r="I89" s="97"/>
      <c r="J89" s="97"/>
      <c r="K89" s="97"/>
      <c r="L89" s="97"/>
      <c r="M89" s="97"/>
      <c r="N89" s="97"/>
      <c r="O89" s="98"/>
      <c r="P89" s="96" t="s">
        <v>120</v>
      </c>
      <c r="Q89" s="97"/>
      <c r="R89" s="97"/>
      <c r="S89" s="97"/>
      <c r="T89" s="97"/>
      <c r="U89" s="97"/>
      <c r="V89" s="97"/>
      <c r="W89" s="97"/>
      <c r="X89" s="97"/>
      <c r="Y89" s="97"/>
      <c r="Z89" s="97"/>
      <c r="AA89" s="97"/>
      <c r="AB89" s="97"/>
      <c r="AC89" s="97"/>
      <c r="AD89" s="98"/>
      <c r="AE89" s="96" t="s">
        <v>120</v>
      </c>
      <c r="AF89" s="97"/>
      <c r="AG89" s="97"/>
      <c r="AH89" s="97"/>
      <c r="AI89" s="97"/>
      <c r="AJ89" s="97"/>
      <c r="AK89" s="97"/>
      <c r="AL89" s="97"/>
      <c r="AM89" s="97"/>
      <c r="AN89" s="97"/>
      <c r="AO89" s="97"/>
      <c r="AP89" s="97"/>
      <c r="AQ89" s="97"/>
      <c r="AR89" s="98"/>
    </row>
    <row r="90" spans="1:44" ht="15.75" customHeight="1" x14ac:dyDescent="0.25">
      <c r="A90" s="96" t="s">
        <v>148</v>
      </c>
      <c r="B90" s="97"/>
      <c r="C90" s="97"/>
      <c r="D90" s="97"/>
      <c r="E90" s="97"/>
      <c r="F90" s="97"/>
      <c r="G90" s="97"/>
      <c r="H90" s="97"/>
      <c r="I90" s="97"/>
      <c r="J90" s="97"/>
      <c r="K90" s="97"/>
      <c r="L90" s="97"/>
      <c r="M90" s="97"/>
      <c r="N90" s="97"/>
      <c r="O90" s="98"/>
      <c r="P90" s="96" t="s">
        <v>148</v>
      </c>
      <c r="Q90" s="97"/>
      <c r="R90" s="97"/>
      <c r="S90" s="97"/>
      <c r="T90" s="97"/>
      <c r="U90" s="97"/>
      <c r="V90" s="97"/>
      <c r="W90" s="97"/>
      <c r="X90" s="97"/>
      <c r="Y90" s="97"/>
      <c r="Z90" s="97"/>
      <c r="AA90" s="97"/>
      <c r="AB90" s="97"/>
      <c r="AC90" s="97"/>
      <c r="AD90" s="98"/>
      <c r="AE90" s="96" t="s">
        <v>148</v>
      </c>
      <c r="AF90" s="97"/>
      <c r="AG90" s="97"/>
      <c r="AH90" s="97"/>
      <c r="AI90" s="97"/>
      <c r="AJ90" s="97"/>
      <c r="AK90" s="97"/>
      <c r="AL90" s="97"/>
      <c r="AM90" s="97"/>
      <c r="AN90" s="97"/>
      <c r="AO90" s="97"/>
      <c r="AP90" s="97"/>
      <c r="AQ90" s="97"/>
      <c r="AR90" s="98"/>
    </row>
    <row r="91" spans="1:44" ht="8.25" customHeight="1" x14ac:dyDescent="0.25">
      <c r="A91" s="64"/>
      <c r="B91" s="62"/>
      <c r="C91" s="62"/>
      <c r="D91" s="62"/>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row>
    <row r="92" spans="1:44" ht="15.75" hidden="1" customHeight="1" x14ac:dyDescent="0.25">
      <c r="A92" s="114" t="s">
        <v>121</v>
      </c>
      <c r="B92" s="112"/>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c r="AA92" s="112"/>
      <c r="AB92" s="112"/>
      <c r="AC92" s="112"/>
      <c r="AD92" s="112"/>
      <c r="AE92" s="112"/>
      <c r="AF92" s="112"/>
      <c r="AG92" s="112"/>
      <c r="AH92" s="112"/>
      <c r="AI92" s="112"/>
      <c r="AJ92" s="112"/>
      <c r="AK92" s="112"/>
      <c r="AL92" s="112"/>
      <c r="AM92" s="112"/>
      <c r="AN92" s="112"/>
      <c r="AO92" s="112"/>
      <c r="AP92" s="112"/>
      <c r="AQ92" s="112"/>
      <c r="AR92" s="112"/>
    </row>
    <row r="93" spans="1:44" ht="8.25" hidden="1" customHeight="1" x14ac:dyDescent="0.25">
      <c r="A93" s="64"/>
      <c r="B93" s="62"/>
      <c r="C93" s="62"/>
      <c r="D93" s="62"/>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row>
    <row r="94" spans="1:44" ht="15" hidden="1" customHeight="1" x14ac:dyDescent="0.25">
      <c r="A94" s="83" t="s">
        <v>1</v>
      </c>
      <c r="B94" s="111" t="s">
        <v>122</v>
      </c>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row>
    <row r="95" spans="1:44" ht="8.25" hidden="1" customHeight="1" x14ac:dyDescent="0.25">
      <c r="A95" s="64"/>
      <c r="B95" s="62"/>
      <c r="C95" s="62"/>
      <c r="D95" s="62"/>
      <c r="E95" s="58"/>
      <c r="F95" s="58"/>
      <c r="G95" s="58"/>
      <c r="H95" s="58"/>
      <c r="I95" s="58"/>
      <c r="J95" s="58"/>
      <c r="K95" s="58"/>
      <c r="L95" s="58"/>
      <c r="M95" s="58"/>
      <c r="N95" s="58"/>
      <c r="O95" s="58"/>
      <c r="P95" s="58"/>
      <c r="Q95" s="58"/>
      <c r="R95" s="58"/>
      <c r="S95" s="58"/>
      <c r="T95" s="58"/>
      <c r="U95" s="79"/>
      <c r="V95" s="58"/>
      <c r="W95" s="58"/>
      <c r="X95" s="58"/>
      <c r="Y95" s="58"/>
      <c r="Z95" s="58"/>
      <c r="AA95" s="58"/>
      <c r="AB95" s="58"/>
      <c r="AC95" s="58"/>
      <c r="AD95" s="58"/>
      <c r="AE95" s="79"/>
      <c r="AF95" s="58"/>
      <c r="AG95" s="58"/>
      <c r="AH95" s="58"/>
      <c r="AI95" s="58"/>
      <c r="AJ95" s="58"/>
      <c r="AK95" s="58"/>
      <c r="AL95" s="58"/>
      <c r="AM95" s="58"/>
      <c r="AN95" s="58"/>
      <c r="AO95" s="58"/>
      <c r="AP95" s="58"/>
      <c r="AQ95" s="58"/>
      <c r="AR95" s="58"/>
    </row>
    <row r="96" spans="1:44" ht="15.75" hidden="1" customHeight="1" x14ac:dyDescent="0.25">
      <c r="A96" s="109" t="s">
        <v>123</v>
      </c>
      <c r="B96" s="103"/>
      <c r="C96" s="103"/>
      <c r="D96" s="103"/>
      <c r="E96" s="103"/>
      <c r="F96" s="103"/>
      <c r="G96" s="103"/>
      <c r="H96" s="103"/>
      <c r="I96" s="103"/>
      <c r="J96" s="103"/>
      <c r="K96" s="103"/>
      <c r="L96" s="59"/>
      <c r="M96" s="59"/>
      <c r="N96" s="110">
        <f>AVERAGE(AC30:AR31)</f>
        <v>0.4375</v>
      </c>
      <c r="O96" s="100"/>
      <c r="P96" s="100"/>
      <c r="Q96" s="100"/>
      <c r="R96" s="100"/>
      <c r="S96" s="100"/>
      <c r="T96" s="100"/>
      <c r="U96" s="101"/>
      <c r="V96" s="58"/>
      <c r="W96" s="58"/>
      <c r="X96" s="58"/>
      <c r="Y96" s="84"/>
      <c r="Z96" s="58"/>
      <c r="AA96" s="84" t="s">
        <v>124</v>
      </c>
      <c r="AB96" s="58"/>
      <c r="AC96" s="58"/>
      <c r="AD96" s="58"/>
      <c r="AE96" s="78"/>
      <c r="AF96" s="59"/>
      <c r="AG96" s="59"/>
      <c r="AH96" s="110" t="e">
        <f>N96*20%+N98*50%+N100*30%</f>
        <v>#DIV/0!</v>
      </c>
      <c r="AI96" s="100"/>
      <c r="AJ96" s="100"/>
      <c r="AK96" s="100"/>
      <c r="AL96" s="100"/>
      <c r="AM96" s="100"/>
      <c r="AN96" s="100"/>
      <c r="AO96" s="101"/>
      <c r="AP96" s="58"/>
      <c r="AQ96" s="58"/>
      <c r="AR96" s="58"/>
    </row>
    <row r="97" spans="1:44" ht="15.75" hidden="1" customHeight="1" x14ac:dyDescent="0.25">
      <c r="A97" s="64"/>
      <c r="B97" s="62"/>
      <c r="C97" s="62"/>
      <c r="D97" s="56"/>
      <c r="E97" s="58"/>
      <c r="F97" s="58"/>
      <c r="G97" s="58"/>
      <c r="H97" s="58"/>
      <c r="I97" s="58"/>
      <c r="J97" s="58"/>
      <c r="K97" s="59"/>
      <c r="L97" s="59"/>
      <c r="M97" s="59"/>
      <c r="N97" s="105"/>
      <c r="O97" s="106"/>
      <c r="P97" s="106"/>
      <c r="Q97" s="106"/>
      <c r="R97" s="106"/>
      <c r="S97" s="106"/>
      <c r="T97" s="106"/>
      <c r="U97" s="107"/>
      <c r="V97" s="58"/>
      <c r="W97" s="58"/>
      <c r="X97" s="58"/>
      <c r="Y97" s="58"/>
      <c r="Z97" s="58"/>
      <c r="AA97" s="58"/>
      <c r="AB97" s="58"/>
      <c r="AC97" s="58"/>
      <c r="AD97" s="58"/>
      <c r="AE97" s="78"/>
      <c r="AF97" s="59"/>
      <c r="AG97" s="59"/>
      <c r="AH97" s="102"/>
      <c r="AI97" s="103"/>
      <c r="AJ97" s="103"/>
      <c r="AK97" s="103"/>
      <c r="AL97" s="103"/>
      <c r="AM97" s="103"/>
      <c r="AN97" s="103"/>
      <c r="AO97" s="104"/>
      <c r="AP97" s="58"/>
      <c r="AQ97" s="58"/>
      <c r="AR97" s="58"/>
    </row>
    <row r="98" spans="1:44" ht="15.75" hidden="1" customHeight="1" x14ac:dyDescent="0.25">
      <c r="A98" s="109" t="s">
        <v>125</v>
      </c>
      <c r="B98" s="103"/>
      <c r="C98" s="103"/>
      <c r="D98" s="103"/>
      <c r="E98" s="103"/>
      <c r="F98" s="103"/>
      <c r="G98" s="103"/>
      <c r="H98" s="103"/>
      <c r="I98" s="103"/>
      <c r="J98" s="103"/>
      <c r="K98" s="78"/>
      <c r="L98" s="59"/>
      <c r="M98" s="59"/>
      <c r="N98" s="110" t="e">
        <f>AC47*20%+AG47*25%+AK47*25%+AO47*30%</f>
        <v>#DIV/0!</v>
      </c>
      <c r="O98" s="100"/>
      <c r="P98" s="100"/>
      <c r="Q98" s="100"/>
      <c r="R98" s="100"/>
      <c r="S98" s="100"/>
      <c r="T98" s="100"/>
      <c r="U98" s="101"/>
      <c r="V98" s="58"/>
      <c r="W98" s="58"/>
      <c r="X98" s="58"/>
      <c r="Y98" s="58"/>
      <c r="Z98" s="58"/>
      <c r="AA98" s="58"/>
      <c r="AB98" s="58"/>
      <c r="AC98" s="58"/>
      <c r="AD98" s="58"/>
      <c r="AE98" s="59"/>
      <c r="AF98" s="59"/>
      <c r="AG98" s="59"/>
      <c r="AH98" s="105"/>
      <c r="AI98" s="106"/>
      <c r="AJ98" s="106"/>
      <c r="AK98" s="106"/>
      <c r="AL98" s="106"/>
      <c r="AM98" s="106"/>
      <c r="AN98" s="106"/>
      <c r="AO98" s="107"/>
      <c r="AP98" s="58"/>
      <c r="AQ98" s="58"/>
      <c r="AR98" s="58"/>
    </row>
    <row r="99" spans="1:44" ht="15.75" hidden="1" customHeight="1" x14ac:dyDescent="0.25">
      <c r="A99" s="64"/>
      <c r="B99" s="62"/>
      <c r="C99" s="62"/>
      <c r="D99" s="56"/>
      <c r="E99" s="58"/>
      <c r="F99" s="58"/>
      <c r="G99" s="58"/>
      <c r="H99" s="58"/>
      <c r="I99" s="58"/>
      <c r="J99" s="58"/>
      <c r="K99" s="78"/>
      <c r="L99" s="59"/>
      <c r="M99" s="59"/>
      <c r="N99" s="105"/>
      <c r="O99" s="106"/>
      <c r="P99" s="106"/>
      <c r="Q99" s="106"/>
      <c r="R99" s="106"/>
      <c r="S99" s="106"/>
      <c r="T99" s="106"/>
      <c r="U99" s="107"/>
      <c r="V99" s="58"/>
      <c r="W99" s="58"/>
      <c r="X99" s="58"/>
      <c r="Y99" s="84"/>
      <c r="Z99" s="58"/>
      <c r="AA99" s="84" t="s">
        <v>126</v>
      </c>
      <c r="AB99" s="58"/>
      <c r="AC99" s="58"/>
      <c r="AD99" s="58"/>
      <c r="AE99" s="78"/>
      <c r="AF99" s="59"/>
      <c r="AG99" s="59"/>
      <c r="AH99" s="108"/>
      <c r="AI99" s="100"/>
      <c r="AJ99" s="100"/>
      <c r="AK99" s="100"/>
      <c r="AL99" s="100"/>
      <c r="AM99" s="100"/>
      <c r="AN99" s="100"/>
      <c r="AO99" s="101"/>
      <c r="AP99" s="58"/>
      <c r="AQ99" s="58"/>
      <c r="AR99" s="58"/>
    </row>
    <row r="100" spans="1:44" ht="15.75" hidden="1" customHeight="1" x14ac:dyDescent="0.25">
      <c r="A100" s="109" t="s">
        <v>127</v>
      </c>
      <c r="B100" s="103"/>
      <c r="C100" s="103"/>
      <c r="D100" s="103"/>
      <c r="E100" s="103"/>
      <c r="F100" s="103"/>
      <c r="G100" s="103"/>
      <c r="H100" s="103"/>
      <c r="I100" s="103"/>
      <c r="J100" s="103"/>
      <c r="K100" s="78"/>
      <c r="L100" s="59"/>
      <c r="M100" s="59"/>
      <c r="N100" s="110">
        <f>N77</f>
        <v>0</v>
      </c>
      <c r="O100" s="100"/>
      <c r="P100" s="100"/>
      <c r="Q100" s="100"/>
      <c r="R100" s="100"/>
      <c r="S100" s="100"/>
      <c r="T100" s="100"/>
      <c r="U100" s="101"/>
      <c r="V100" s="58"/>
      <c r="W100" s="58"/>
      <c r="X100" s="58"/>
      <c r="Y100" s="58"/>
      <c r="Z100" s="58"/>
      <c r="AA100" s="58"/>
      <c r="AB100" s="58"/>
      <c r="AC100" s="58"/>
      <c r="AD100" s="58"/>
      <c r="AE100" s="78"/>
      <c r="AF100" s="59"/>
      <c r="AG100" s="59"/>
      <c r="AH100" s="102"/>
      <c r="AI100" s="103"/>
      <c r="AJ100" s="103"/>
      <c r="AK100" s="103"/>
      <c r="AL100" s="103"/>
      <c r="AM100" s="103"/>
      <c r="AN100" s="103"/>
      <c r="AO100" s="104"/>
      <c r="AP100" s="58"/>
      <c r="AQ100" s="58"/>
      <c r="AR100" s="58"/>
    </row>
    <row r="101" spans="1:44" ht="15.75" hidden="1" customHeight="1" x14ac:dyDescent="0.25">
      <c r="A101" s="64"/>
      <c r="B101" s="62"/>
      <c r="C101" s="62"/>
      <c r="D101" s="62"/>
      <c r="E101" s="58"/>
      <c r="F101" s="58"/>
      <c r="G101" s="58"/>
      <c r="H101" s="58"/>
      <c r="I101" s="58"/>
      <c r="J101" s="58"/>
      <c r="K101" s="59"/>
      <c r="L101" s="59"/>
      <c r="M101" s="59"/>
      <c r="N101" s="105"/>
      <c r="O101" s="106"/>
      <c r="P101" s="106"/>
      <c r="Q101" s="106"/>
      <c r="R101" s="106"/>
      <c r="S101" s="106"/>
      <c r="T101" s="106"/>
      <c r="U101" s="107"/>
      <c r="V101" s="58"/>
      <c r="W101" s="58"/>
      <c r="X101" s="58"/>
      <c r="Y101" s="58"/>
      <c r="Z101" s="58"/>
      <c r="AA101" s="58"/>
      <c r="AB101" s="58"/>
      <c r="AC101" s="58"/>
      <c r="AD101" s="58"/>
      <c r="AE101" s="58"/>
      <c r="AF101" s="58"/>
      <c r="AG101" s="58"/>
      <c r="AH101" s="105"/>
      <c r="AI101" s="106"/>
      <c r="AJ101" s="106"/>
      <c r="AK101" s="106"/>
      <c r="AL101" s="106"/>
      <c r="AM101" s="106"/>
      <c r="AN101" s="106"/>
      <c r="AO101" s="107"/>
      <c r="AP101" s="58"/>
      <c r="AQ101" s="58"/>
      <c r="AR101" s="58"/>
    </row>
    <row r="102" spans="1:44" ht="15.75" hidden="1" customHeight="1" x14ac:dyDescent="0.25">
      <c r="A102" s="64"/>
      <c r="B102" s="62"/>
      <c r="C102" s="62"/>
      <c r="D102" s="62"/>
      <c r="E102" s="58"/>
      <c r="F102" s="58"/>
      <c r="G102" s="58"/>
      <c r="H102" s="58"/>
      <c r="I102" s="58"/>
      <c r="J102" s="58"/>
      <c r="K102" s="58"/>
      <c r="L102" s="58"/>
      <c r="M102" s="58"/>
      <c r="N102" s="58"/>
      <c r="O102" s="58"/>
      <c r="P102" s="58"/>
      <c r="Q102" s="58"/>
      <c r="R102" s="58"/>
      <c r="S102" s="58"/>
      <c r="T102" s="58"/>
      <c r="U102" s="79"/>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row>
    <row r="103" spans="1:44" ht="15" hidden="1" customHeight="1" x14ac:dyDescent="0.25">
      <c r="A103" s="83" t="s">
        <v>128</v>
      </c>
      <c r="B103" s="111" t="s">
        <v>129</v>
      </c>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c r="AA103" s="112"/>
      <c r="AB103" s="112"/>
      <c r="AC103" s="112"/>
      <c r="AD103" s="112"/>
      <c r="AE103" s="112"/>
      <c r="AF103" s="112"/>
      <c r="AG103" s="112"/>
      <c r="AH103" s="112"/>
      <c r="AI103" s="112"/>
      <c r="AJ103" s="112"/>
      <c r="AK103" s="112"/>
      <c r="AL103" s="112"/>
      <c r="AM103" s="112"/>
      <c r="AN103" s="112"/>
      <c r="AO103" s="112"/>
      <c r="AP103" s="112"/>
      <c r="AQ103" s="112"/>
      <c r="AR103" s="112"/>
    </row>
    <row r="104" spans="1:44" ht="8.25" hidden="1" customHeight="1" x14ac:dyDescent="0.25">
      <c r="A104" s="64"/>
      <c r="B104" s="62"/>
      <c r="C104" s="62"/>
      <c r="D104" s="62"/>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row>
    <row r="105" spans="1:44" ht="15.75" hidden="1" customHeight="1" x14ac:dyDescent="0.25">
      <c r="A105" s="113" t="s">
        <v>118</v>
      </c>
      <c r="B105" s="97"/>
      <c r="C105" s="97"/>
      <c r="D105" s="97"/>
      <c r="E105" s="97"/>
      <c r="F105" s="97"/>
      <c r="G105" s="97"/>
      <c r="H105" s="97"/>
      <c r="I105" s="97"/>
      <c r="J105" s="97"/>
      <c r="K105" s="97"/>
      <c r="L105" s="97"/>
      <c r="M105" s="97"/>
      <c r="N105" s="97"/>
      <c r="O105" s="98"/>
      <c r="P105" s="113" t="s">
        <v>130</v>
      </c>
      <c r="Q105" s="97"/>
      <c r="R105" s="97"/>
      <c r="S105" s="97"/>
      <c r="T105" s="97"/>
      <c r="U105" s="97"/>
      <c r="V105" s="97"/>
      <c r="W105" s="97"/>
      <c r="X105" s="97"/>
      <c r="Y105" s="97"/>
      <c r="Z105" s="97"/>
      <c r="AA105" s="97"/>
      <c r="AB105" s="97"/>
      <c r="AC105" s="97"/>
      <c r="AD105" s="98"/>
      <c r="AE105" s="113" t="s">
        <v>131</v>
      </c>
      <c r="AF105" s="97"/>
      <c r="AG105" s="97"/>
      <c r="AH105" s="97"/>
      <c r="AI105" s="97"/>
      <c r="AJ105" s="97"/>
      <c r="AK105" s="97"/>
      <c r="AL105" s="97"/>
      <c r="AM105" s="97"/>
      <c r="AN105" s="97"/>
      <c r="AO105" s="97"/>
      <c r="AP105" s="97"/>
      <c r="AQ105" s="97"/>
      <c r="AR105" s="98"/>
    </row>
    <row r="106" spans="1:44" ht="15.75" hidden="1" customHeight="1" x14ac:dyDescent="0.25">
      <c r="A106" s="99"/>
      <c r="B106" s="100"/>
      <c r="C106" s="100"/>
      <c r="D106" s="100"/>
      <c r="E106" s="100"/>
      <c r="F106" s="100"/>
      <c r="G106" s="100"/>
      <c r="H106" s="100"/>
      <c r="I106" s="100"/>
      <c r="J106" s="100"/>
      <c r="K106" s="100"/>
      <c r="L106" s="100"/>
      <c r="M106" s="100"/>
      <c r="N106" s="100"/>
      <c r="O106" s="101"/>
      <c r="P106" s="99"/>
      <c r="Q106" s="100"/>
      <c r="R106" s="100"/>
      <c r="S106" s="100"/>
      <c r="T106" s="100"/>
      <c r="U106" s="100"/>
      <c r="V106" s="100"/>
      <c r="W106" s="100"/>
      <c r="X106" s="100"/>
      <c r="Y106" s="100"/>
      <c r="Z106" s="100"/>
      <c r="AA106" s="100"/>
      <c r="AB106" s="100"/>
      <c r="AC106" s="100"/>
      <c r="AD106" s="101"/>
      <c r="AE106" s="99"/>
      <c r="AF106" s="100"/>
      <c r="AG106" s="100"/>
      <c r="AH106" s="100"/>
      <c r="AI106" s="100"/>
      <c r="AJ106" s="100"/>
      <c r="AK106" s="100"/>
      <c r="AL106" s="100"/>
      <c r="AM106" s="100"/>
      <c r="AN106" s="100"/>
      <c r="AO106" s="100"/>
      <c r="AP106" s="100"/>
      <c r="AQ106" s="100"/>
      <c r="AR106" s="101"/>
    </row>
    <row r="107" spans="1:44" ht="15.75" hidden="1" customHeight="1" x14ac:dyDescent="0.25">
      <c r="A107" s="102"/>
      <c r="B107" s="103"/>
      <c r="C107" s="103"/>
      <c r="D107" s="103"/>
      <c r="E107" s="103"/>
      <c r="F107" s="103"/>
      <c r="G107" s="103"/>
      <c r="H107" s="103"/>
      <c r="I107" s="103"/>
      <c r="J107" s="103"/>
      <c r="K107" s="103"/>
      <c r="L107" s="103"/>
      <c r="M107" s="103"/>
      <c r="N107" s="103"/>
      <c r="O107" s="104"/>
      <c r="P107" s="102"/>
      <c r="Q107" s="103"/>
      <c r="R107" s="103"/>
      <c r="S107" s="103"/>
      <c r="T107" s="103"/>
      <c r="U107" s="103"/>
      <c r="V107" s="103"/>
      <c r="W107" s="103"/>
      <c r="X107" s="103"/>
      <c r="Y107" s="103"/>
      <c r="Z107" s="103"/>
      <c r="AA107" s="103"/>
      <c r="AB107" s="103"/>
      <c r="AC107" s="103"/>
      <c r="AD107" s="104"/>
      <c r="AE107" s="102"/>
      <c r="AF107" s="103"/>
      <c r="AG107" s="103"/>
      <c r="AH107" s="103"/>
      <c r="AI107" s="103"/>
      <c r="AJ107" s="103"/>
      <c r="AK107" s="103"/>
      <c r="AL107" s="103"/>
      <c r="AM107" s="103"/>
      <c r="AN107" s="103"/>
      <c r="AO107" s="103"/>
      <c r="AP107" s="103"/>
      <c r="AQ107" s="103"/>
      <c r="AR107" s="104"/>
    </row>
    <row r="108" spans="1:44" ht="15.75" hidden="1" customHeight="1" x14ac:dyDescent="0.25">
      <c r="A108" s="102"/>
      <c r="B108" s="103"/>
      <c r="C108" s="103"/>
      <c r="D108" s="103"/>
      <c r="E108" s="103"/>
      <c r="F108" s="103"/>
      <c r="G108" s="103"/>
      <c r="H108" s="103"/>
      <c r="I108" s="103"/>
      <c r="J108" s="103"/>
      <c r="K108" s="103"/>
      <c r="L108" s="103"/>
      <c r="M108" s="103"/>
      <c r="N108" s="103"/>
      <c r="O108" s="104"/>
      <c r="P108" s="102"/>
      <c r="Q108" s="103"/>
      <c r="R108" s="103"/>
      <c r="S108" s="103"/>
      <c r="T108" s="103"/>
      <c r="U108" s="103"/>
      <c r="V108" s="103"/>
      <c r="W108" s="103"/>
      <c r="X108" s="103"/>
      <c r="Y108" s="103"/>
      <c r="Z108" s="103"/>
      <c r="AA108" s="103"/>
      <c r="AB108" s="103"/>
      <c r="AC108" s="103"/>
      <c r="AD108" s="104"/>
      <c r="AE108" s="102"/>
      <c r="AF108" s="103"/>
      <c r="AG108" s="103"/>
      <c r="AH108" s="103"/>
      <c r="AI108" s="103"/>
      <c r="AJ108" s="103"/>
      <c r="AK108" s="103"/>
      <c r="AL108" s="103"/>
      <c r="AM108" s="103"/>
      <c r="AN108" s="103"/>
      <c r="AO108" s="103"/>
      <c r="AP108" s="103"/>
      <c r="AQ108" s="103"/>
      <c r="AR108" s="104"/>
    </row>
    <row r="109" spans="1:44" ht="15.75" hidden="1" customHeight="1" x14ac:dyDescent="0.25">
      <c r="A109" s="102"/>
      <c r="B109" s="103"/>
      <c r="C109" s="103"/>
      <c r="D109" s="103"/>
      <c r="E109" s="103"/>
      <c r="F109" s="103"/>
      <c r="G109" s="103"/>
      <c r="H109" s="103"/>
      <c r="I109" s="103"/>
      <c r="J109" s="103"/>
      <c r="K109" s="103"/>
      <c r="L109" s="103"/>
      <c r="M109" s="103"/>
      <c r="N109" s="103"/>
      <c r="O109" s="104"/>
      <c r="P109" s="102"/>
      <c r="Q109" s="103"/>
      <c r="R109" s="103"/>
      <c r="S109" s="103"/>
      <c r="T109" s="103"/>
      <c r="U109" s="103"/>
      <c r="V109" s="103"/>
      <c r="W109" s="103"/>
      <c r="X109" s="103"/>
      <c r="Y109" s="103"/>
      <c r="Z109" s="103"/>
      <c r="AA109" s="103"/>
      <c r="AB109" s="103"/>
      <c r="AC109" s="103"/>
      <c r="AD109" s="104"/>
      <c r="AE109" s="102"/>
      <c r="AF109" s="103"/>
      <c r="AG109" s="103"/>
      <c r="AH109" s="103"/>
      <c r="AI109" s="103"/>
      <c r="AJ109" s="103"/>
      <c r="AK109" s="103"/>
      <c r="AL109" s="103"/>
      <c r="AM109" s="103"/>
      <c r="AN109" s="103"/>
      <c r="AO109" s="103"/>
      <c r="AP109" s="103"/>
      <c r="AQ109" s="103"/>
      <c r="AR109" s="104"/>
    </row>
    <row r="110" spans="1:44" ht="15.75" hidden="1" customHeight="1" x14ac:dyDescent="0.25">
      <c r="A110" s="102"/>
      <c r="B110" s="103"/>
      <c r="C110" s="103"/>
      <c r="D110" s="103"/>
      <c r="E110" s="103"/>
      <c r="F110" s="103"/>
      <c r="G110" s="103"/>
      <c r="H110" s="103"/>
      <c r="I110" s="103"/>
      <c r="J110" s="103"/>
      <c r="K110" s="103"/>
      <c r="L110" s="103"/>
      <c r="M110" s="103"/>
      <c r="N110" s="103"/>
      <c r="O110" s="104"/>
      <c r="P110" s="102"/>
      <c r="Q110" s="103"/>
      <c r="R110" s="103"/>
      <c r="S110" s="103"/>
      <c r="T110" s="103"/>
      <c r="U110" s="103"/>
      <c r="V110" s="103"/>
      <c r="W110" s="103"/>
      <c r="X110" s="103"/>
      <c r="Y110" s="103"/>
      <c r="Z110" s="103"/>
      <c r="AA110" s="103"/>
      <c r="AB110" s="103"/>
      <c r="AC110" s="103"/>
      <c r="AD110" s="104"/>
      <c r="AE110" s="102"/>
      <c r="AF110" s="103"/>
      <c r="AG110" s="103"/>
      <c r="AH110" s="103"/>
      <c r="AI110" s="103"/>
      <c r="AJ110" s="103"/>
      <c r="AK110" s="103"/>
      <c r="AL110" s="103"/>
      <c r="AM110" s="103"/>
      <c r="AN110" s="103"/>
      <c r="AO110" s="103"/>
      <c r="AP110" s="103"/>
      <c r="AQ110" s="103"/>
      <c r="AR110" s="104"/>
    </row>
    <row r="111" spans="1:44" ht="15.75" hidden="1" customHeight="1" x14ac:dyDescent="0.25">
      <c r="A111" s="105"/>
      <c r="B111" s="106"/>
      <c r="C111" s="106"/>
      <c r="D111" s="106"/>
      <c r="E111" s="106"/>
      <c r="F111" s="106"/>
      <c r="G111" s="106"/>
      <c r="H111" s="106"/>
      <c r="I111" s="106"/>
      <c r="J111" s="106"/>
      <c r="K111" s="106"/>
      <c r="L111" s="106"/>
      <c r="M111" s="106"/>
      <c r="N111" s="106"/>
      <c r="O111" s="107"/>
      <c r="P111" s="105"/>
      <c r="Q111" s="106"/>
      <c r="R111" s="106"/>
      <c r="S111" s="106"/>
      <c r="T111" s="106"/>
      <c r="U111" s="106"/>
      <c r="V111" s="106"/>
      <c r="W111" s="106"/>
      <c r="X111" s="106"/>
      <c r="Y111" s="106"/>
      <c r="Z111" s="106"/>
      <c r="AA111" s="106"/>
      <c r="AB111" s="106"/>
      <c r="AC111" s="106"/>
      <c r="AD111" s="107"/>
      <c r="AE111" s="105"/>
      <c r="AF111" s="106"/>
      <c r="AG111" s="106"/>
      <c r="AH111" s="106"/>
      <c r="AI111" s="106"/>
      <c r="AJ111" s="106"/>
      <c r="AK111" s="106"/>
      <c r="AL111" s="106"/>
      <c r="AM111" s="106"/>
      <c r="AN111" s="106"/>
      <c r="AO111" s="106"/>
      <c r="AP111" s="106"/>
      <c r="AQ111" s="106"/>
      <c r="AR111" s="107"/>
    </row>
    <row r="112" spans="1:44" ht="15.75" hidden="1" customHeight="1" x14ac:dyDescent="0.25">
      <c r="A112" s="96" t="s">
        <v>120</v>
      </c>
      <c r="B112" s="97"/>
      <c r="C112" s="97"/>
      <c r="D112" s="97"/>
      <c r="E112" s="97"/>
      <c r="F112" s="97"/>
      <c r="G112" s="97"/>
      <c r="H112" s="97"/>
      <c r="I112" s="97"/>
      <c r="J112" s="97"/>
      <c r="K112" s="97"/>
      <c r="L112" s="97"/>
      <c r="M112" s="97"/>
      <c r="N112" s="97"/>
      <c r="O112" s="98"/>
      <c r="P112" s="96" t="s">
        <v>120</v>
      </c>
      <c r="Q112" s="97"/>
      <c r="R112" s="97"/>
      <c r="S112" s="97"/>
      <c r="T112" s="97"/>
      <c r="U112" s="97"/>
      <c r="V112" s="97"/>
      <c r="W112" s="97"/>
      <c r="X112" s="97"/>
      <c r="Y112" s="97"/>
      <c r="Z112" s="97"/>
      <c r="AA112" s="97"/>
      <c r="AB112" s="97"/>
      <c r="AC112" s="97"/>
      <c r="AD112" s="98"/>
      <c r="AE112" s="96" t="s">
        <v>120</v>
      </c>
      <c r="AF112" s="97"/>
      <c r="AG112" s="97"/>
      <c r="AH112" s="97"/>
      <c r="AI112" s="97"/>
      <c r="AJ112" s="97"/>
      <c r="AK112" s="97"/>
      <c r="AL112" s="97"/>
      <c r="AM112" s="97"/>
      <c r="AN112" s="97"/>
      <c r="AO112" s="97"/>
      <c r="AP112" s="97"/>
      <c r="AQ112" s="97"/>
      <c r="AR112" s="98"/>
    </row>
    <row r="113" spans="1:44" ht="15.75" hidden="1" customHeight="1" x14ac:dyDescent="0.25">
      <c r="A113" s="96" t="s">
        <v>132</v>
      </c>
      <c r="B113" s="97"/>
      <c r="C113" s="97"/>
      <c r="D113" s="97"/>
      <c r="E113" s="97"/>
      <c r="F113" s="97"/>
      <c r="G113" s="97"/>
      <c r="H113" s="97"/>
      <c r="I113" s="97"/>
      <c r="J113" s="97"/>
      <c r="K113" s="97"/>
      <c r="L113" s="97"/>
      <c r="M113" s="97"/>
      <c r="N113" s="97"/>
      <c r="O113" s="98"/>
      <c r="P113" s="96" t="s">
        <v>132</v>
      </c>
      <c r="Q113" s="97"/>
      <c r="R113" s="97"/>
      <c r="S113" s="97"/>
      <c r="T113" s="97"/>
      <c r="U113" s="97"/>
      <c r="V113" s="97"/>
      <c r="W113" s="97"/>
      <c r="X113" s="97"/>
      <c r="Y113" s="97"/>
      <c r="Z113" s="97"/>
      <c r="AA113" s="97"/>
      <c r="AB113" s="97"/>
      <c r="AC113" s="97"/>
      <c r="AD113" s="98"/>
      <c r="AE113" s="96" t="s">
        <v>132</v>
      </c>
      <c r="AF113" s="97"/>
      <c r="AG113" s="97"/>
      <c r="AH113" s="97"/>
      <c r="AI113" s="97"/>
      <c r="AJ113" s="97"/>
      <c r="AK113" s="97"/>
      <c r="AL113" s="97"/>
      <c r="AM113" s="97"/>
      <c r="AN113" s="97"/>
      <c r="AO113" s="97"/>
      <c r="AP113" s="97"/>
      <c r="AQ113" s="97"/>
      <c r="AR113" s="98"/>
    </row>
    <row r="114" spans="1:44" ht="15.75" customHeight="1" x14ac:dyDescent="0.25">
      <c r="A114" s="64"/>
      <c r="B114" s="62"/>
      <c r="C114" s="62"/>
      <c r="D114" s="62"/>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row>
    <row r="115" spans="1:44" ht="15.75" customHeight="1" x14ac:dyDescent="0.25">
      <c r="A115" s="64"/>
      <c r="B115" s="62"/>
      <c r="C115" s="62"/>
      <c r="D115" s="62"/>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row>
    <row r="116" spans="1:44" ht="15.75" customHeight="1" x14ac:dyDescent="0.25">
      <c r="A116" s="64"/>
      <c r="B116" s="62"/>
      <c r="C116" s="62"/>
      <c r="D116" s="62"/>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row>
    <row r="117" spans="1:44" ht="15.75" customHeight="1" x14ac:dyDescent="0.25">
      <c r="A117" s="64"/>
      <c r="B117" s="62"/>
      <c r="C117" s="62"/>
      <c r="D117" s="62"/>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row>
    <row r="118" spans="1:44" ht="15.75" customHeight="1" x14ac:dyDescent="0.25">
      <c r="A118" s="64"/>
      <c r="B118" s="62"/>
      <c r="C118" s="62"/>
      <c r="D118" s="62"/>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row>
    <row r="119" spans="1:44" ht="15.75" customHeight="1" x14ac:dyDescent="0.25">
      <c r="A119" s="64"/>
      <c r="B119" s="62"/>
      <c r="C119" s="62"/>
      <c r="D119" s="62"/>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row>
    <row r="120" spans="1:44" ht="15.75" customHeight="1" x14ac:dyDescent="0.25">
      <c r="A120" s="64"/>
      <c r="B120" s="62"/>
      <c r="C120" s="62"/>
      <c r="D120" s="62"/>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row>
    <row r="121" spans="1:44" ht="15.75" customHeight="1" x14ac:dyDescent="0.25">
      <c r="A121" s="64"/>
      <c r="B121" s="62"/>
      <c r="C121" s="62"/>
      <c r="D121" s="62"/>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row>
    <row r="122" spans="1:44" ht="15.75" customHeight="1" x14ac:dyDescent="0.25">
      <c r="A122" s="64"/>
      <c r="B122" s="62"/>
      <c r="C122" s="62"/>
      <c r="D122" s="62"/>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row>
    <row r="123" spans="1:44" ht="15.75" customHeight="1" x14ac:dyDescent="0.25">
      <c r="A123" s="64"/>
      <c r="B123" s="62"/>
      <c r="C123" s="62"/>
      <c r="D123" s="62"/>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row>
    <row r="124" spans="1:44" ht="15.75" customHeight="1" x14ac:dyDescent="0.25">
      <c r="A124" s="64"/>
      <c r="B124" s="62"/>
      <c r="C124" s="62"/>
      <c r="D124" s="62"/>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row>
    <row r="125" spans="1:44" ht="15.75" customHeight="1" x14ac:dyDescent="0.25">
      <c r="A125" s="64"/>
      <c r="B125" s="62"/>
      <c r="C125" s="62"/>
      <c r="D125" s="62"/>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row>
    <row r="126" spans="1:44" ht="15.75" customHeight="1" x14ac:dyDescent="0.25">
      <c r="A126" s="64"/>
      <c r="B126" s="62"/>
      <c r="C126" s="62"/>
      <c r="D126" s="62"/>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row>
    <row r="127" spans="1:44" ht="15.75" customHeight="1" x14ac:dyDescent="0.25">
      <c r="A127" s="64"/>
      <c r="B127" s="62"/>
      <c r="C127" s="62"/>
      <c r="D127" s="62"/>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row>
    <row r="128" spans="1:44" ht="15.75" customHeight="1" x14ac:dyDescent="0.25">
      <c r="A128" s="64"/>
      <c r="B128" s="62"/>
      <c r="C128" s="62"/>
      <c r="D128" s="62"/>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row>
    <row r="129" spans="1:44" ht="15.75" customHeight="1" x14ac:dyDescent="0.25">
      <c r="A129" s="64"/>
      <c r="B129" s="62"/>
      <c r="C129" s="62"/>
      <c r="D129" s="62"/>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row>
    <row r="130" spans="1:44" ht="15.75" customHeight="1" x14ac:dyDescent="0.25">
      <c r="A130" s="64"/>
      <c r="B130" s="62"/>
      <c r="C130" s="62"/>
      <c r="D130" s="62"/>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row>
    <row r="131" spans="1:44" ht="15.75" customHeight="1" x14ac:dyDescent="0.25">
      <c r="A131" s="64"/>
      <c r="B131" s="62"/>
      <c r="C131" s="62"/>
      <c r="D131" s="62"/>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row>
    <row r="132" spans="1:44" ht="15.75" customHeight="1" x14ac:dyDescent="0.25">
      <c r="A132" s="64"/>
      <c r="B132" s="62"/>
      <c r="C132" s="62"/>
      <c r="D132" s="62"/>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row>
    <row r="133" spans="1:44" ht="15.75" customHeight="1" x14ac:dyDescent="0.25">
      <c r="A133" s="64"/>
      <c r="B133" s="62"/>
      <c r="C133" s="62"/>
      <c r="D133" s="62"/>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row>
    <row r="134" spans="1:44" ht="15.75" customHeight="1" x14ac:dyDescent="0.25">
      <c r="A134" s="64"/>
      <c r="B134" s="62"/>
      <c r="C134" s="62"/>
      <c r="D134" s="62"/>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row>
    <row r="135" spans="1:44" ht="15.75" customHeight="1" x14ac:dyDescent="0.25">
      <c r="A135" s="64"/>
      <c r="B135" s="62"/>
      <c r="C135" s="62"/>
      <c r="D135" s="62"/>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row>
    <row r="136" spans="1:44" ht="15.75" customHeight="1" x14ac:dyDescent="0.25">
      <c r="A136" s="64"/>
      <c r="B136" s="62"/>
      <c r="C136" s="62"/>
      <c r="D136" s="62"/>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row>
    <row r="137" spans="1:44" ht="15.75" customHeight="1" x14ac:dyDescent="0.25">
      <c r="A137" s="64"/>
      <c r="B137" s="62"/>
      <c r="C137" s="62"/>
      <c r="D137" s="62"/>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row>
    <row r="138" spans="1:44" ht="15.75" customHeight="1" x14ac:dyDescent="0.25">
      <c r="A138" s="64"/>
      <c r="B138" s="62"/>
      <c r="C138" s="62"/>
      <c r="D138" s="62"/>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row>
    <row r="139" spans="1:44" ht="15.75" customHeight="1" x14ac:dyDescent="0.25">
      <c r="A139" s="64"/>
      <c r="B139" s="62"/>
      <c r="C139" s="62"/>
      <c r="D139" s="62"/>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row>
    <row r="140" spans="1:44" ht="15.75" customHeight="1" x14ac:dyDescent="0.25">
      <c r="A140" s="64"/>
      <c r="B140" s="62"/>
      <c r="C140" s="62"/>
      <c r="D140" s="62"/>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row>
    <row r="141" spans="1:44" ht="15.75" customHeight="1" x14ac:dyDescent="0.25">
      <c r="A141" s="64"/>
      <c r="B141" s="62"/>
      <c r="C141" s="62"/>
      <c r="D141" s="62"/>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row>
    <row r="142" spans="1:44" ht="15.75" customHeight="1" x14ac:dyDescent="0.25">
      <c r="A142" s="64"/>
      <c r="B142" s="62"/>
      <c r="C142" s="62"/>
      <c r="D142" s="62"/>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row>
    <row r="143" spans="1:44" ht="15.75" customHeight="1" x14ac:dyDescent="0.25">
      <c r="A143" s="64"/>
      <c r="B143" s="62"/>
      <c r="C143" s="62"/>
      <c r="D143" s="62"/>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row>
    <row r="144" spans="1:44" ht="15.75" customHeight="1" x14ac:dyDescent="0.25">
      <c r="A144" s="64"/>
      <c r="B144" s="62"/>
      <c r="C144" s="62"/>
      <c r="D144" s="62"/>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row>
    <row r="145" spans="1:44" ht="15.75" customHeight="1" x14ac:dyDescent="0.25">
      <c r="A145" s="64"/>
      <c r="B145" s="62"/>
      <c r="C145" s="62"/>
      <c r="D145" s="62"/>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row>
    <row r="146" spans="1:44" ht="15.75" customHeight="1" x14ac:dyDescent="0.25">
      <c r="A146" s="64"/>
      <c r="B146" s="62"/>
      <c r="C146" s="62"/>
      <c r="D146" s="62"/>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row>
    <row r="147" spans="1:44" ht="15.75" customHeight="1" x14ac:dyDescent="0.25">
      <c r="A147" s="64"/>
      <c r="B147" s="62"/>
      <c r="C147" s="62"/>
      <c r="D147" s="62"/>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row>
    <row r="148" spans="1:44" ht="15.75" customHeight="1" x14ac:dyDescent="0.25">
      <c r="A148" s="64"/>
      <c r="B148" s="62"/>
      <c r="C148" s="62"/>
      <c r="D148" s="62"/>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row>
    <row r="149" spans="1:44" ht="15.75" customHeight="1" x14ac:dyDescent="0.25">
      <c r="A149" s="64"/>
      <c r="B149" s="62"/>
      <c r="C149" s="62"/>
      <c r="D149" s="62"/>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row>
    <row r="150" spans="1:44" ht="15.75" customHeight="1" x14ac:dyDescent="0.25">
      <c r="A150" s="64"/>
      <c r="B150" s="62"/>
      <c r="C150" s="62"/>
      <c r="D150" s="62"/>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row>
    <row r="151" spans="1:44" ht="15.75" customHeight="1" x14ac:dyDescent="0.25">
      <c r="A151" s="64"/>
      <c r="B151" s="62"/>
      <c r="C151" s="62"/>
      <c r="D151" s="62"/>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row>
    <row r="152" spans="1:44" ht="15.75" customHeight="1" x14ac:dyDescent="0.25">
      <c r="A152" s="64"/>
      <c r="B152" s="62"/>
      <c r="C152" s="62"/>
      <c r="D152" s="62"/>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row>
    <row r="153" spans="1:44" ht="15.75" customHeight="1" x14ac:dyDescent="0.25">
      <c r="A153" s="64"/>
      <c r="B153" s="62"/>
      <c r="C153" s="62"/>
      <c r="D153" s="62"/>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row>
    <row r="154" spans="1:44" ht="15.75" customHeight="1" x14ac:dyDescent="0.25">
      <c r="A154" s="64"/>
      <c r="B154" s="62"/>
      <c r="C154" s="62"/>
      <c r="D154" s="62"/>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row>
    <row r="155" spans="1:44" ht="15.75" customHeight="1" x14ac:dyDescent="0.25">
      <c r="A155" s="64"/>
      <c r="B155" s="62"/>
      <c r="C155" s="62"/>
      <c r="D155" s="62"/>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row>
    <row r="156" spans="1:44" ht="15.75" customHeight="1" x14ac:dyDescent="0.25">
      <c r="A156" s="64"/>
      <c r="B156" s="62"/>
      <c r="C156" s="62"/>
      <c r="D156" s="62"/>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row>
    <row r="157" spans="1:44" ht="15.75" customHeight="1" x14ac:dyDescent="0.25">
      <c r="A157" s="64"/>
      <c r="B157" s="62"/>
      <c r="C157" s="62"/>
      <c r="D157" s="62"/>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row>
    <row r="158" spans="1:44" ht="15.75" customHeight="1" x14ac:dyDescent="0.25">
      <c r="A158" s="64"/>
      <c r="B158" s="62"/>
      <c r="C158" s="62"/>
      <c r="D158" s="62"/>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row>
    <row r="159" spans="1:44" ht="15.75" customHeight="1" x14ac:dyDescent="0.25">
      <c r="A159" s="64"/>
      <c r="B159" s="62"/>
      <c r="C159" s="62"/>
      <c r="D159" s="62"/>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row>
    <row r="160" spans="1:44" ht="15.75" customHeight="1" x14ac:dyDescent="0.25">
      <c r="A160" s="64"/>
      <c r="B160" s="62"/>
      <c r="C160" s="62"/>
      <c r="D160" s="62"/>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row>
    <row r="161" spans="1:44" ht="15.75" customHeight="1" x14ac:dyDescent="0.25">
      <c r="A161" s="64"/>
      <c r="B161" s="62"/>
      <c r="C161" s="62"/>
      <c r="D161" s="62"/>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row>
    <row r="162" spans="1:44" ht="15.75" customHeight="1" x14ac:dyDescent="0.25">
      <c r="A162" s="64"/>
      <c r="B162" s="62"/>
      <c r="C162" s="62"/>
      <c r="D162" s="62"/>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row>
    <row r="163" spans="1:44" ht="15.75" customHeight="1" x14ac:dyDescent="0.25">
      <c r="A163" s="64"/>
      <c r="B163" s="62"/>
      <c r="C163" s="62"/>
      <c r="D163" s="62"/>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row>
    <row r="164" spans="1:44" ht="15.75" customHeight="1" x14ac:dyDescent="0.25">
      <c r="A164" s="64"/>
      <c r="B164" s="62"/>
      <c r="C164" s="62"/>
      <c r="D164" s="62"/>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row>
    <row r="165" spans="1:44" ht="15.75" customHeight="1" x14ac:dyDescent="0.25">
      <c r="A165" s="64"/>
      <c r="B165" s="62"/>
      <c r="C165" s="62"/>
      <c r="D165" s="62"/>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row>
    <row r="166" spans="1:44" ht="15.75" customHeight="1" x14ac:dyDescent="0.25">
      <c r="A166" s="64"/>
      <c r="B166" s="62"/>
      <c r="C166" s="62"/>
      <c r="D166" s="62"/>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row>
    <row r="167" spans="1:44" ht="15.75" customHeight="1" x14ac:dyDescent="0.25">
      <c r="A167" s="64"/>
      <c r="B167" s="62"/>
      <c r="C167" s="62"/>
      <c r="D167" s="62"/>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row>
    <row r="168" spans="1:44" ht="15.75" customHeight="1" x14ac:dyDescent="0.25">
      <c r="A168" s="64"/>
      <c r="B168" s="62"/>
      <c r="C168" s="62"/>
      <c r="D168" s="62"/>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row>
    <row r="169" spans="1:44" ht="15.75" customHeight="1" x14ac:dyDescent="0.25">
      <c r="A169" s="64"/>
      <c r="B169" s="62"/>
      <c r="C169" s="62"/>
      <c r="D169" s="62"/>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row>
    <row r="170" spans="1:44" ht="15.75" customHeight="1" x14ac:dyDescent="0.25">
      <c r="A170" s="64"/>
      <c r="B170" s="62"/>
      <c r="C170" s="62"/>
      <c r="D170" s="62"/>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row>
    <row r="171" spans="1:44" ht="15.75" customHeight="1" x14ac:dyDescent="0.25">
      <c r="A171" s="64"/>
      <c r="B171" s="62"/>
      <c r="C171" s="62"/>
      <c r="D171" s="62"/>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row>
    <row r="172" spans="1:44" ht="15.75" customHeight="1" x14ac:dyDescent="0.25">
      <c r="A172" s="64"/>
      <c r="B172" s="62"/>
      <c r="C172" s="62"/>
      <c r="D172" s="62"/>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row>
    <row r="173" spans="1:44" ht="15.75" customHeight="1" x14ac:dyDescent="0.25">
      <c r="A173" s="64"/>
      <c r="B173" s="62"/>
      <c r="C173" s="62"/>
      <c r="D173" s="62"/>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row>
    <row r="174" spans="1:44" ht="15.75" customHeight="1" x14ac:dyDescent="0.25">
      <c r="A174" s="64"/>
      <c r="B174" s="62"/>
      <c r="C174" s="62"/>
      <c r="D174" s="62"/>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row>
    <row r="175" spans="1:44" ht="15.75" customHeight="1" x14ac:dyDescent="0.25">
      <c r="A175" s="64"/>
      <c r="B175" s="62"/>
      <c r="C175" s="62"/>
      <c r="D175" s="62"/>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row>
    <row r="176" spans="1:44" ht="15.75" customHeight="1" x14ac:dyDescent="0.25">
      <c r="A176" s="64"/>
      <c r="B176" s="62"/>
      <c r="C176" s="62"/>
      <c r="D176" s="62"/>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row>
    <row r="177" spans="1:44" ht="15.75" customHeight="1" x14ac:dyDescent="0.25">
      <c r="A177" s="64"/>
      <c r="B177" s="62"/>
      <c r="C177" s="62"/>
      <c r="D177" s="62"/>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row>
    <row r="178" spans="1:44" ht="15.75" customHeight="1" x14ac:dyDescent="0.25">
      <c r="A178" s="64"/>
      <c r="B178" s="62"/>
      <c r="C178" s="62"/>
      <c r="D178" s="62"/>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row>
    <row r="179" spans="1:44" ht="15.75" customHeight="1" x14ac:dyDescent="0.25">
      <c r="A179" s="64"/>
      <c r="B179" s="62"/>
      <c r="C179" s="62"/>
      <c r="D179" s="62"/>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row>
    <row r="180" spans="1:44" ht="15.75" customHeight="1" x14ac:dyDescent="0.25">
      <c r="A180" s="64"/>
      <c r="B180" s="62"/>
      <c r="C180" s="62"/>
      <c r="D180" s="62"/>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row>
    <row r="181" spans="1:44" ht="15.75" customHeight="1" x14ac:dyDescent="0.25">
      <c r="A181" s="64"/>
      <c r="B181" s="62"/>
      <c r="C181" s="62"/>
      <c r="D181" s="62"/>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row>
    <row r="182" spans="1:44" ht="15.75" customHeight="1" x14ac:dyDescent="0.25">
      <c r="A182" s="64"/>
      <c r="B182" s="62"/>
      <c r="C182" s="62"/>
      <c r="D182" s="62"/>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row>
    <row r="183" spans="1:44" ht="15.75" customHeight="1" x14ac:dyDescent="0.25">
      <c r="A183" s="64"/>
      <c r="B183" s="62"/>
      <c r="C183" s="62"/>
      <c r="D183" s="62"/>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row>
    <row r="184" spans="1:44" ht="15.75" customHeight="1" x14ac:dyDescent="0.25">
      <c r="A184" s="64"/>
      <c r="B184" s="62"/>
      <c r="C184" s="62"/>
      <c r="D184" s="62"/>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row>
    <row r="185" spans="1:44" ht="15.75" customHeight="1" x14ac:dyDescent="0.25">
      <c r="A185" s="64"/>
      <c r="B185" s="62"/>
      <c r="C185" s="62"/>
      <c r="D185" s="62"/>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row>
    <row r="186" spans="1:44" ht="15.75" customHeight="1" x14ac:dyDescent="0.25">
      <c r="A186" s="64"/>
      <c r="B186" s="62"/>
      <c r="C186" s="62"/>
      <c r="D186" s="62"/>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row>
    <row r="187" spans="1:44" ht="15.75" customHeight="1" x14ac:dyDescent="0.25">
      <c r="A187" s="64"/>
      <c r="B187" s="62"/>
      <c r="C187" s="62"/>
      <c r="D187" s="62"/>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row>
    <row r="188" spans="1:44" ht="15.75" customHeight="1" x14ac:dyDescent="0.25">
      <c r="A188" s="64"/>
      <c r="B188" s="62"/>
      <c r="C188" s="62"/>
      <c r="D188" s="62"/>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row>
    <row r="189" spans="1:44" ht="15.75" customHeight="1" x14ac:dyDescent="0.25">
      <c r="A189" s="64"/>
      <c r="B189" s="62"/>
      <c r="C189" s="62"/>
      <c r="D189" s="62"/>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row>
    <row r="190" spans="1:44" ht="15.75" customHeight="1" x14ac:dyDescent="0.25">
      <c r="A190" s="64"/>
      <c r="B190" s="62"/>
      <c r="C190" s="62"/>
      <c r="D190" s="62"/>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row>
    <row r="191" spans="1:44" ht="15.75" customHeight="1" x14ac:dyDescent="0.25">
      <c r="A191" s="64"/>
      <c r="B191" s="62"/>
      <c r="C191" s="62"/>
      <c r="D191" s="62"/>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row>
    <row r="192" spans="1:44" ht="15.75" customHeight="1" x14ac:dyDescent="0.25">
      <c r="A192" s="64"/>
      <c r="B192" s="62"/>
      <c r="C192" s="62"/>
      <c r="D192" s="62"/>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row>
    <row r="193" spans="1:44" ht="15.75" customHeight="1" x14ac:dyDescent="0.25">
      <c r="A193" s="64"/>
      <c r="B193" s="62"/>
      <c r="C193" s="62"/>
      <c r="D193" s="62"/>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row>
    <row r="194" spans="1:44" ht="15.75" customHeight="1" x14ac:dyDescent="0.25">
      <c r="A194" s="64"/>
      <c r="B194" s="62"/>
      <c r="C194" s="62"/>
      <c r="D194" s="62"/>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row>
    <row r="195" spans="1:44" ht="15.75" customHeight="1" x14ac:dyDescent="0.25">
      <c r="A195" s="64"/>
      <c r="B195" s="62"/>
      <c r="C195" s="62"/>
      <c r="D195" s="62"/>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row>
    <row r="196" spans="1:44" ht="15.75" customHeight="1" x14ac:dyDescent="0.25">
      <c r="A196" s="64"/>
      <c r="B196" s="62"/>
      <c r="C196" s="62"/>
      <c r="D196" s="62"/>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row>
    <row r="197" spans="1:44" ht="15.75" customHeight="1" x14ac:dyDescent="0.25">
      <c r="A197" s="64"/>
      <c r="B197" s="62"/>
      <c r="C197" s="62"/>
      <c r="D197" s="62"/>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row>
    <row r="198" spans="1:44" ht="15.75" customHeight="1" x14ac:dyDescent="0.25">
      <c r="A198" s="64"/>
      <c r="B198" s="62"/>
      <c r="C198" s="62"/>
      <c r="D198" s="62"/>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row>
    <row r="199" spans="1:44" ht="15.75" customHeight="1" x14ac:dyDescent="0.25">
      <c r="A199" s="64"/>
      <c r="B199" s="62"/>
      <c r="C199" s="62"/>
      <c r="D199" s="62"/>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row>
    <row r="200" spans="1:44" ht="15.75" customHeight="1" x14ac:dyDescent="0.25">
      <c r="A200" s="64"/>
      <c r="B200" s="62"/>
      <c r="C200" s="62"/>
      <c r="D200" s="62"/>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row>
    <row r="201" spans="1:44" ht="15.75" customHeight="1" x14ac:dyDescent="0.25">
      <c r="A201" s="64"/>
      <c r="B201" s="62"/>
      <c r="C201" s="62"/>
      <c r="D201" s="62"/>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row>
    <row r="202" spans="1:44" ht="15.75" customHeight="1" x14ac:dyDescent="0.25">
      <c r="A202" s="64"/>
      <c r="B202" s="62"/>
      <c r="C202" s="62"/>
      <c r="D202" s="62"/>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row>
    <row r="203" spans="1:44" ht="15.75" customHeight="1" x14ac:dyDescent="0.25">
      <c r="A203" s="64"/>
      <c r="B203" s="62"/>
      <c r="C203" s="62"/>
      <c r="D203" s="62"/>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row>
    <row r="204" spans="1:44" ht="15.75" customHeight="1" x14ac:dyDescent="0.25">
      <c r="A204" s="64"/>
      <c r="B204" s="62"/>
      <c r="C204" s="62"/>
      <c r="D204" s="62"/>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row>
    <row r="205" spans="1:44" ht="15.75" customHeight="1" x14ac:dyDescent="0.25">
      <c r="A205" s="64"/>
      <c r="B205" s="62"/>
      <c r="C205" s="62"/>
      <c r="D205" s="62"/>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row>
    <row r="206" spans="1:44" ht="15.75" customHeight="1" x14ac:dyDescent="0.25">
      <c r="A206" s="64"/>
      <c r="B206" s="62"/>
      <c r="C206" s="62"/>
      <c r="D206" s="62"/>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row>
    <row r="207" spans="1:44" ht="15.75" customHeight="1" x14ac:dyDescent="0.25">
      <c r="A207" s="64"/>
      <c r="B207" s="62"/>
      <c r="C207" s="62"/>
      <c r="D207" s="62"/>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row>
    <row r="208" spans="1:44" ht="15.75" customHeight="1" x14ac:dyDescent="0.25">
      <c r="A208" s="64"/>
      <c r="B208" s="62"/>
      <c r="C208" s="62"/>
      <c r="D208" s="62"/>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row>
    <row r="209" spans="1:44" ht="15.75" customHeight="1" x14ac:dyDescent="0.25">
      <c r="A209" s="64"/>
      <c r="B209" s="62"/>
      <c r="C209" s="62"/>
      <c r="D209" s="62"/>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row>
    <row r="210" spans="1:44" ht="15.75" customHeight="1" x14ac:dyDescent="0.25">
      <c r="A210" s="64"/>
      <c r="B210" s="62"/>
      <c r="C210" s="62"/>
      <c r="D210" s="62"/>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row>
    <row r="211" spans="1:44" ht="15.75" customHeight="1" x14ac:dyDescent="0.25">
      <c r="A211" s="64"/>
      <c r="B211" s="62"/>
      <c r="C211" s="62"/>
      <c r="D211" s="62"/>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row>
    <row r="212" spans="1:44" ht="15.75" customHeight="1" x14ac:dyDescent="0.25">
      <c r="A212" s="64"/>
      <c r="B212" s="62"/>
      <c r="C212" s="62"/>
      <c r="D212" s="62"/>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row>
    <row r="213" spans="1:44" ht="15.75" customHeight="1" x14ac:dyDescent="0.25">
      <c r="A213" s="64"/>
      <c r="B213" s="62"/>
      <c r="C213" s="62"/>
      <c r="D213" s="62"/>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row>
    <row r="214" spans="1:44" ht="15.75" customHeight="1" x14ac:dyDescent="0.25">
      <c r="A214" s="64"/>
      <c r="B214" s="62"/>
      <c r="C214" s="62"/>
      <c r="D214" s="62"/>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row>
    <row r="215" spans="1:44" ht="15.75" customHeight="1" x14ac:dyDescent="0.25">
      <c r="A215" s="64"/>
      <c r="B215" s="62"/>
      <c r="C215" s="62"/>
      <c r="D215" s="62"/>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row>
    <row r="216" spans="1:44" ht="15.75" customHeight="1" x14ac:dyDescent="0.25">
      <c r="A216" s="64"/>
      <c r="B216" s="62"/>
      <c r="C216" s="62"/>
      <c r="D216" s="62"/>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row>
    <row r="217" spans="1:44" ht="15.75" customHeight="1" x14ac:dyDescent="0.25">
      <c r="A217" s="64"/>
      <c r="B217" s="62"/>
      <c r="C217" s="62"/>
      <c r="D217" s="62"/>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row>
    <row r="218" spans="1:44" ht="15.75" customHeight="1" x14ac:dyDescent="0.25">
      <c r="A218" s="64"/>
      <c r="B218" s="62"/>
      <c r="C218" s="62"/>
      <c r="D218" s="62"/>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row>
    <row r="219" spans="1:44" ht="15.75" customHeight="1" x14ac:dyDescent="0.25">
      <c r="A219" s="64"/>
      <c r="B219" s="62"/>
      <c r="C219" s="62"/>
      <c r="D219" s="62"/>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row>
    <row r="220" spans="1:44" ht="15.75" customHeight="1" x14ac:dyDescent="0.25">
      <c r="A220" s="64"/>
      <c r="B220" s="62"/>
      <c r="C220" s="62"/>
      <c r="D220" s="62"/>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row>
    <row r="221" spans="1:44" ht="15.75" customHeight="1" x14ac:dyDescent="0.25">
      <c r="A221" s="64"/>
      <c r="B221" s="62"/>
      <c r="C221" s="62"/>
      <c r="D221" s="62"/>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row>
    <row r="222" spans="1:44" ht="15.75" customHeight="1" x14ac:dyDescent="0.25">
      <c r="A222" s="64"/>
      <c r="B222" s="62"/>
      <c r="C222" s="62"/>
      <c r="D222" s="62"/>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row>
    <row r="223" spans="1:44" ht="15.75" customHeight="1" x14ac:dyDescent="0.25">
      <c r="A223" s="64"/>
      <c r="B223" s="62"/>
      <c r="C223" s="62"/>
      <c r="D223" s="62"/>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row>
    <row r="224" spans="1:44" ht="15.75" customHeight="1" x14ac:dyDescent="0.25">
      <c r="A224" s="64"/>
      <c r="B224" s="62"/>
      <c r="C224" s="62"/>
      <c r="D224" s="62"/>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row>
    <row r="225" spans="1:44" ht="15.75" customHeight="1" x14ac:dyDescent="0.25">
      <c r="A225" s="64"/>
      <c r="B225" s="62"/>
      <c r="C225" s="62"/>
      <c r="D225" s="62"/>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row>
    <row r="226" spans="1:44" ht="15.75" customHeight="1" x14ac:dyDescent="0.25">
      <c r="A226" s="64"/>
      <c r="B226" s="62"/>
      <c r="C226" s="62"/>
      <c r="D226" s="62"/>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row>
    <row r="227" spans="1:44" ht="15.75" customHeight="1" x14ac:dyDescent="0.25">
      <c r="A227" s="64"/>
      <c r="B227" s="62"/>
      <c r="C227" s="62"/>
      <c r="D227" s="62"/>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row>
    <row r="228" spans="1:44" ht="15.75" customHeight="1" x14ac:dyDescent="0.25">
      <c r="A228" s="64"/>
      <c r="B228" s="62"/>
      <c r="C228" s="62"/>
      <c r="D228" s="62"/>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row>
    <row r="229" spans="1:44" ht="15.75" customHeight="1" x14ac:dyDescent="0.25">
      <c r="A229" s="64"/>
      <c r="B229" s="62"/>
      <c r="C229" s="62"/>
      <c r="D229" s="62"/>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row>
    <row r="230" spans="1:44" ht="15.75" customHeight="1" x14ac:dyDescent="0.25">
      <c r="A230" s="64"/>
      <c r="B230" s="62"/>
      <c r="C230" s="62"/>
      <c r="D230" s="62"/>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row>
    <row r="231" spans="1:44" ht="15.75" customHeight="1" x14ac:dyDescent="0.25">
      <c r="A231" s="64"/>
      <c r="B231" s="62"/>
      <c r="C231" s="62"/>
      <c r="D231" s="62"/>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row>
    <row r="232" spans="1:44" ht="15.75" customHeight="1" x14ac:dyDescent="0.25">
      <c r="A232" s="64"/>
      <c r="B232" s="62"/>
      <c r="C232" s="62"/>
      <c r="D232" s="62"/>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row>
    <row r="233" spans="1:44" ht="15.75" customHeight="1" x14ac:dyDescent="0.25">
      <c r="A233" s="64"/>
      <c r="B233" s="62"/>
      <c r="C233" s="62"/>
      <c r="D233" s="62"/>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row>
    <row r="234" spans="1:44" ht="15.75" customHeight="1" x14ac:dyDescent="0.25">
      <c r="A234" s="64"/>
      <c r="B234" s="62"/>
      <c r="C234" s="62"/>
      <c r="D234" s="62"/>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row>
    <row r="235" spans="1:44" ht="15.75" customHeight="1" x14ac:dyDescent="0.25">
      <c r="A235" s="64"/>
      <c r="B235" s="62"/>
      <c r="C235" s="62"/>
      <c r="D235" s="62"/>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row>
    <row r="236" spans="1:44" ht="15.75" customHeight="1" x14ac:dyDescent="0.25">
      <c r="A236" s="64"/>
      <c r="B236" s="62"/>
      <c r="C236" s="62"/>
      <c r="D236" s="62"/>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row>
    <row r="237" spans="1:44" ht="15.75" customHeight="1" x14ac:dyDescent="0.25">
      <c r="A237" s="64"/>
      <c r="B237" s="62"/>
      <c r="C237" s="62"/>
      <c r="D237" s="62"/>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row>
    <row r="238" spans="1:44" ht="15.75" customHeight="1" x14ac:dyDescent="0.25">
      <c r="A238" s="64"/>
      <c r="B238" s="62"/>
      <c r="C238" s="62"/>
      <c r="D238" s="62"/>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row>
    <row r="239" spans="1:44" ht="15.75" customHeight="1" x14ac:dyDescent="0.25">
      <c r="A239" s="64"/>
      <c r="B239" s="62"/>
      <c r="C239" s="62"/>
      <c r="D239" s="62"/>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row>
    <row r="240" spans="1:44" ht="15.75" customHeight="1" x14ac:dyDescent="0.25">
      <c r="A240" s="64"/>
      <c r="B240" s="62"/>
      <c r="C240" s="62"/>
      <c r="D240" s="62"/>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row>
    <row r="241" spans="1:44" ht="15.75" customHeight="1" x14ac:dyDescent="0.25">
      <c r="A241" s="64"/>
      <c r="B241" s="62"/>
      <c r="C241" s="62"/>
      <c r="D241" s="62"/>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row>
    <row r="242" spans="1:44" ht="15.75" customHeight="1" x14ac:dyDescent="0.25">
      <c r="A242" s="64"/>
      <c r="B242" s="62"/>
      <c r="C242" s="62"/>
      <c r="D242" s="62"/>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row>
    <row r="243" spans="1:44" ht="15.75" customHeight="1" x14ac:dyDescent="0.25">
      <c r="A243" s="64"/>
      <c r="B243" s="62"/>
      <c r="C243" s="62"/>
      <c r="D243" s="62"/>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row>
    <row r="244" spans="1:44" ht="15.75" customHeight="1" x14ac:dyDescent="0.25">
      <c r="A244" s="64"/>
      <c r="B244" s="62"/>
      <c r="C244" s="62"/>
      <c r="D244" s="62"/>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row>
    <row r="245" spans="1:44" ht="15.75" customHeight="1" x14ac:dyDescent="0.25">
      <c r="A245" s="64"/>
      <c r="B245" s="62"/>
      <c r="C245" s="62"/>
      <c r="D245" s="62"/>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row>
    <row r="246" spans="1:44" ht="15.75" customHeight="1" x14ac:dyDescent="0.25">
      <c r="A246" s="64"/>
      <c r="B246" s="62"/>
      <c r="C246" s="62"/>
      <c r="D246" s="62"/>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row>
    <row r="247" spans="1:44" ht="15.75" customHeight="1" x14ac:dyDescent="0.25">
      <c r="A247" s="64"/>
      <c r="B247" s="62"/>
      <c r="C247" s="62"/>
      <c r="D247" s="62"/>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row>
    <row r="248" spans="1:44" ht="15.75" customHeight="1" x14ac:dyDescent="0.25">
      <c r="A248" s="64"/>
      <c r="B248" s="62"/>
      <c r="C248" s="62"/>
      <c r="D248" s="62"/>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row>
    <row r="249" spans="1:44" ht="15.75" customHeight="1" x14ac:dyDescent="0.25">
      <c r="A249" s="64"/>
      <c r="B249" s="62"/>
      <c r="C249" s="62"/>
      <c r="D249" s="62"/>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row>
    <row r="250" spans="1:44" ht="15.75" customHeight="1" x14ac:dyDescent="0.25">
      <c r="A250" s="64"/>
      <c r="B250" s="62"/>
      <c r="C250" s="62"/>
      <c r="D250" s="62"/>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row>
    <row r="251" spans="1:44" ht="15.75" customHeight="1" x14ac:dyDescent="0.25">
      <c r="A251" s="64"/>
      <c r="B251" s="62"/>
      <c r="C251" s="62"/>
      <c r="D251" s="62"/>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row>
    <row r="252" spans="1:44" ht="15.75" customHeight="1" x14ac:dyDescent="0.25">
      <c r="A252" s="64"/>
      <c r="B252" s="62"/>
      <c r="C252" s="62"/>
      <c r="D252" s="62"/>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row>
    <row r="253" spans="1:44" ht="15.75" customHeight="1" x14ac:dyDescent="0.25">
      <c r="A253" s="64"/>
      <c r="B253" s="62"/>
      <c r="C253" s="62"/>
      <c r="D253" s="62"/>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row>
    <row r="254" spans="1:44" ht="15.75" customHeight="1" x14ac:dyDescent="0.25">
      <c r="A254" s="64"/>
      <c r="B254" s="62"/>
      <c r="C254" s="62"/>
      <c r="D254" s="62"/>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row>
    <row r="255" spans="1:44" ht="15.75" customHeight="1" x14ac:dyDescent="0.25">
      <c r="A255" s="64"/>
      <c r="B255" s="62"/>
      <c r="C255" s="62"/>
      <c r="D255" s="62"/>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row>
    <row r="256" spans="1:44" ht="15.75" customHeight="1" x14ac:dyDescent="0.25">
      <c r="A256" s="64"/>
      <c r="B256" s="62"/>
      <c r="C256" s="62"/>
      <c r="D256" s="62"/>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row>
    <row r="257" spans="1:44" ht="15.75" customHeight="1" x14ac:dyDescent="0.25">
      <c r="A257" s="64"/>
      <c r="B257" s="62"/>
      <c r="C257" s="62"/>
      <c r="D257" s="62"/>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row>
    <row r="258" spans="1:44" ht="15.75" customHeight="1" x14ac:dyDescent="0.25">
      <c r="A258" s="64"/>
      <c r="B258" s="62"/>
      <c r="C258" s="62"/>
      <c r="D258" s="62"/>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row>
    <row r="259" spans="1:44" ht="15.75" customHeight="1" x14ac:dyDescent="0.25">
      <c r="A259" s="64"/>
      <c r="B259" s="62"/>
      <c r="C259" s="62"/>
      <c r="D259" s="62"/>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row>
    <row r="260" spans="1:44" ht="15.75" customHeight="1" x14ac:dyDescent="0.25">
      <c r="A260" s="64"/>
      <c r="B260" s="62"/>
      <c r="C260" s="62"/>
      <c r="D260" s="62"/>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row>
    <row r="261" spans="1:44" ht="15.75" customHeight="1" x14ac:dyDescent="0.25">
      <c r="A261" s="64"/>
      <c r="B261" s="62"/>
      <c r="C261" s="62"/>
      <c r="D261" s="62"/>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row>
    <row r="262" spans="1:44" ht="15.75" customHeight="1" x14ac:dyDescent="0.25">
      <c r="A262" s="64"/>
      <c r="B262" s="62"/>
      <c r="C262" s="62"/>
      <c r="D262" s="62"/>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row>
    <row r="263" spans="1:44" ht="15.75" customHeight="1" x14ac:dyDescent="0.25">
      <c r="A263" s="64"/>
      <c r="B263" s="62"/>
      <c r="C263" s="62"/>
      <c r="D263" s="62"/>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row>
    <row r="264" spans="1:44" ht="15.75" customHeight="1" x14ac:dyDescent="0.25">
      <c r="A264" s="64"/>
      <c r="B264" s="62"/>
      <c r="C264" s="62"/>
      <c r="D264" s="62"/>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row>
    <row r="265" spans="1:44" ht="15.75" customHeight="1" x14ac:dyDescent="0.25">
      <c r="A265" s="64"/>
      <c r="B265" s="62"/>
      <c r="C265" s="62"/>
      <c r="D265" s="62"/>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row>
    <row r="266" spans="1:44" ht="15.75" customHeight="1" x14ac:dyDescent="0.25">
      <c r="A266" s="64"/>
      <c r="B266" s="62"/>
      <c r="C266" s="62"/>
      <c r="D266" s="62"/>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row>
    <row r="267" spans="1:44" ht="15.75" customHeight="1" x14ac:dyDescent="0.25">
      <c r="A267" s="64"/>
      <c r="B267" s="62"/>
      <c r="C267" s="62"/>
      <c r="D267" s="62"/>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row>
    <row r="268" spans="1:44" ht="15.75" customHeight="1" x14ac:dyDescent="0.25">
      <c r="A268" s="64"/>
      <c r="B268" s="62"/>
      <c r="C268" s="62"/>
      <c r="D268" s="62"/>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row>
    <row r="269" spans="1:44" ht="15.75" customHeight="1" x14ac:dyDescent="0.25">
      <c r="A269" s="64"/>
      <c r="B269" s="62"/>
      <c r="C269" s="62"/>
      <c r="D269" s="62"/>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row>
    <row r="270" spans="1:44" ht="15.75" customHeight="1" x14ac:dyDescent="0.25">
      <c r="A270" s="64"/>
      <c r="B270" s="62"/>
      <c r="C270" s="62"/>
      <c r="D270" s="62"/>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row>
    <row r="271" spans="1:44" ht="15.75" customHeight="1" x14ac:dyDescent="0.25">
      <c r="A271" s="64"/>
      <c r="B271" s="62"/>
      <c r="C271" s="62"/>
      <c r="D271" s="62"/>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row>
    <row r="272" spans="1:44" ht="15.75" customHeight="1" x14ac:dyDescent="0.25">
      <c r="A272" s="64"/>
      <c r="B272" s="62"/>
      <c r="C272" s="62"/>
      <c r="D272" s="62"/>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row>
    <row r="273" spans="1:44" ht="15.75" customHeight="1" x14ac:dyDescent="0.25">
      <c r="A273" s="64"/>
      <c r="B273" s="62"/>
      <c r="C273" s="62"/>
      <c r="D273" s="62"/>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row>
    <row r="274" spans="1:44" ht="15.75" customHeight="1" x14ac:dyDescent="0.25">
      <c r="A274" s="64"/>
      <c r="B274" s="62"/>
      <c r="C274" s="62"/>
      <c r="D274" s="62"/>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row>
    <row r="275" spans="1:44" ht="15.75" customHeight="1" x14ac:dyDescent="0.25">
      <c r="A275" s="64"/>
      <c r="B275" s="62"/>
      <c r="C275" s="62"/>
      <c r="D275" s="62"/>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row>
    <row r="276" spans="1:44" ht="15.75" customHeight="1" x14ac:dyDescent="0.25">
      <c r="A276" s="64"/>
      <c r="B276" s="62"/>
      <c r="C276" s="62"/>
      <c r="D276" s="62"/>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row>
    <row r="277" spans="1:44" ht="15.75" customHeight="1" x14ac:dyDescent="0.25">
      <c r="A277" s="64"/>
      <c r="B277" s="62"/>
      <c r="C277" s="62"/>
      <c r="D277" s="62"/>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row>
    <row r="278" spans="1:44" ht="15.75" customHeight="1" x14ac:dyDescent="0.25">
      <c r="A278" s="64"/>
      <c r="B278" s="62"/>
      <c r="C278" s="62"/>
      <c r="D278" s="62"/>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row>
    <row r="279" spans="1:44" ht="15.75" customHeight="1" x14ac:dyDescent="0.25">
      <c r="A279" s="64"/>
      <c r="B279" s="62"/>
      <c r="C279" s="62"/>
      <c r="D279" s="62"/>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row>
    <row r="280" spans="1:44" ht="15.75" customHeight="1" x14ac:dyDescent="0.25">
      <c r="A280" s="64"/>
      <c r="B280" s="62"/>
      <c r="C280" s="62"/>
      <c r="D280" s="62"/>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row>
    <row r="281" spans="1:44" ht="15.75" customHeight="1" x14ac:dyDescent="0.25">
      <c r="A281" s="64"/>
      <c r="B281" s="62"/>
      <c r="C281" s="62"/>
      <c r="D281" s="62"/>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row>
    <row r="282" spans="1:44" ht="15.75" customHeight="1" x14ac:dyDescent="0.25">
      <c r="A282" s="64"/>
      <c r="B282" s="62"/>
      <c r="C282" s="62"/>
      <c r="D282" s="62"/>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row>
    <row r="283" spans="1:44" ht="15.75" customHeight="1" x14ac:dyDescent="0.25">
      <c r="A283" s="64"/>
      <c r="B283" s="62"/>
      <c r="C283" s="62"/>
      <c r="D283" s="62"/>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row>
    <row r="284" spans="1:44" ht="15.75" customHeight="1" x14ac:dyDescent="0.25">
      <c r="A284" s="64"/>
      <c r="B284" s="62"/>
      <c r="C284" s="62"/>
      <c r="D284" s="62"/>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row>
    <row r="285" spans="1:44" ht="15.75" customHeight="1" x14ac:dyDescent="0.25">
      <c r="A285" s="64"/>
      <c r="B285" s="62"/>
      <c r="C285" s="62"/>
      <c r="D285" s="62"/>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row>
    <row r="286" spans="1:44" ht="15.75" customHeight="1" x14ac:dyDescent="0.25">
      <c r="A286" s="64"/>
      <c r="B286" s="62"/>
      <c r="C286" s="62"/>
      <c r="D286" s="62"/>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row>
    <row r="287" spans="1:44" ht="15.75" customHeight="1" x14ac:dyDescent="0.25">
      <c r="A287" s="64"/>
      <c r="B287" s="62"/>
      <c r="C287" s="62"/>
      <c r="D287" s="62"/>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row>
    <row r="288" spans="1:44" ht="15.75" customHeight="1" x14ac:dyDescent="0.25">
      <c r="A288" s="64"/>
      <c r="B288" s="62"/>
      <c r="C288" s="62"/>
      <c r="D288" s="62"/>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row>
    <row r="289" spans="1:44" ht="15.75" customHeight="1" x14ac:dyDescent="0.25">
      <c r="A289" s="64"/>
      <c r="B289" s="62"/>
      <c r="C289" s="62"/>
      <c r="D289" s="62"/>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row>
    <row r="290" spans="1:44" ht="15.75" customHeight="1" x14ac:dyDescent="0.25">
      <c r="A290" s="64"/>
      <c r="B290" s="62"/>
      <c r="C290" s="62"/>
      <c r="D290" s="62"/>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row>
    <row r="291" spans="1:44" ht="15.75" customHeight="1" x14ac:dyDescent="0.25">
      <c r="A291" s="64"/>
      <c r="B291" s="62"/>
      <c r="C291" s="62"/>
      <c r="D291" s="62"/>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row>
    <row r="292" spans="1:44" ht="15.75" customHeight="1" x14ac:dyDescent="0.25">
      <c r="A292" s="64"/>
      <c r="B292" s="62"/>
      <c r="C292" s="62"/>
      <c r="D292" s="62"/>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row>
    <row r="293" spans="1:44" ht="15.75" customHeight="1" x14ac:dyDescent="0.25">
      <c r="A293" s="64"/>
      <c r="B293" s="62"/>
      <c r="C293" s="62"/>
      <c r="D293" s="62"/>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row>
    <row r="294" spans="1:44" ht="15.75" customHeight="1" x14ac:dyDescent="0.25">
      <c r="A294" s="64"/>
      <c r="B294" s="62"/>
      <c r="C294" s="62"/>
      <c r="D294" s="62"/>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row>
    <row r="295" spans="1:44" ht="15.75" customHeight="1" x14ac:dyDescent="0.25">
      <c r="A295" s="64"/>
      <c r="B295" s="62"/>
      <c r="C295" s="62"/>
      <c r="D295" s="62"/>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row>
    <row r="296" spans="1:44" ht="15.75" customHeight="1" x14ac:dyDescent="0.25">
      <c r="A296" s="64"/>
      <c r="B296" s="62"/>
      <c r="C296" s="62"/>
      <c r="D296" s="62"/>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row>
    <row r="297" spans="1:44" ht="15.75" customHeight="1" x14ac:dyDescent="0.25">
      <c r="A297" s="64"/>
      <c r="B297" s="62"/>
      <c r="C297" s="62"/>
      <c r="D297" s="62"/>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row>
    <row r="298" spans="1:44" ht="15.75" customHeight="1" x14ac:dyDescent="0.25">
      <c r="A298" s="64"/>
      <c r="B298" s="62"/>
      <c r="C298" s="62"/>
      <c r="D298" s="62"/>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row>
    <row r="299" spans="1:44" ht="15.75" customHeight="1" x14ac:dyDescent="0.25">
      <c r="A299" s="64"/>
      <c r="B299" s="62"/>
      <c r="C299" s="62"/>
      <c r="D299" s="62"/>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row>
    <row r="300" spans="1:44" ht="15.75" customHeight="1" x14ac:dyDescent="0.25">
      <c r="A300" s="64"/>
      <c r="B300" s="62"/>
      <c r="C300" s="62"/>
      <c r="D300" s="62"/>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row>
    <row r="301" spans="1:44" ht="15.75" customHeight="1" x14ac:dyDescent="0.25">
      <c r="A301" s="64"/>
      <c r="B301" s="62"/>
      <c r="C301" s="62"/>
      <c r="D301" s="62"/>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row>
    <row r="302" spans="1:44" ht="15.75" customHeight="1" x14ac:dyDescent="0.25">
      <c r="A302" s="64"/>
      <c r="B302" s="62"/>
      <c r="C302" s="62"/>
      <c r="D302" s="62"/>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row>
    <row r="303" spans="1:44" ht="15.75" customHeight="1" x14ac:dyDescent="0.25">
      <c r="A303" s="64"/>
      <c r="B303" s="62"/>
      <c r="C303" s="62"/>
      <c r="D303" s="62"/>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row>
    <row r="304" spans="1:44" ht="15.75" customHeight="1" x14ac:dyDescent="0.25">
      <c r="A304" s="64"/>
      <c r="B304" s="62"/>
      <c r="C304" s="62"/>
      <c r="D304" s="62"/>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row>
    <row r="305" spans="1:44" ht="15.75" customHeight="1" x14ac:dyDescent="0.25">
      <c r="A305" s="64"/>
      <c r="B305" s="62"/>
      <c r="C305" s="62"/>
      <c r="D305" s="62"/>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row>
    <row r="306" spans="1:44" ht="15.75" customHeight="1" x14ac:dyDescent="0.25">
      <c r="A306" s="64"/>
      <c r="B306" s="62"/>
      <c r="C306" s="62"/>
      <c r="D306" s="62"/>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row>
    <row r="307" spans="1:44" ht="15.75" customHeight="1" x14ac:dyDescent="0.25">
      <c r="A307" s="64"/>
      <c r="B307" s="62"/>
      <c r="C307" s="62"/>
      <c r="D307" s="62"/>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row>
    <row r="308" spans="1:44" ht="15.75" customHeight="1" x14ac:dyDescent="0.25">
      <c r="A308" s="64"/>
      <c r="B308" s="62"/>
      <c r="C308" s="62"/>
      <c r="D308" s="62"/>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row>
    <row r="309" spans="1:44" ht="15.75" customHeight="1" x14ac:dyDescent="0.25">
      <c r="A309" s="64"/>
      <c r="B309" s="62"/>
      <c r="C309" s="62"/>
      <c r="D309" s="62"/>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row>
    <row r="310" spans="1:44" ht="15.75" customHeight="1" x14ac:dyDescent="0.25">
      <c r="A310" s="64"/>
      <c r="B310" s="62"/>
      <c r="C310" s="62"/>
      <c r="D310" s="62"/>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row>
    <row r="311" spans="1:44" ht="15.75" customHeight="1" x14ac:dyDescent="0.25">
      <c r="A311" s="64"/>
      <c r="B311" s="62"/>
      <c r="C311" s="62"/>
      <c r="D311" s="62"/>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row>
    <row r="312" spans="1:44" ht="15.75" customHeight="1" x14ac:dyDescent="0.25">
      <c r="A312" s="64"/>
      <c r="B312" s="62"/>
      <c r="C312" s="62"/>
      <c r="D312" s="62"/>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row>
    <row r="313" spans="1:44" ht="15.75" customHeight="1" x14ac:dyDescent="0.25">
      <c r="A313" s="64"/>
      <c r="B313" s="62"/>
      <c r="C313" s="62"/>
      <c r="D313" s="62"/>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row>
    <row r="314" spans="1:44" ht="15.75" customHeight="1" x14ac:dyDescent="0.25">
      <c r="A314" s="64"/>
      <c r="B314" s="62"/>
      <c r="C314" s="62"/>
      <c r="D314" s="62"/>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row>
    <row r="315" spans="1:44" ht="15.75" customHeight="1" x14ac:dyDescent="0.25">
      <c r="A315" s="64"/>
      <c r="B315" s="62"/>
      <c r="C315" s="62"/>
      <c r="D315" s="62"/>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row>
    <row r="316" spans="1:44" ht="15.75" customHeight="1" x14ac:dyDescent="0.25">
      <c r="A316" s="64"/>
      <c r="B316" s="62"/>
      <c r="C316" s="62"/>
      <c r="D316" s="62"/>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58"/>
      <c r="AH316" s="58"/>
      <c r="AI316" s="58"/>
      <c r="AJ316" s="58"/>
      <c r="AK316" s="58"/>
      <c r="AL316" s="58"/>
      <c r="AM316" s="58"/>
      <c r="AN316" s="58"/>
      <c r="AO316" s="58"/>
      <c r="AP316" s="58"/>
      <c r="AQ316" s="58"/>
      <c r="AR316" s="58"/>
    </row>
    <row r="317" spans="1:44" ht="15.75" customHeight="1" x14ac:dyDescent="0.25">
      <c r="A317" s="64"/>
      <c r="B317" s="62"/>
      <c r="C317" s="62"/>
      <c r="D317" s="62"/>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58"/>
      <c r="AK317" s="58"/>
      <c r="AL317" s="58"/>
      <c r="AM317" s="58"/>
      <c r="AN317" s="58"/>
      <c r="AO317" s="58"/>
      <c r="AP317" s="58"/>
      <c r="AQ317" s="58"/>
      <c r="AR317" s="58"/>
    </row>
    <row r="318" spans="1:44" ht="15.75" customHeight="1" x14ac:dyDescent="0.25">
      <c r="A318" s="64"/>
      <c r="B318" s="62"/>
      <c r="C318" s="62"/>
      <c r="D318" s="62"/>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c r="AG318" s="58"/>
      <c r="AH318" s="58"/>
      <c r="AI318" s="58"/>
      <c r="AJ318" s="58"/>
      <c r="AK318" s="58"/>
      <c r="AL318" s="58"/>
      <c r="AM318" s="58"/>
      <c r="AN318" s="58"/>
      <c r="AO318" s="58"/>
      <c r="AP318" s="58"/>
      <c r="AQ318" s="58"/>
      <c r="AR318" s="58"/>
    </row>
    <row r="319" spans="1:44" ht="15.75" customHeight="1" x14ac:dyDescent="0.25">
      <c r="A319" s="64"/>
      <c r="B319" s="62"/>
      <c r="C319" s="62"/>
      <c r="D319" s="62"/>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c r="AG319" s="58"/>
      <c r="AH319" s="58"/>
      <c r="AI319" s="58"/>
      <c r="AJ319" s="58"/>
      <c r="AK319" s="58"/>
      <c r="AL319" s="58"/>
      <c r="AM319" s="58"/>
      <c r="AN319" s="58"/>
      <c r="AO319" s="58"/>
      <c r="AP319" s="58"/>
      <c r="AQ319" s="58"/>
      <c r="AR319" s="58"/>
    </row>
    <row r="320" spans="1:44" ht="15.75" customHeight="1" x14ac:dyDescent="0.25">
      <c r="A320" s="64"/>
      <c r="B320" s="62"/>
      <c r="C320" s="62"/>
      <c r="D320" s="62"/>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c r="AI320" s="58"/>
      <c r="AJ320" s="58"/>
      <c r="AK320" s="58"/>
      <c r="AL320" s="58"/>
      <c r="AM320" s="58"/>
      <c r="AN320" s="58"/>
      <c r="AO320" s="58"/>
      <c r="AP320" s="58"/>
      <c r="AQ320" s="58"/>
      <c r="AR320" s="58"/>
    </row>
    <row r="321" spans="1:44" ht="15.75" customHeight="1" x14ac:dyDescent="0.25">
      <c r="A321" s="64"/>
      <c r="B321" s="62"/>
      <c r="C321" s="62"/>
      <c r="D321" s="62"/>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c r="AG321" s="58"/>
      <c r="AH321" s="58"/>
      <c r="AI321" s="58"/>
      <c r="AJ321" s="58"/>
      <c r="AK321" s="58"/>
      <c r="AL321" s="58"/>
      <c r="AM321" s="58"/>
      <c r="AN321" s="58"/>
      <c r="AO321" s="58"/>
      <c r="AP321" s="58"/>
      <c r="AQ321" s="58"/>
      <c r="AR321" s="58"/>
    </row>
    <row r="322" spans="1:44" ht="15.75" customHeight="1" x14ac:dyDescent="0.25">
      <c r="A322" s="64"/>
      <c r="B322" s="62"/>
      <c r="C322" s="62"/>
      <c r="D322" s="62"/>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c r="AG322" s="58"/>
      <c r="AH322" s="58"/>
      <c r="AI322" s="58"/>
      <c r="AJ322" s="58"/>
      <c r="AK322" s="58"/>
      <c r="AL322" s="58"/>
      <c r="AM322" s="58"/>
      <c r="AN322" s="58"/>
      <c r="AO322" s="58"/>
      <c r="AP322" s="58"/>
      <c r="AQ322" s="58"/>
      <c r="AR322" s="58"/>
    </row>
    <row r="323" spans="1:44" ht="15.75" customHeight="1" x14ac:dyDescent="0.25">
      <c r="A323" s="64"/>
      <c r="B323" s="62"/>
      <c r="C323" s="62"/>
      <c r="D323" s="62"/>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c r="AG323" s="58"/>
      <c r="AH323" s="58"/>
      <c r="AI323" s="58"/>
      <c r="AJ323" s="58"/>
      <c r="AK323" s="58"/>
      <c r="AL323" s="58"/>
      <c r="AM323" s="58"/>
      <c r="AN323" s="58"/>
      <c r="AO323" s="58"/>
      <c r="AP323" s="58"/>
      <c r="AQ323" s="58"/>
      <c r="AR323" s="58"/>
    </row>
    <row r="324" spans="1:44" ht="15.75" customHeight="1" x14ac:dyDescent="0.25">
      <c r="A324" s="64"/>
      <c r="B324" s="62"/>
      <c r="C324" s="62"/>
      <c r="D324" s="62"/>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c r="AE324" s="58"/>
      <c r="AF324" s="58"/>
      <c r="AG324" s="58"/>
      <c r="AH324" s="58"/>
      <c r="AI324" s="58"/>
      <c r="AJ324" s="58"/>
      <c r="AK324" s="58"/>
      <c r="AL324" s="58"/>
      <c r="AM324" s="58"/>
      <c r="AN324" s="58"/>
      <c r="AO324" s="58"/>
      <c r="AP324" s="58"/>
      <c r="AQ324" s="58"/>
      <c r="AR324" s="58"/>
    </row>
    <row r="325" spans="1:44" ht="15.75" customHeight="1" x14ac:dyDescent="0.25">
      <c r="A325" s="64"/>
      <c r="B325" s="62"/>
      <c r="C325" s="62"/>
      <c r="D325" s="62"/>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c r="AG325" s="58"/>
      <c r="AH325" s="58"/>
      <c r="AI325" s="58"/>
      <c r="AJ325" s="58"/>
      <c r="AK325" s="58"/>
      <c r="AL325" s="58"/>
      <c r="AM325" s="58"/>
      <c r="AN325" s="58"/>
      <c r="AO325" s="58"/>
      <c r="AP325" s="58"/>
      <c r="AQ325" s="58"/>
      <c r="AR325" s="58"/>
    </row>
    <row r="326" spans="1:44" ht="15.75" customHeight="1" x14ac:dyDescent="0.25">
      <c r="A326" s="64"/>
      <c r="B326" s="62"/>
      <c r="C326" s="62"/>
      <c r="D326" s="62"/>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c r="AG326" s="58"/>
      <c r="AH326" s="58"/>
      <c r="AI326" s="58"/>
      <c r="AJ326" s="58"/>
      <c r="AK326" s="58"/>
      <c r="AL326" s="58"/>
      <c r="AM326" s="58"/>
      <c r="AN326" s="58"/>
      <c r="AO326" s="58"/>
      <c r="AP326" s="58"/>
      <c r="AQ326" s="58"/>
      <c r="AR326" s="58"/>
    </row>
    <row r="327" spans="1:44" ht="15.75" customHeight="1" x14ac:dyDescent="0.25">
      <c r="A327" s="64"/>
      <c r="B327" s="62"/>
      <c r="C327" s="62"/>
      <c r="D327" s="62"/>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c r="AG327" s="58"/>
      <c r="AH327" s="58"/>
      <c r="AI327" s="58"/>
      <c r="AJ327" s="58"/>
      <c r="AK327" s="58"/>
      <c r="AL327" s="58"/>
      <c r="AM327" s="58"/>
      <c r="AN327" s="58"/>
      <c r="AO327" s="58"/>
      <c r="AP327" s="58"/>
      <c r="AQ327" s="58"/>
      <c r="AR327" s="58"/>
    </row>
    <row r="328" spans="1:44" ht="15.75" customHeight="1" x14ac:dyDescent="0.25">
      <c r="A328" s="64"/>
      <c r="B328" s="62"/>
      <c r="C328" s="62"/>
      <c r="D328" s="62"/>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8"/>
      <c r="AI328" s="58"/>
      <c r="AJ328" s="58"/>
      <c r="AK328" s="58"/>
      <c r="AL328" s="58"/>
      <c r="AM328" s="58"/>
      <c r="AN328" s="58"/>
      <c r="AO328" s="58"/>
      <c r="AP328" s="58"/>
      <c r="AQ328" s="58"/>
      <c r="AR328" s="58"/>
    </row>
    <row r="329" spans="1:44" ht="15.75" customHeight="1" x14ac:dyDescent="0.25">
      <c r="A329" s="64"/>
      <c r="B329" s="62"/>
      <c r="C329" s="62"/>
      <c r="D329" s="62"/>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c r="AI329" s="58"/>
      <c r="AJ329" s="58"/>
      <c r="AK329" s="58"/>
      <c r="AL329" s="58"/>
      <c r="AM329" s="58"/>
      <c r="AN329" s="58"/>
      <c r="AO329" s="58"/>
      <c r="AP329" s="58"/>
      <c r="AQ329" s="58"/>
      <c r="AR329" s="58"/>
    </row>
    <row r="330" spans="1:44" ht="15.75" customHeight="1" x14ac:dyDescent="0.25">
      <c r="A330" s="64"/>
      <c r="B330" s="62"/>
      <c r="C330" s="62"/>
      <c r="D330" s="62"/>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c r="AG330" s="58"/>
      <c r="AH330" s="58"/>
      <c r="AI330" s="58"/>
      <c r="AJ330" s="58"/>
      <c r="AK330" s="58"/>
      <c r="AL330" s="58"/>
      <c r="AM330" s="58"/>
      <c r="AN330" s="58"/>
      <c r="AO330" s="58"/>
      <c r="AP330" s="58"/>
      <c r="AQ330" s="58"/>
      <c r="AR330" s="58"/>
    </row>
    <row r="331" spans="1:44" ht="15.75" customHeight="1" x14ac:dyDescent="0.25">
      <c r="A331" s="64"/>
      <c r="B331" s="62"/>
      <c r="C331" s="62"/>
      <c r="D331" s="62"/>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c r="AG331" s="58"/>
      <c r="AH331" s="58"/>
      <c r="AI331" s="58"/>
      <c r="AJ331" s="58"/>
      <c r="AK331" s="58"/>
      <c r="AL331" s="58"/>
      <c r="AM331" s="58"/>
      <c r="AN331" s="58"/>
      <c r="AO331" s="58"/>
      <c r="AP331" s="58"/>
      <c r="AQ331" s="58"/>
      <c r="AR331" s="58"/>
    </row>
    <row r="332" spans="1:44" ht="15.75" customHeight="1" x14ac:dyDescent="0.25">
      <c r="A332" s="64"/>
      <c r="B332" s="62"/>
      <c r="C332" s="62"/>
      <c r="D332" s="62"/>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8"/>
      <c r="AI332" s="58"/>
      <c r="AJ332" s="58"/>
      <c r="AK332" s="58"/>
      <c r="AL332" s="58"/>
      <c r="AM332" s="58"/>
      <c r="AN332" s="58"/>
      <c r="AO332" s="58"/>
      <c r="AP332" s="58"/>
      <c r="AQ332" s="58"/>
      <c r="AR332" s="58"/>
    </row>
    <row r="333" spans="1:44" ht="15.75" customHeight="1" x14ac:dyDescent="0.25">
      <c r="A333" s="64"/>
      <c r="B333" s="62"/>
      <c r="C333" s="62"/>
      <c r="D333" s="62"/>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E333" s="58"/>
      <c r="AF333" s="58"/>
      <c r="AG333" s="58"/>
      <c r="AH333" s="58"/>
      <c r="AI333" s="58"/>
      <c r="AJ333" s="58"/>
      <c r="AK333" s="58"/>
      <c r="AL333" s="58"/>
      <c r="AM333" s="58"/>
      <c r="AN333" s="58"/>
      <c r="AO333" s="58"/>
      <c r="AP333" s="58"/>
      <c r="AQ333" s="58"/>
      <c r="AR333" s="58"/>
    </row>
    <row r="334" spans="1:44" ht="15.75" customHeight="1" x14ac:dyDescent="0.25">
      <c r="A334" s="64"/>
      <c r="B334" s="62"/>
      <c r="C334" s="62"/>
      <c r="D334" s="62"/>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E334" s="58"/>
      <c r="AF334" s="58"/>
      <c r="AG334" s="58"/>
      <c r="AH334" s="58"/>
      <c r="AI334" s="58"/>
      <c r="AJ334" s="58"/>
      <c r="AK334" s="58"/>
      <c r="AL334" s="58"/>
      <c r="AM334" s="58"/>
      <c r="AN334" s="58"/>
      <c r="AO334" s="58"/>
      <c r="AP334" s="58"/>
      <c r="AQ334" s="58"/>
      <c r="AR334" s="58"/>
    </row>
    <row r="335" spans="1:44" ht="15.75" customHeight="1" x14ac:dyDescent="0.25">
      <c r="A335" s="64"/>
      <c r="B335" s="62"/>
      <c r="C335" s="62"/>
      <c r="D335" s="62"/>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c r="AJ335" s="58"/>
      <c r="AK335" s="58"/>
      <c r="AL335" s="58"/>
      <c r="AM335" s="58"/>
      <c r="AN335" s="58"/>
      <c r="AO335" s="58"/>
      <c r="AP335" s="58"/>
      <c r="AQ335" s="58"/>
      <c r="AR335" s="58"/>
    </row>
    <row r="336" spans="1:44" ht="15.75" customHeight="1" x14ac:dyDescent="0.25">
      <c r="A336" s="64"/>
      <c r="B336" s="62"/>
      <c r="C336" s="62"/>
      <c r="D336" s="62"/>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E336" s="58"/>
      <c r="AF336" s="58"/>
      <c r="AG336" s="58"/>
      <c r="AH336" s="58"/>
      <c r="AI336" s="58"/>
      <c r="AJ336" s="58"/>
      <c r="AK336" s="58"/>
      <c r="AL336" s="58"/>
      <c r="AM336" s="58"/>
      <c r="AN336" s="58"/>
      <c r="AO336" s="58"/>
      <c r="AP336" s="58"/>
      <c r="AQ336" s="58"/>
      <c r="AR336" s="58"/>
    </row>
    <row r="337" spans="1:44" ht="15.75" customHeight="1" x14ac:dyDescent="0.25">
      <c r="A337" s="64"/>
      <c r="B337" s="62"/>
      <c r="C337" s="62"/>
      <c r="D337" s="62"/>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E337" s="58"/>
      <c r="AF337" s="58"/>
      <c r="AG337" s="58"/>
      <c r="AH337" s="58"/>
      <c r="AI337" s="58"/>
      <c r="AJ337" s="58"/>
      <c r="AK337" s="58"/>
      <c r="AL337" s="58"/>
      <c r="AM337" s="58"/>
      <c r="AN337" s="58"/>
      <c r="AO337" s="58"/>
      <c r="AP337" s="58"/>
      <c r="AQ337" s="58"/>
      <c r="AR337" s="58"/>
    </row>
    <row r="338" spans="1:44" ht="15.75" customHeight="1" x14ac:dyDescent="0.25">
      <c r="A338" s="64"/>
      <c r="B338" s="62"/>
      <c r="C338" s="62"/>
      <c r="D338" s="62"/>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E338" s="58"/>
      <c r="AF338" s="58"/>
      <c r="AG338" s="58"/>
      <c r="AH338" s="58"/>
      <c r="AI338" s="58"/>
      <c r="AJ338" s="58"/>
      <c r="AK338" s="58"/>
      <c r="AL338" s="58"/>
      <c r="AM338" s="58"/>
      <c r="AN338" s="58"/>
      <c r="AO338" s="58"/>
      <c r="AP338" s="58"/>
      <c r="AQ338" s="58"/>
      <c r="AR338" s="58"/>
    </row>
    <row r="339" spans="1:44" ht="15.75" customHeight="1" x14ac:dyDescent="0.25">
      <c r="A339" s="64"/>
      <c r="B339" s="62"/>
      <c r="C339" s="62"/>
      <c r="D339" s="62"/>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E339" s="58"/>
      <c r="AF339" s="58"/>
      <c r="AG339" s="58"/>
      <c r="AH339" s="58"/>
      <c r="AI339" s="58"/>
      <c r="AJ339" s="58"/>
      <c r="AK339" s="58"/>
      <c r="AL339" s="58"/>
      <c r="AM339" s="58"/>
      <c r="AN339" s="58"/>
      <c r="AO339" s="58"/>
      <c r="AP339" s="58"/>
      <c r="AQ339" s="58"/>
      <c r="AR339" s="58"/>
    </row>
    <row r="340" spans="1:44" ht="15.75" customHeight="1" x14ac:dyDescent="0.25">
      <c r="A340" s="64"/>
      <c r="B340" s="62"/>
      <c r="C340" s="62"/>
      <c r="D340" s="62"/>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c r="AG340" s="58"/>
      <c r="AH340" s="58"/>
      <c r="AI340" s="58"/>
      <c r="AJ340" s="58"/>
      <c r="AK340" s="58"/>
      <c r="AL340" s="58"/>
      <c r="AM340" s="58"/>
      <c r="AN340" s="58"/>
      <c r="AO340" s="58"/>
      <c r="AP340" s="58"/>
      <c r="AQ340" s="58"/>
      <c r="AR340" s="58"/>
    </row>
    <row r="341" spans="1:44" ht="15.75" customHeight="1" x14ac:dyDescent="0.25">
      <c r="A341" s="64"/>
      <c r="B341" s="62"/>
      <c r="C341" s="62"/>
      <c r="D341" s="62"/>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c r="AG341" s="58"/>
      <c r="AH341" s="58"/>
      <c r="AI341" s="58"/>
      <c r="AJ341" s="58"/>
      <c r="AK341" s="58"/>
      <c r="AL341" s="58"/>
      <c r="AM341" s="58"/>
      <c r="AN341" s="58"/>
      <c r="AO341" s="58"/>
      <c r="AP341" s="58"/>
      <c r="AQ341" s="58"/>
      <c r="AR341" s="58"/>
    </row>
    <row r="342" spans="1:44" ht="15.75" customHeight="1" x14ac:dyDescent="0.25">
      <c r="A342" s="64"/>
      <c r="B342" s="62"/>
      <c r="C342" s="62"/>
      <c r="D342" s="62"/>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c r="AG342" s="58"/>
      <c r="AH342" s="58"/>
      <c r="AI342" s="58"/>
      <c r="AJ342" s="58"/>
      <c r="AK342" s="58"/>
      <c r="AL342" s="58"/>
      <c r="AM342" s="58"/>
      <c r="AN342" s="58"/>
      <c r="AO342" s="58"/>
      <c r="AP342" s="58"/>
      <c r="AQ342" s="58"/>
      <c r="AR342" s="58"/>
    </row>
    <row r="343" spans="1:44" ht="15.75" customHeight="1" x14ac:dyDescent="0.25">
      <c r="A343" s="64"/>
      <c r="B343" s="62"/>
      <c r="C343" s="62"/>
      <c r="D343" s="62"/>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c r="AG343" s="58"/>
      <c r="AH343" s="58"/>
      <c r="AI343" s="58"/>
      <c r="AJ343" s="58"/>
      <c r="AK343" s="58"/>
      <c r="AL343" s="58"/>
      <c r="AM343" s="58"/>
      <c r="AN343" s="58"/>
      <c r="AO343" s="58"/>
      <c r="AP343" s="58"/>
      <c r="AQ343" s="58"/>
      <c r="AR343" s="58"/>
    </row>
    <row r="344" spans="1:44" ht="15.75" customHeight="1" x14ac:dyDescent="0.25">
      <c r="A344" s="64"/>
      <c r="B344" s="62"/>
      <c r="C344" s="62"/>
      <c r="D344" s="62"/>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c r="AJ344" s="58"/>
      <c r="AK344" s="58"/>
      <c r="AL344" s="58"/>
      <c r="AM344" s="58"/>
      <c r="AN344" s="58"/>
      <c r="AO344" s="58"/>
      <c r="AP344" s="58"/>
      <c r="AQ344" s="58"/>
      <c r="AR344" s="58"/>
    </row>
    <row r="345" spans="1:44" ht="15.75" customHeight="1" x14ac:dyDescent="0.25">
      <c r="A345" s="64"/>
      <c r="B345" s="62"/>
      <c r="C345" s="62"/>
      <c r="D345" s="62"/>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c r="AH345" s="58"/>
      <c r="AI345" s="58"/>
      <c r="AJ345" s="58"/>
      <c r="AK345" s="58"/>
      <c r="AL345" s="58"/>
      <c r="AM345" s="58"/>
      <c r="AN345" s="58"/>
      <c r="AO345" s="58"/>
      <c r="AP345" s="58"/>
      <c r="AQ345" s="58"/>
      <c r="AR345" s="58"/>
    </row>
    <row r="346" spans="1:44" ht="15.75" customHeight="1" x14ac:dyDescent="0.25">
      <c r="A346" s="64"/>
      <c r="B346" s="62"/>
      <c r="C346" s="62"/>
      <c r="D346" s="62"/>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c r="AI346" s="58"/>
      <c r="AJ346" s="58"/>
      <c r="AK346" s="58"/>
      <c r="AL346" s="58"/>
      <c r="AM346" s="58"/>
      <c r="AN346" s="58"/>
      <c r="AO346" s="58"/>
      <c r="AP346" s="58"/>
      <c r="AQ346" s="58"/>
      <c r="AR346" s="58"/>
    </row>
    <row r="347" spans="1:44" ht="15.75" customHeight="1" x14ac:dyDescent="0.25">
      <c r="A347" s="64"/>
      <c r="B347" s="62"/>
      <c r="C347" s="62"/>
      <c r="D347" s="62"/>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c r="AJ347" s="58"/>
      <c r="AK347" s="58"/>
      <c r="AL347" s="58"/>
      <c r="AM347" s="58"/>
      <c r="AN347" s="58"/>
      <c r="AO347" s="58"/>
      <c r="AP347" s="58"/>
      <c r="AQ347" s="58"/>
      <c r="AR347" s="58"/>
    </row>
    <row r="348" spans="1:44" ht="15.75" customHeight="1" x14ac:dyDescent="0.25">
      <c r="A348" s="64"/>
      <c r="B348" s="62"/>
      <c r="C348" s="62"/>
      <c r="D348" s="62"/>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c r="AI348" s="58"/>
      <c r="AJ348" s="58"/>
      <c r="AK348" s="58"/>
      <c r="AL348" s="58"/>
      <c r="AM348" s="58"/>
      <c r="AN348" s="58"/>
      <c r="AO348" s="58"/>
      <c r="AP348" s="58"/>
      <c r="AQ348" s="58"/>
      <c r="AR348" s="58"/>
    </row>
    <row r="349" spans="1:44" ht="15.75" customHeight="1" x14ac:dyDescent="0.25">
      <c r="A349" s="64"/>
      <c r="B349" s="62"/>
      <c r="C349" s="62"/>
      <c r="D349" s="62"/>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c r="AJ349" s="58"/>
      <c r="AK349" s="58"/>
      <c r="AL349" s="58"/>
      <c r="AM349" s="58"/>
      <c r="AN349" s="58"/>
      <c r="AO349" s="58"/>
      <c r="AP349" s="58"/>
      <c r="AQ349" s="58"/>
      <c r="AR349" s="58"/>
    </row>
    <row r="350" spans="1:44" ht="15.75" customHeight="1" x14ac:dyDescent="0.25">
      <c r="A350" s="64"/>
      <c r="B350" s="62"/>
      <c r="C350" s="62"/>
      <c r="D350" s="62"/>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c r="AJ350" s="58"/>
      <c r="AK350" s="58"/>
      <c r="AL350" s="58"/>
      <c r="AM350" s="58"/>
      <c r="AN350" s="58"/>
      <c r="AO350" s="58"/>
      <c r="AP350" s="58"/>
      <c r="AQ350" s="58"/>
      <c r="AR350" s="58"/>
    </row>
    <row r="351" spans="1:44" ht="15.75" customHeight="1" x14ac:dyDescent="0.25">
      <c r="A351" s="64"/>
      <c r="B351" s="62"/>
      <c r="C351" s="62"/>
      <c r="D351" s="62"/>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c r="AJ351" s="58"/>
      <c r="AK351" s="58"/>
      <c r="AL351" s="58"/>
      <c r="AM351" s="58"/>
      <c r="AN351" s="58"/>
      <c r="AO351" s="58"/>
      <c r="AP351" s="58"/>
      <c r="AQ351" s="58"/>
      <c r="AR351" s="58"/>
    </row>
    <row r="352" spans="1:44" ht="15.75" customHeight="1" x14ac:dyDescent="0.25">
      <c r="A352" s="64"/>
      <c r="B352" s="62"/>
      <c r="C352" s="62"/>
      <c r="D352" s="62"/>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c r="AJ352" s="58"/>
      <c r="AK352" s="58"/>
      <c r="AL352" s="58"/>
      <c r="AM352" s="58"/>
      <c r="AN352" s="58"/>
      <c r="AO352" s="58"/>
      <c r="AP352" s="58"/>
      <c r="AQ352" s="58"/>
      <c r="AR352" s="58"/>
    </row>
    <row r="353" spans="1:44" ht="15.75" customHeight="1" x14ac:dyDescent="0.25">
      <c r="A353" s="64"/>
      <c r="B353" s="62"/>
      <c r="C353" s="62"/>
      <c r="D353" s="62"/>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c r="AJ353" s="58"/>
      <c r="AK353" s="58"/>
      <c r="AL353" s="58"/>
      <c r="AM353" s="58"/>
      <c r="AN353" s="58"/>
      <c r="AO353" s="58"/>
      <c r="AP353" s="58"/>
      <c r="AQ353" s="58"/>
      <c r="AR353" s="58"/>
    </row>
    <row r="354" spans="1:44" ht="15.75" customHeight="1" x14ac:dyDescent="0.25">
      <c r="A354" s="64"/>
      <c r="B354" s="62"/>
      <c r="C354" s="62"/>
      <c r="D354" s="62"/>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8"/>
      <c r="AI354" s="58"/>
      <c r="AJ354" s="58"/>
      <c r="AK354" s="58"/>
      <c r="AL354" s="58"/>
      <c r="AM354" s="58"/>
      <c r="AN354" s="58"/>
      <c r="AO354" s="58"/>
      <c r="AP354" s="58"/>
      <c r="AQ354" s="58"/>
      <c r="AR354" s="58"/>
    </row>
    <row r="355" spans="1:44" ht="15.75" customHeight="1" x14ac:dyDescent="0.25">
      <c r="A355" s="64"/>
      <c r="B355" s="62"/>
      <c r="C355" s="62"/>
      <c r="D355" s="62"/>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c r="AG355" s="58"/>
      <c r="AH355" s="58"/>
      <c r="AI355" s="58"/>
      <c r="AJ355" s="58"/>
      <c r="AK355" s="58"/>
      <c r="AL355" s="58"/>
      <c r="AM355" s="58"/>
      <c r="AN355" s="58"/>
      <c r="AO355" s="58"/>
      <c r="AP355" s="58"/>
      <c r="AQ355" s="58"/>
      <c r="AR355" s="58"/>
    </row>
    <row r="356" spans="1:44" ht="15.75" customHeight="1" x14ac:dyDescent="0.25">
      <c r="A356" s="64"/>
      <c r="B356" s="62"/>
      <c r="C356" s="62"/>
      <c r="D356" s="62"/>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c r="AJ356" s="58"/>
      <c r="AK356" s="58"/>
      <c r="AL356" s="58"/>
      <c r="AM356" s="58"/>
      <c r="AN356" s="58"/>
      <c r="AO356" s="58"/>
      <c r="AP356" s="58"/>
      <c r="AQ356" s="58"/>
      <c r="AR356" s="58"/>
    </row>
    <row r="357" spans="1:44" ht="15.75" customHeight="1" x14ac:dyDescent="0.25">
      <c r="A357" s="64"/>
      <c r="B357" s="62"/>
      <c r="C357" s="62"/>
      <c r="D357" s="62"/>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c r="AJ357" s="58"/>
      <c r="AK357" s="58"/>
      <c r="AL357" s="58"/>
      <c r="AM357" s="58"/>
      <c r="AN357" s="58"/>
      <c r="AO357" s="58"/>
      <c r="AP357" s="58"/>
      <c r="AQ357" s="58"/>
      <c r="AR357" s="58"/>
    </row>
    <row r="358" spans="1:44" ht="15.75" customHeight="1" x14ac:dyDescent="0.25">
      <c r="A358" s="64"/>
      <c r="B358" s="62"/>
      <c r="C358" s="62"/>
      <c r="D358" s="62"/>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c r="AJ358" s="58"/>
      <c r="AK358" s="58"/>
      <c r="AL358" s="58"/>
      <c r="AM358" s="58"/>
      <c r="AN358" s="58"/>
      <c r="AO358" s="58"/>
      <c r="AP358" s="58"/>
      <c r="AQ358" s="58"/>
      <c r="AR358" s="58"/>
    </row>
    <row r="359" spans="1:44" ht="15.75" customHeight="1" x14ac:dyDescent="0.25">
      <c r="A359" s="64"/>
      <c r="B359" s="62"/>
      <c r="C359" s="62"/>
      <c r="D359" s="62"/>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c r="AJ359" s="58"/>
      <c r="AK359" s="58"/>
      <c r="AL359" s="58"/>
      <c r="AM359" s="58"/>
      <c r="AN359" s="58"/>
      <c r="AO359" s="58"/>
      <c r="AP359" s="58"/>
      <c r="AQ359" s="58"/>
      <c r="AR359" s="58"/>
    </row>
    <row r="360" spans="1:44" ht="15.75" customHeight="1" x14ac:dyDescent="0.25">
      <c r="A360" s="64"/>
      <c r="B360" s="62"/>
      <c r="C360" s="62"/>
      <c r="D360" s="62"/>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c r="AI360" s="58"/>
      <c r="AJ360" s="58"/>
      <c r="AK360" s="58"/>
      <c r="AL360" s="58"/>
      <c r="AM360" s="58"/>
      <c r="AN360" s="58"/>
      <c r="AO360" s="58"/>
      <c r="AP360" s="58"/>
      <c r="AQ360" s="58"/>
      <c r="AR360" s="58"/>
    </row>
    <row r="361" spans="1:44" ht="15.75" customHeight="1" x14ac:dyDescent="0.25">
      <c r="A361" s="64"/>
      <c r="B361" s="62"/>
      <c r="C361" s="62"/>
      <c r="D361" s="62"/>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c r="AI361" s="58"/>
      <c r="AJ361" s="58"/>
      <c r="AK361" s="58"/>
      <c r="AL361" s="58"/>
      <c r="AM361" s="58"/>
      <c r="AN361" s="58"/>
      <c r="AO361" s="58"/>
      <c r="AP361" s="58"/>
      <c r="AQ361" s="58"/>
      <c r="AR361" s="58"/>
    </row>
    <row r="362" spans="1:44" ht="15.75" customHeight="1" x14ac:dyDescent="0.25">
      <c r="A362" s="64"/>
      <c r="B362" s="62"/>
      <c r="C362" s="62"/>
      <c r="D362" s="62"/>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c r="AJ362" s="58"/>
      <c r="AK362" s="58"/>
      <c r="AL362" s="58"/>
      <c r="AM362" s="58"/>
      <c r="AN362" s="58"/>
      <c r="AO362" s="58"/>
      <c r="AP362" s="58"/>
      <c r="AQ362" s="58"/>
      <c r="AR362" s="58"/>
    </row>
    <row r="363" spans="1:44" ht="15.75" customHeight="1" x14ac:dyDescent="0.25">
      <c r="A363" s="64"/>
      <c r="B363" s="62"/>
      <c r="C363" s="62"/>
      <c r="D363" s="62"/>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c r="AJ363" s="58"/>
      <c r="AK363" s="58"/>
      <c r="AL363" s="58"/>
      <c r="AM363" s="58"/>
      <c r="AN363" s="58"/>
      <c r="AO363" s="58"/>
      <c r="AP363" s="58"/>
      <c r="AQ363" s="58"/>
      <c r="AR363" s="58"/>
    </row>
    <row r="364" spans="1:44" ht="15.75" customHeight="1" x14ac:dyDescent="0.25">
      <c r="A364" s="64"/>
      <c r="B364" s="62"/>
      <c r="C364" s="62"/>
      <c r="D364" s="62"/>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c r="AG364" s="58"/>
      <c r="AH364" s="58"/>
      <c r="AI364" s="58"/>
      <c r="AJ364" s="58"/>
      <c r="AK364" s="58"/>
      <c r="AL364" s="58"/>
      <c r="AM364" s="58"/>
      <c r="AN364" s="58"/>
      <c r="AO364" s="58"/>
      <c r="AP364" s="58"/>
      <c r="AQ364" s="58"/>
      <c r="AR364" s="58"/>
    </row>
    <row r="365" spans="1:44" ht="15.75" customHeight="1" x14ac:dyDescent="0.25">
      <c r="A365" s="64"/>
      <c r="B365" s="62"/>
      <c r="C365" s="62"/>
      <c r="D365" s="62"/>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8"/>
      <c r="AI365" s="58"/>
      <c r="AJ365" s="58"/>
      <c r="AK365" s="58"/>
      <c r="AL365" s="58"/>
      <c r="AM365" s="58"/>
      <c r="AN365" s="58"/>
      <c r="AO365" s="58"/>
      <c r="AP365" s="58"/>
      <c r="AQ365" s="58"/>
      <c r="AR365" s="58"/>
    </row>
    <row r="366" spans="1:44" ht="15.75" customHeight="1" x14ac:dyDescent="0.25">
      <c r="A366" s="64"/>
      <c r="B366" s="62"/>
      <c r="C366" s="62"/>
      <c r="D366" s="62"/>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c r="AI366" s="58"/>
      <c r="AJ366" s="58"/>
      <c r="AK366" s="58"/>
      <c r="AL366" s="58"/>
      <c r="AM366" s="58"/>
      <c r="AN366" s="58"/>
      <c r="AO366" s="58"/>
      <c r="AP366" s="58"/>
      <c r="AQ366" s="58"/>
      <c r="AR366" s="58"/>
    </row>
    <row r="367" spans="1:44" ht="15.75" customHeight="1" x14ac:dyDescent="0.25">
      <c r="A367" s="64"/>
      <c r="B367" s="62"/>
      <c r="C367" s="62"/>
      <c r="D367" s="62"/>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c r="AP367" s="58"/>
      <c r="AQ367" s="58"/>
      <c r="AR367" s="58"/>
    </row>
    <row r="368" spans="1:44" ht="15.75" customHeight="1" x14ac:dyDescent="0.25">
      <c r="A368" s="64"/>
      <c r="B368" s="62"/>
      <c r="C368" s="62"/>
      <c r="D368" s="62"/>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c r="AJ368" s="58"/>
      <c r="AK368" s="58"/>
      <c r="AL368" s="58"/>
      <c r="AM368" s="58"/>
      <c r="AN368" s="58"/>
      <c r="AO368" s="58"/>
      <c r="AP368" s="58"/>
      <c r="AQ368" s="58"/>
      <c r="AR368" s="58"/>
    </row>
    <row r="369" spans="1:44" ht="15.75" customHeight="1" x14ac:dyDescent="0.25">
      <c r="A369" s="64"/>
      <c r="B369" s="62"/>
      <c r="C369" s="62"/>
      <c r="D369" s="62"/>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8"/>
      <c r="AI369" s="58"/>
      <c r="AJ369" s="58"/>
      <c r="AK369" s="58"/>
      <c r="AL369" s="58"/>
      <c r="AM369" s="58"/>
      <c r="AN369" s="58"/>
      <c r="AO369" s="58"/>
      <c r="AP369" s="58"/>
      <c r="AQ369" s="58"/>
      <c r="AR369" s="58"/>
    </row>
    <row r="370" spans="1:44" ht="15.75" customHeight="1" x14ac:dyDescent="0.25">
      <c r="A370" s="64"/>
      <c r="B370" s="62"/>
      <c r="C370" s="62"/>
      <c r="D370" s="62"/>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c r="AG370" s="58"/>
      <c r="AH370" s="58"/>
      <c r="AI370" s="58"/>
      <c r="AJ370" s="58"/>
      <c r="AK370" s="58"/>
      <c r="AL370" s="58"/>
      <c r="AM370" s="58"/>
      <c r="AN370" s="58"/>
      <c r="AO370" s="58"/>
      <c r="AP370" s="58"/>
      <c r="AQ370" s="58"/>
      <c r="AR370" s="58"/>
    </row>
    <row r="371" spans="1:44" ht="15.75" customHeight="1" x14ac:dyDescent="0.25">
      <c r="A371" s="64"/>
      <c r="B371" s="62"/>
      <c r="C371" s="62"/>
      <c r="D371" s="62"/>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c r="AI371" s="58"/>
      <c r="AJ371" s="58"/>
      <c r="AK371" s="58"/>
      <c r="AL371" s="58"/>
      <c r="AM371" s="58"/>
      <c r="AN371" s="58"/>
      <c r="AO371" s="58"/>
      <c r="AP371" s="58"/>
      <c r="AQ371" s="58"/>
      <c r="AR371" s="58"/>
    </row>
    <row r="372" spans="1:44" ht="15.75" customHeight="1" x14ac:dyDescent="0.25">
      <c r="A372" s="64"/>
      <c r="B372" s="62"/>
      <c r="C372" s="62"/>
      <c r="D372" s="62"/>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c r="AG372" s="58"/>
      <c r="AH372" s="58"/>
      <c r="AI372" s="58"/>
      <c r="AJ372" s="58"/>
      <c r="AK372" s="58"/>
      <c r="AL372" s="58"/>
      <c r="AM372" s="58"/>
      <c r="AN372" s="58"/>
      <c r="AO372" s="58"/>
      <c r="AP372" s="58"/>
      <c r="AQ372" s="58"/>
      <c r="AR372" s="58"/>
    </row>
    <row r="373" spans="1:44" ht="15.75" customHeight="1" x14ac:dyDescent="0.25">
      <c r="A373" s="64"/>
      <c r="B373" s="62"/>
      <c r="C373" s="62"/>
      <c r="D373" s="62"/>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c r="AG373" s="58"/>
      <c r="AH373" s="58"/>
      <c r="AI373" s="58"/>
      <c r="AJ373" s="58"/>
      <c r="AK373" s="58"/>
      <c r="AL373" s="58"/>
      <c r="AM373" s="58"/>
      <c r="AN373" s="58"/>
      <c r="AO373" s="58"/>
      <c r="AP373" s="58"/>
      <c r="AQ373" s="58"/>
      <c r="AR373" s="58"/>
    </row>
    <row r="374" spans="1:44" ht="15.75" customHeight="1" x14ac:dyDescent="0.25">
      <c r="A374" s="64"/>
      <c r="B374" s="62"/>
      <c r="C374" s="62"/>
      <c r="D374" s="62"/>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58"/>
      <c r="AK374" s="58"/>
      <c r="AL374" s="58"/>
      <c r="AM374" s="58"/>
      <c r="AN374" s="58"/>
      <c r="AO374" s="58"/>
      <c r="AP374" s="58"/>
      <c r="AQ374" s="58"/>
      <c r="AR374" s="58"/>
    </row>
    <row r="375" spans="1:44" ht="15.75" customHeight="1" x14ac:dyDescent="0.25">
      <c r="A375" s="64"/>
      <c r="B375" s="62"/>
      <c r="C375" s="62"/>
      <c r="D375" s="62"/>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c r="AP375" s="58"/>
      <c r="AQ375" s="58"/>
      <c r="AR375" s="58"/>
    </row>
    <row r="376" spans="1:44" ht="15.75" customHeight="1" x14ac:dyDescent="0.25">
      <c r="A376" s="64"/>
      <c r="B376" s="62"/>
      <c r="C376" s="62"/>
      <c r="D376" s="62"/>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c r="AI376" s="58"/>
      <c r="AJ376" s="58"/>
      <c r="AK376" s="58"/>
      <c r="AL376" s="58"/>
      <c r="AM376" s="58"/>
      <c r="AN376" s="58"/>
      <c r="AO376" s="58"/>
      <c r="AP376" s="58"/>
      <c r="AQ376" s="58"/>
      <c r="AR376" s="58"/>
    </row>
    <row r="377" spans="1:44" ht="15.75" customHeight="1" x14ac:dyDescent="0.25">
      <c r="A377" s="64"/>
      <c r="B377" s="62"/>
      <c r="C377" s="62"/>
      <c r="D377" s="62"/>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58"/>
      <c r="AK377" s="58"/>
      <c r="AL377" s="58"/>
      <c r="AM377" s="58"/>
      <c r="AN377" s="58"/>
      <c r="AO377" s="58"/>
      <c r="AP377" s="58"/>
      <c r="AQ377" s="58"/>
      <c r="AR377" s="58"/>
    </row>
    <row r="378" spans="1:44" ht="15.75" customHeight="1" x14ac:dyDescent="0.25">
      <c r="A378" s="64"/>
      <c r="B378" s="62"/>
      <c r="C378" s="62"/>
      <c r="D378" s="62"/>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c r="AP378" s="58"/>
      <c r="AQ378" s="58"/>
      <c r="AR378" s="58"/>
    </row>
    <row r="379" spans="1:44" ht="15.75" customHeight="1" x14ac:dyDescent="0.25">
      <c r="A379" s="64"/>
      <c r="B379" s="62"/>
      <c r="C379" s="62"/>
      <c r="D379" s="62"/>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c r="AP379" s="58"/>
      <c r="AQ379" s="58"/>
      <c r="AR379" s="58"/>
    </row>
    <row r="380" spans="1:44" ht="15.75" customHeight="1" x14ac:dyDescent="0.25">
      <c r="A380" s="64"/>
      <c r="B380" s="62"/>
      <c r="C380" s="62"/>
      <c r="D380" s="62"/>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c r="AP380" s="58"/>
      <c r="AQ380" s="58"/>
      <c r="AR380" s="58"/>
    </row>
    <row r="381" spans="1:44" ht="15.75" customHeight="1" x14ac:dyDescent="0.25">
      <c r="A381" s="64"/>
      <c r="B381" s="62"/>
      <c r="C381" s="62"/>
      <c r="D381" s="62"/>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c r="AP381" s="58"/>
      <c r="AQ381" s="58"/>
      <c r="AR381" s="58"/>
    </row>
    <row r="382" spans="1:44" ht="15.75" customHeight="1" x14ac:dyDescent="0.25">
      <c r="A382" s="64"/>
      <c r="B382" s="62"/>
      <c r="C382" s="62"/>
      <c r="D382" s="62"/>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c r="AO382" s="58"/>
      <c r="AP382" s="58"/>
      <c r="AQ382" s="58"/>
      <c r="AR382" s="58"/>
    </row>
    <row r="383" spans="1:44" ht="15.75" customHeight="1" x14ac:dyDescent="0.25">
      <c r="A383" s="64"/>
      <c r="B383" s="62"/>
      <c r="C383" s="62"/>
      <c r="D383" s="62"/>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58"/>
      <c r="AK383" s="58"/>
      <c r="AL383" s="58"/>
      <c r="AM383" s="58"/>
      <c r="AN383" s="58"/>
      <c r="AO383" s="58"/>
      <c r="AP383" s="58"/>
      <c r="AQ383" s="58"/>
      <c r="AR383" s="58"/>
    </row>
    <row r="384" spans="1:44" ht="15.75" customHeight="1" x14ac:dyDescent="0.25">
      <c r="A384" s="64"/>
      <c r="B384" s="62"/>
      <c r="C384" s="62"/>
      <c r="D384" s="62"/>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c r="AG384" s="58"/>
      <c r="AH384" s="58"/>
      <c r="AI384" s="58"/>
      <c r="AJ384" s="58"/>
      <c r="AK384" s="58"/>
      <c r="AL384" s="58"/>
      <c r="AM384" s="58"/>
      <c r="AN384" s="58"/>
      <c r="AO384" s="58"/>
      <c r="AP384" s="58"/>
      <c r="AQ384" s="58"/>
      <c r="AR384" s="58"/>
    </row>
    <row r="385" spans="1:44" ht="15.75" customHeight="1" x14ac:dyDescent="0.25">
      <c r="A385" s="64"/>
      <c r="B385" s="62"/>
      <c r="C385" s="62"/>
      <c r="D385" s="62"/>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c r="AG385" s="58"/>
      <c r="AH385" s="58"/>
      <c r="AI385" s="58"/>
      <c r="AJ385" s="58"/>
      <c r="AK385" s="58"/>
      <c r="AL385" s="58"/>
      <c r="AM385" s="58"/>
      <c r="AN385" s="58"/>
      <c r="AO385" s="58"/>
      <c r="AP385" s="58"/>
      <c r="AQ385" s="58"/>
      <c r="AR385" s="58"/>
    </row>
    <row r="386" spans="1:44" ht="15.75" customHeight="1" x14ac:dyDescent="0.25">
      <c r="A386" s="64"/>
      <c r="B386" s="62"/>
      <c r="C386" s="62"/>
      <c r="D386" s="62"/>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c r="AI386" s="58"/>
      <c r="AJ386" s="58"/>
      <c r="AK386" s="58"/>
      <c r="AL386" s="58"/>
      <c r="AM386" s="58"/>
      <c r="AN386" s="58"/>
      <c r="AO386" s="58"/>
      <c r="AP386" s="58"/>
      <c r="AQ386" s="58"/>
      <c r="AR386" s="58"/>
    </row>
    <row r="387" spans="1:44" ht="15.75" customHeight="1" x14ac:dyDescent="0.25">
      <c r="A387" s="64"/>
      <c r="B387" s="62"/>
      <c r="C387" s="62"/>
      <c r="D387" s="62"/>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c r="AG387" s="58"/>
      <c r="AH387" s="58"/>
      <c r="AI387" s="58"/>
      <c r="AJ387" s="58"/>
      <c r="AK387" s="58"/>
      <c r="AL387" s="58"/>
      <c r="AM387" s="58"/>
      <c r="AN387" s="58"/>
      <c r="AO387" s="58"/>
      <c r="AP387" s="58"/>
      <c r="AQ387" s="58"/>
      <c r="AR387" s="58"/>
    </row>
    <row r="388" spans="1:44" ht="15.75" customHeight="1" x14ac:dyDescent="0.25">
      <c r="A388" s="64"/>
      <c r="B388" s="62"/>
      <c r="C388" s="62"/>
      <c r="D388" s="62"/>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c r="AG388" s="58"/>
      <c r="AH388" s="58"/>
      <c r="AI388" s="58"/>
      <c r="AJ388" s="58"/>
      <c r="AK388" s="58"/>
      <c r="AL388" s="58"/>
      <c r="AM388" s="58"/>
      <c r="AN388" s="58"/>
      <c r="AO388" s="58"/>
      <c r="AP388" s="58"/>
      <c r="AQ388" s="58"/>
      <c r="AR388" s="58"/>
    </row>
    <row r="389" spans="1:44" ht="15.75" customHeight="1" x14ac:dyDescent="0.25">
      <c r="A389" s="64"/>
      <c r="B389" s="62"/>
      <c r="C389" s="62"/>
      <c r="D389" s="62"/>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c r="AI389" s="58"/>
      <c r="AJ389" s="58"/>
      <c r="AK389" s="58"/>
      <c r="AL389" s="58"/>
      <c r="AM389" s="58"/>
      <c r="AN389" s="58"/>
      <c r="AO389" s="58"/>
      <c r="AP389" s="58"/>
      <c r="AQ389" s="58"/>
      <c r="AR389" s="58"/>
    </row>
    <row r="390" spans="1:44" ht="15.75" customHeight="1" x14ac:dyDescent="0.25">
      <c r="A390" s="64"/>
      <c r="B390" s="62"/>
      <c r="C390" s="62"/>
      <c r="D390" s="62"/>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c r="AG390" s="58"/>
      <c r="AH390" s="58"/>
      <c r="AI390" s="58"/>
      <c r="AJ390" s="58"/>
      <c r="AK390" s="58"/>
      <c r="AL390" s="58"/>
      <c r="AM390" s="58"/>
      <c r="AN390" s="58"/>
      <c r="AO390" s="58"/>
      <c r="AP390" s="58"/>
      <c r="AQ390" s="58"/>
      <c r="AR390" s="58"/>
    </row>
    <row r="391" spans="1:44" ht="15.75" customHeight="1" x14ac:dyDescent="0.25">
      <c r="A391" s="64"/>
      <c r="B391" s="62"/>
      <c r="C391" s="62"/>
      <c r="D391" s="62"/>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c r="AG391" s="58"/>
      <c r="AH391" s="58"/>
      <c r="AI391" s="58"/>
      <c r="AJ391" s="58"/>
      <c r="AK391" s="58"/>
      <c r="AL391" s="58"/>
      <c r="AM391" s="58"/>
      <c r="AN391" s="58"/>
      <c r="AO391" s="58"/>
      <c r="AP391" s="58"/>
      <c r="AQ391" s="58"/>
      <c r="AR391" s="58"/>
    </row>
    <row r="392" spans="1:44" ht="15.75" customHeight="1" x14ac:dyDescent="0.25">
      <c r="A392" s="64"/>
      <c r="B392" s="62"/>
      <c r="C392" s="62"/>
      <c r="D392" s="62"/>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c r="AR392" s="58"/>
    </row>
    <row r="393" spans="1:44" ht="15.75" customHeight="1" x14ac:dyDescent="0.25">
      <c r="A393" s="64"/>
      <c r="B393" s="62"/>
      <c r="C393" s="62"/>
      <c r="D393" s="62"/>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c r="AR393" s="58"/>
    </row>
    <row r="394" spans="1:44" ht="15.75" customHeight="1" x14ac:dyDescent="0.25">
      <c r="A394" s="64"/>
      <c r="B394" s="62"/>
      <c r="C394" s="62"/>
      <c r="D394" s="62"/>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row>
    <row r="395" spans="1:44" ht="15.75" customHeight="1" x14ac:dyDescent="0.25">
      <c r="A395" s="64"/>
      <c r="B395" s="62"/>
      <c r="C395" s="62"/>
      <c r="D395" s="62"/>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row>
    <row r="396" spans="1:44" ht="15.75" customHeight="1" x14ac:dyDescent="0.25">
      <c r="A396" s="64"/>
      <c r="B396" s="62"/>
      <c r="C396" s="62"/>
      <c r="D396" s="62"/>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row>
    <row r="397" spans="1:44" ht="15.75" customHeight="1" x14ac:dyDescent="0.25">
      <c r="A397" s="64"/>
      <c r="B397" s="62"/>
      <c r="C397" s="62"/>
      <c r="D397" s="62"/>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row>
    <row r="398" spans="1:44" ht="15.75" customHeight="1" x14ac:dyDescent="0.25">
      <c r="A398" s="64"/>
      <c r="B398" s="62"/>
      <c r="C398" s="62"/>
      <c r="D398" s="62"/>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row>
    <row r="399" spans="1:44" ht="15.75" customHeight="1" x14ac:dyDescent="0.25">
      <c r="A399" s="64"/>
      <c r="B399" s="62"/>
      <c r="C399" s="62"/>
      <c r="D399" s="62"/>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row>
    <row r="400" spans="1:44" ht="15.75" customHeight="1" x14ac:dyDescent="0.25">
      <c r="A400" s="64"/>
      <c r="B400" s="62"/>
      <c r="C400" s="62"/>
      <c r="D400" s="62"/>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row>
    <row r="401" spans="1:44" ht="15.75" customHeight="1" x14ac:dyDescent="0.25">
      <c r="A401" s="64"/>
      <c r="B401" s="62"/>
      <c r="C401" s="62"/>
      <c r="D401" s="62"/>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row>
    <row r="402" spans="1:44" ht="15.75" customHeight="1" x14ac:dyDescent="0.25">
      <c r="A402" s="64"/>
      <c r="B402" s="62"/>
      <c r="C402" s="62"/>
      <c r="D402" s="62"/>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row>
    <row r="403" spans="1:44" ht="15.75" customHeight="1" x14ac:dyDescent="0.25">
      <c r="A403" s="64"/>
      <c r="B403" s="62"/>
      <c r="C403" s="62"/>
      <c r="D403" s="62"/>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row>
    <row r="404" spans="1:44" ht="15.75" customHeight="1" x14ac:dyDescent="0.25">
      <c r="A404" s="64"/>
      <c r="B404" s="62"/>
      <c r="C404" s="62"/>
      <c r="D404" s="62"/>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row>
    <row r="405" spans="1:44" ht="15.75" customHeight="1" x14ac:dyDescent="0.25">
      <c r="A405" s="64"/>
      <c r="B405" s="62"/>
      <c r="C405" s="62"/>
      <c r="D405" s="62"/>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row>
    <row r="406" spans="1:44" ht="15.75" customHeight="1" x14ac:dyDescent="0.25">
      <c r="A406" s="64"/>
      <c r="B406" s="62"/>
      <c r="C406" s="62"/>
      <c r="D406" s="62"/>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c r="AG406" s="58"/>
      <c r="AH406" s="58"/>
      <c r="AI406" s="58"/>
      <c r="AJ406" s="58"/>
      <c r="AK406" s="58"/>
      <c r="AL406" s="58"/>
      <c r="AM406" s="58"/>
      <c r="AN406" s="58"/>
      <c r="AO406" s="58"/>
      <c r="AP406" s="58"/>
      <c r="AQ406" s="58"/>
      <c r="AR406" s="58"/>
    </row>
    <row r="407" spans="1:44" ht="15.75" customHeight="1" x14ac:dyDescent="0.25">
      <c r="A407" s="64"/>
      <c r="B407" s="62"/>
      <c r="C407" s="62"/>
      <c r="D407" s="62"/>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8"/>
      <c r="AI407" s="58"/>
      <c r="AJ407" s="58"/>
      <c r="AK407" s="58"/>
      <c r="AL407" s="58"/>
      <c r="AM407" s="58"/>
      <c r="AN407" s="58"/>
      <c r="AO407" s="58"/>
      <c r="AP407" s="58"/>
      <c r="AQ407" s="58"/>
      <c r="AR407" s="58"/>
    </row>
    <row r="408" spans="1:44" ht="15.75" customHeight="1" x14ac:dyDescent="0.25">
      <c r="A408" s="64"/>
      <c r="B408" s="62"/>
      <c r="C408" s="62"/>
      <c r="D408" s="62"/>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c r="AE408" s="58"/>
      <c r="AF408" s="58"/>
      <c r="AG408" s="58"/>
      <c r="AH408" s="58"/>
      <c r="AI408" s="58"/>
      <c r="AJ408" s="58"/>
      <c r="AK408" s="58"/>
      <c r="AL408" s="58"/>
      <c r="AM408" s="58"/>
      <c r="AN408" s="58"/>
      <c r="AO408" s="58"/>
      <c r="AP408" s="58"/>
      <c r="AQ408" s="58"/>
      <c r="AR408" s="58"/>
    </row>
    <row r="409" spans="1:44" ht="15.75" customHeight="1" x14ac:dyDescent="0.25">
      <c r="A409" s="64"/>
      <c r="B409" s="62"/>
      <c r="C409" s="62"/>
      <c r="D409" s="62"/>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c r="AE409" s="58"/>
      <c r="AF409" s="58"/>
      <c r="AG409" s="58"/>
      <c r="AH409" s="58"/>
      <c r="AI409" s="58"/>
      <c r="AJ409" s="58"/>
      <c r="AK409" s="58"/>
      <c r="AL409" s="58"/>
      <c r="AM409" s="58"/>
      <c r="AN409" s="58"/>
      <c r="AO409" s="58"/>
      <c r="AP409" s="58"/>
      <c r="AQ409" s="58"/>
      <c r="AR409" s="58"/>
    </row>
    <row r="410" spans="1:44" ht="15.75" customHeight="1" x14ac:dyDescent="0.25">
      <c r="A410" s="64"/>
      <c r="B410" s="62"/>
      <c r="C410" s="62"/>
      <c r="D410" s="62"/>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8"/>
      <c r="AI410" s="58"/>
      <c r="AJ410" s="58"/>
      <c r="AK410" s="58"/>
      <c r="AL410" s="58"/>
      <c r="AM410" s="58"/>
      <c r="AN410" s="58"/>
      <c r="AO410" s="58"/>
      <c r="AP410" s="58"/>
      <c r="AQ410" s="58"/>
      <c r="AR410" s="58"/>
    </row>
    <row r="411" spans="1:44" ht="15.75" customHeight="1" x14ac:dyDescent="0.25">
      <c r="A411" s="64"/>
      <c r="B411" s="62"/>
      <c r="C411" s="62"/>
      <c r="D411" s="62"/>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c r="AG411" s="58"/>
      <c r="AH411" s="58"/>
      <c r="AI411" s="58"/>
      <c r="AJ411" s="58"/>
      <c r="AK411" s="58"/>
      <c r="AL411" s="58"/>
      <c r="AM411" s="58"/>
      <c r="AN411" s="58"/>
      <c r="AO411" s="58"/>
      <c r="AP411" s="58"/>
      <c r="AQ411" s="58"/>
      <c r="AR411" s="58"/>
    </row>
    <row r="412" spans="1:44" ht="15.75" customHeight="1" x14ac:dyDescent="0.25">
      <c r="A412" s="64"/>
      <c r="B412" s="62"/>
      <c r="C412" s="62"/>
      <c r="D412" s="62"/>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c r="AG412" s="58"/>
      <c r="AH412" s="58"/>
      <c r="AI412" s="58"/>
      <c r="AJ412" s="58"/>
      <c r="AK412" s="58"/>
      <c r="AL412" s="58"/>
      <c r="AM412" s="58"/>
      <c r="AN412" s="58"/>
      <c r="AO412" s="58"/>
      <c r="AP412" s="58"/>
      <c r="AQ412" s="58"/>
      <c r="AR412" s="58"/>
    </row>
    <row r="413" spans="1:44" ht="15.75" customHeight="1" x14ac:dyDescent="0.25">
      <c r="A413" s="64"/>
      <c r="B413" s="62"/>
      <c r="C413" s="62"/>
      <c r="D413" s="62"/>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8"/>
      <c r="AI413" s="58"/>
      <c r="AJ413" s="58"/>
      <c r="AK413" s="58"/>
      <c r="AL413" s="58"/>
      <c r="AM413" s="58"/>
      <c r="AN413" s="58"/>
      <c r="AO413" s="58"/>
      <c r="AP413" s="58"/>
      <c r="AQ413" s="58"/>
      <c r="AR413" s="58"/>
    </row>
    <row r="414" spans="1:44" ht="15.75" customHeight="1" x14ac:dyDescent="0.25">
      <c r="A414" s="64"/>
      <c r="B414" s="62"/>
      <c r="C414" s="62"/>
      <c r="D414" s="62"/>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c r="AE414" s="58"/>
      <c r="AF414" s="58"/>
      <c r="AG414" s="58"/>
      <c r="AH414" s="58"/>
      <c r="AI414" s="58"/>
      <c r="AJ414" s="58"/>
      <c r="AK414" s="58"/>
      <c r="AL414" s="58"/>
      <c r="AM414" s="58"/>
      <c r="AN414" s="58"/>
      <c r="AO414" s="58"/>
      <c r="AP414" s="58"/>
      <c r="AQ414" s="58"/>
      <c r="AR414" s="58"/>
    </row>
    <row r="415" spans="1:44" ht="15.75" customHeight="1" x14ac:dyDescent="0.25">
      <c r="A415" s="64"/>
      <c r="B415" s="62"/>
      <c r="C415" s="62"/>
      <c r="D415" s="62"/>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c r="AG415" s="58"/>
      <c r="AH415" s="58"/>
      <c r="AI415" s="58"/>
      <c r="AJ415" s="58"/>
      <c r="AK415" s="58"/>
      <c r="AL415" s="58"/>
      <c r="AM415" s="58"/>
      <c r="AN415" s="58"/>
      <c r="AO415" s="58"/>
      <c r="AP415" s="58"/>
      <c r="AQ415" s="58"/>
      <c r="AR415" s="58"/>
    </row>
    <row r="416" spans="1:44" ht="15.75" customHeight="1" x14ac:dyDescent="0.25">
      <c r="A416" s="64"/>
      <c r="B416" s="62"/>
      <c r="C416" s="62"/>
      <c r="D416" s="62"/>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8"/>
      <c r="AI416" s="58"/>
      <c r="AJ416" s="58"/>
      <c r="AK416" s="58"/>
      <c r="AL416" s="58"/>
      <c r="AM416" s="58"/>
      <c r="AN416" s="58"/>
      <c r="AO416" s="58"/>
      <c r="AP416" s="58"/>
      <c r="AQ416" s="58"/>
      <c r="AR416" s="58"/>
    </row>
    <row r="417" spans="1:44" ht="15.75" customHeight="1" x14ac:dyDescent="0.25">
      <c r="A417" s="64"/>
      <c r="B417" s="62"/>
      <c r="C417" s="62"/>
      <c r="D417" s="62"/>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c r="AG417" s="58"/>
      <c r="AH417" s="58"/>
      <c r="AI417" s="58"/>
      <c r="AJ417" s="58"/>
      <c r="AK417" s="58"/>
      <c r="AL417" s="58"/>
      <c r="AM417" s="58"/>
      <c r="AN417" s="58"/>
      <c r="AO417" s="58"/>
      <c r="AP417" s="58"/>
      <c r="AQ417" s="58"/>
      <c r="AR417" s="58"/>
    </row>
    <row r="418" spans="1:44" ht="15.75" customHeight="1" x14ac:dyDescent="0.25">
      <c r="A418" s="64"/>
      <c r="B418" s="62"/>
      <c r="C418" s="62"/>
      <c r="D418" s="62"/>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c r="AG418" s="58"/>
      <c r="AH418" s="58"/>
      <c r="AI418" s="58"/>
      <c r="AJ418" s="58"/>
      <c r="AK418" s="58"/>
      <c r="AL418" s="58"/>
      <c r="AM418" s="58"/>
      <c r="AN418" s="58"/>
      <c r="AO418" s="58"/>
      <c r="AP418" s="58"/>
      <c r="AQ418" s="58"/>
      <c r="AR418" s="58"/>
    </row>
    <row r="419" spans="1:44" ht="15.75" customHeight="1" x14ac:dyDescent="0.25">
      <c r="A419" s="64"/>
      <c r="B419" s="62"/>
      <c r="C419" s="62"/>
      <c r="D419" s="62"/>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8"/>
      <c r="AI419" s="58"/>
      <c r="AJ419" s="58"/>
      <c r="AK419" s="58"/>
      <c r="AL419" s="58"/>
      <c r="AM419" s="58"/>
      <c r="AN419" s="58"/>
      <c r="AO419" s="58"/>
      <c r="AP419" s="58"/>
      <c r="AQ419" s="58"/>
      <c r="AR419" s="58"/>
    </row>
    <row r="420" spans="1:44" ht="15.75" customHeight="1" x14ac:dyDescent="0.25">
      <c r="A420" s="64"/>
      <c r="B420" s="62"/>
      <c r="C420" s="62"/>
      <c r="D420" s="62"/>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c r="AG420" s="58"/>
      <c r="AH420" s="58"/>
      <c r="AI420" s="58"/>
      <c r="AJ420" s="58"/>
      <c r="AK420" s="58"/>
      <c r="AL420" s="58"/>
      <c r="AM420" s="58"/>
      <c r="AN420" s="58"/>
      <c r="AO420" s="58"/>
      <c r="AP420" s="58"/>
      <c r="AQ420" s="58"/>
      <c r="AR420" s="58"/>
    </row>
    <row r="421" spans="1:44" ht="15.75" customHeight="1" x14ac:dyDescent="0.25">
      <c r="A421" s="64"/>
      <c r="B421" s="62"/>
      <c r="C421" s="62"/>
      <c r="D421" s="62"/>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c r="AE421" s="58"/>
      <c r="AF421" s="58"/>
      <c r="AG421" s="58"/>
      <c r="AH421" s="58"/>
      <c r="AI421" s="58"/>
      <c r="AJ421" s="58"/>
      <c r="AK421" s="58"/>
      <c r="AL421" s="58"/>
      <c r="AM421" s="58"/>
      <c r="AN421" s="58"/>
      <c r="AO421" s="58"/>
      <c r="AP421" s="58"/>
      <c r="AQ421" s="58"/>
      <c r="AR421" s="58"/>
    </row>
    <row r="422" spans="1:44" ht="15.75" customHeight="1" x14ac:dyDescent="0.25">
      <c r="A422" s="64"/>
      <c r="B422" s="62"/>
      <c r="C422" s="62"/>
      <c r="D422" s="62"/>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8"/>
      <c r="AI422" s="58"/>
      <c r="AJ422" s="58"/>
      <c r="AK422" s="58"/>
      <c r="AL422" s="58"/>
      <c r="AM422" s="58"/>
      <c r="AN422" s="58"/>
      <c r="AO422" s="58"/>
      <c r="AP422" s="58"/>
      <c r="AQ422" s="58"/>
      <c r="AR422" s="58"/>
    </row>
    <row r="423" spans="1:44" ht="15.75" customHeight="1" x14ac:dyDescent="0.25">
      <c r="A423" s="64"/>
      <c r="B423" s="62"/>
      <c r="C423" s="62"/>
      <c r="D423" s="62"/>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c r="AG423" s="58"/>
      <c r="AH423" s="58"/>
      <c r="AI423" s="58"/>
      <c r="AJ423" s="58"/>
      <c r="AK423" s="58"/>
      <c r="AL423" s="58"/>
      <c r="AM423" s="58"/>
      <c r="AN423" s="58"/>
      <c r="AO423" s="58"/>
      <c r="AP423" s="58"/>
      <c r="AQ423" s="58"/>
      <c r="AR423" s="58"/>
    </row>
    <row r="424" spans="1:44" ht="15.75" customHeight="1" x14ac:dyDescent="0.25">
      <c r="A424" s="64"/>
      <c r="B424" s="62"/>
      <c r="C424" s="62"/>
      <c r="D424" s="62"/>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c r="AG424" s="58"/>
      <c r="AH424" s="58"/>
      <c r="AI424" s="58"/>
      <c r="AJ424" s="58"/>
      <c r="AK424" s="58"/>
      <c r="AL424" s="58"/>
      <c r="AM424" s="58"/>
      <c r="AN424" s="58"/>
      <c r="AO424" s="58"/>
      <c r="AP424" s="58"/>
      <c r="AQ424" s="58"/>
      <c r="AR424" s="58"/>
    </row>
    <row r="425" spans="1:44" ht="15.75" customHeight="1" x14ac:dyDescent="0.25">
      <c r="A425" s="64"/>
      <c r="B425" s="62"/>
      <c r="C425" s="62"/>
      <c r="D425" s="62"/>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8"/>
      <c r="AI425" s="58"/>
      <c r="AJ425" s="58"/>
      <c r="AK425" s="58"/>
      <c r="AL425" s="58"/>
      <c r="AM425" s="58"/>
      <c r="AN425" s="58"/>
      <c r="AO425" s="58"/>
      <c r="AP425" s="58"/>
      <c r="AQ425" s="58"/>
      <c r="AR425" s="58"/>
    </row>
    <row r="426" spans="1:44" ht="15.75" customHeight="1" x14ac:dyDescent="0.25">
      <c r="A426" s="64"/>
      <c r="B426" s="62"/>
      <c r="C426" s="62"/>
      <c r="D426" s="62"/>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c r="AG426" s="58"/>
      <c r="AH426" s="58"/>
      <c r="AI426" s="58"/>
      <c r="AJ426" s="58"/>
      <c r="AK426" s="58"/>
      <c r="AL426" s="58"/>
      <c r="AM426" s="58"/>
      <c r="AN426" s="58"/>
      <c r="AO426" s="58"/>
      <c r="AP426" s="58"/>
      <c r="AQ426" s="58"/>
      <c r="AR426" s="58"/>
    </row>
    <row r="427" spans="1:44" ht="15.75" customHeight="1" x14ac:dyDescent="0.25">
      <c r="A427" s="64"/>
      <c r="B427" s="62"/>
      <c r="C427" s="62"/>
      <c r="D427" s="62"/>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c r="AG427" s="58"/>
      <c r="AH427" s="58"/>
      <c r="AI427" s="58"/>
      <c r="AJ427" s="58"/>
      <c r="AK427" s="58"/>
      <c r="AL427" s="58"/>
      <c r="AM427" s="58"/>
      <c r="AN427" s="58"/>
      <c r="AO427" s="58"/>
      <c r="AP427" s="58"/>
      <c r="AQ427" s="58"/>
      <c r="AR427" s="58"/>
    </row>
    <row r="428" spans="1:44" ht="15.75" customHeight="1" x14ac:dyDescent="0.25">
      <c r="A428" s="64"/>
      <c r="B428" s="62"/>
      <c r="C428" s="62"/>
      <c r="D428" s="62"/>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8"/>
      <c r="AI428" s="58"/>
      <c r="AJ428" s="58"/>
      <c r="AK428" s="58"/>
      <c r="AL428" s="58"/>
      <c r="AM428" s="58"/>
      <c r="AN428" s="58"/>
      <c r="AO428" s="58"/>
      <c r="AP428" s="58"/>
      <c r="AQ428" s="58"/>
      <c r="AR428" s="58"/>
    </row>
    <row r="429" spans="1:44" ht="15.75" customHeight="1" x14ac:dyDescent="0.25">
      <c r="A429" s="64"/>
      <c r="B429" s="62"/>
      <c r="C429" s="62"/>
      <c r="D429" s="62"/>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c r="AG429" s="58"/>
      <c r="AH429" s="58"/>
      <c r="AI429" s="58"/>
      <c r="AJ429" s="58"/>
      <c r="AK429" s="58"/>
      <c r="AL429" s="58"/>
      <c r="AM429" s="58"/>
      <c r="AN429" s="58"/>
      <c r="AO429" s="58"/>
      <c r="AP429" s="58"/>
      <c r="AQ429" s="58"/>
      <c r="AR429" s="58"/>
    </row>
    <row r="430" spans="1:44" ht="15.75" customHeight="1" x14ac:dyDescent="0.25">
      <c r="A430" s="64"/>
      <c r="B430" s="62"/>
      <c r="C430" s="62"/>
      <c r="D430" s="62"/>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c r="AE430" s="58"/>
      <c r="AF430" s="58"/>
      <c r="AG430" s="58"/>
      <c r="AH430" s="58"/>
      <c r="AI430" s="58"/>
      <c r="AJ430" s="58"/>
      <c r="AK430" s="58"/>
      <c r="AL430" s="58"/>
      <c r="AM430" s="58"/>
      <c r="AN430" s="58"/>
      <c r="AO430" s="58"/>
      <c r="AP430" s="58"/>
      <c r="AQ430" s="58"/>
      <c r="AR430" s="58"/>
    </row>
    <row r="431" spans="1:44" ht="15.75" customHeight="1" x14ac:dyDescent="0.25">
      <c r="A431" s="64"/>
      <c r="B431" s="62"/>
      <c r="C431" s="62"/>
      <c r="D431" s="62"/>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8"/>
      <c r="AI431" s="58"/>
      <c r="AJ431" s="58"/>
      <c r="AK431" s="58"/>
      <c r="AL431" s="58"/>
      <c r="AM431" s="58"/>
      <c r="AN431" s="58"/>
      <c r="AO431" s="58"/>
      <c r="AP431" s="58"/>
      <c r="AQ431" s="58"/>
      <c r="AR431" s="58"/>
    </row>
    <row r="432" spans="1:44" ht="15.75" customHeight="1" x14ac:dyDescent="0.25">
      <c r="A432" s="64"/>
      <c r="B432" s="62"/>
      <c r="C432" s="62"/>
      <c r="D432" s="62"/>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c r="AE432" s="58"/>
      <c r="AF432" s="58"/>
      <c r="AG432" s="58"/>
      <c r="AH432" s="58"/>
      <c r="AI432" s="58"/>
      <c r="AJ432" s="58"/>
      <c r="AK432" s="58"/>
      <c r="AL432" s="58"/>
      <c r="AM432" s="58"/>
      <c r="AN432" s="58"/>
      <c r="AO432" s="58"/>
      <c r="AP432" s="58"/>
      <c r="AQ432" s="58"/>
      <c r="AR432" s="58"/>
    </row>
    <row r="433" spans="1:44" ht="15.75" customHeight="1" x14ac:dyDescent="0.25">
      <c r="A433" s="64"/>
      <c r="B433" s="62"/>
      <c r="C433" s="62"/>
      <c r="D433" s="62"/>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8"/>
      <c r="AI433" s="58"/>
      <c r="AJ433" s="58"/>
      <c r="AK433" s="58"/>
      <c r="AL433" s="58"/>
      <c r="AM433" s="58"/>
      <c r="AN433" s="58"/>
      <c r="AO433" s="58"/>
      <c r="AP433" s="58"/>
      <c r="AQ433" s="58"/>
      <c r="AR433" s="58"/>
    </row>
    <row r="434" spans="1:44" ht="15.75" customHeight="1" x14ac:dyDescent="0.25">
      <c r="A434" s="64"/>
      <c r="B434" s="62"/>
      <c r="C434" s="62"/>
      <c r="D434" s="62"/>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58"/>
      <c r="AK434" s="58"/>
      <c r="AL434" s="58"/>
      <c r="AM434" s="58"/>
      <c r="AN434" s="58"/>
      <c r="AO434" s="58"/>
      <c r="AP434" s="58"/>
      <c r="AQ434" s="58"/>
      <c r="AR434" s="58"/>
    </row>
    <row r="435" spans="1:44" ht="15.75" customHeight="1" x14ac:dyDescent="0.25">
      <c r="A435" s="64"/>
      <c r="B435" s="62"/>
      <c r="C435" s="62"/>
      <c r="D435" s="62"/>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8"/>
      <c r="AI435" s="58"/>
      <c r="AJ435" s="58"/>
      <c r="AK435" s="58"/>
      <c r="AL435" s="58"/>
      <c r="AM435" s="58"/>
      <c r="AN435" s="58"/>
      <c r="AO435" s="58"/>
      <c r="AP435" s="58"/>
      <c r="AQ435" s="58"/>
      <c r="AR435" s="58"/>
    </row>
    <row r="436" spans="1:44" ht="15.75" customHeight="1" x14ac:dyDescent="0.25">
      <c r="A436" s="64"/>
      <c r="B436" s="62"/>
      <c r="C436" s="62"/>
      <c r="D436" s="62"/>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8"/>
      <c r="AI436" s="58"/>
      <c r="AJ436" s="58"/>
      <c r="AK436" s="58"/>
      <c r="AL436" s="58"/>
      <c r="AM436" s="58"/>
      <c r="AN436" s="58"/>
      <c r="AO436" s="58"/>
      <c r="AP436" s="58"/>
      <c r="AQ436" s="58"/>
      <c r="AR436" s="58"/>
    </row>
    <row r="437" spans="1:44" ht="15.75" customHeight="1" x14ac:dyDescent="0.25">
      <c r="A437" s="64"/>
      <c r="B437" s="62"/>
      <c r="C437" s="62"/>
      <c r="D437" s="62"/>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58"/>
      <c r="AK437" s="58"/>
      <c r="AL437" s="58"/>
      <c r="AM437" s="58"/>
      <c r="AN437" s="58"/>
      <c r="AO437" s="58"/>
      <c r="AP437" s="58"/>
      <c r="AQ437" s="58"/>
      <c r="AR437" s="58"/>
    </row>
    <row r="438" spans="1:44" ht="15.75" customHeight="1" x14ac:dyDescent="0.25">
      <c r="A438" s="64"/>
      <c r="B438" s="62"/>
      <c r="C438" s="62"/>
      <c r="D438" s="62"/>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c r="AI438" s="58"/>
      <c r="AJ438" s="58"/>
      <c r="AK438" s="58"/>
      <c r="AL438" s="58"/>
      <c r="AM438" s="58"/>
      <c r="AN438" s="58"/>
      <c r="AO438" s="58"/>
      <c r="AP438" s="58"/>
      <c r="AQ438" s="58"/>
      <c r="AR438" s="58"/>
    </row>
    <row r="439" spans="1:44" ht="15.75" customHeight="1" x14ac:dyDescent="0.25">
      <c r="A439" s="64"/>
      <c r="B439" s="62"/>
      <c r="C439" s="62"/>
      <c r="D439" s="62"/>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8"/>
      <c r="AI439" s="58"/>
      <c r="AJ439" s="58"/>
      <c r="AK439" s="58"/>
      <c r="AL439" s="58"/>
      <c r="AM439" s="58"/>
      <c r="AN439" s="58"/>
      <c r="AO439" s="58"/>
      <c r="AP439" s="58"/>
      <c r="AQ439" s="58"/>
      <c r="AR439" s="58"/>
    </row>
    <row r="440" spans="1:44" ht="15.75" customHeight="1" x14ac:dyDescent="0.25">
      <c r="A440" s="64"/>
      <c r="B440" s="62"/>
      <c r="C440" s="62"/>
      <c r="D440" s="62"/>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58"/>
      <c r="AK440" s="58"/>
      <c r="AL440" s="58"/>
      <c r="AM440" s="58"/>
      <c r="AN440" s="58"/>
      <c r="AO440" s="58"/>
      <c r="AP440" s="58"/>
      <c r="AQ440" s="58"/>
      <c r="AR440" s="58"/>
    </row>
    <row r="441" spans="1:44" ht="15.75" customHeight="1" x14ac:dyDescent="0.25">
      <c r="A441" s="64"/>
      <c r="B441" s="62"/>
      <c r="C441" s="62"/>
      <c r="D441" s="62"/>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8"/>
      <c r="AI441" s="58"/>
      <c r="AJ441" s="58"/>
      <c r="AK441" s="58"/>
      <c r="AL441" s="58"/>
      <c r="AM441" s="58"/>
      <c r="AN441" s="58"/>
      <c r="AO441" s="58"/>
      <c r="AP441" s="58"/>
      <c r="AQ441" s="58"/>
      <c r="AR441" s="58"/>
    </row>
    <row r="442" spans="1:44" ht="15.75" customHeight="1" x14ac:dyDescent="0.25">
      <c r="A442" s="64"/>
      <c r="B442" s="62"/>
      <c r="C442" s="62"/>
      <c r="D442" s="62"/>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8"/>
      <c r="AI442" s="58"/>
      <c r="AJ442" s="58"/>
      <c r="AK442" s="58"/>
      <c r="AL442" s="58"/>
      <c r="AM442" s="58"/>
      <c r="AN442" s="58"/>
      <c r="AO442" s="58"/>
      <c r="AP442" s="58"/>
      <c r="AQ442" s="58"/>
      <c r="AR442" s="58"/>
    </row>
    <row r="443" spans="1:44" ht="15.75" customHeight="1" x14ac:dyDescent="0.25">
      <c r="A443" s="64"/>
      <c r="B443" s="62"/>
      <c r="C443" s="62"/>
      <c r="D443" s="62"/>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58"/>
      <c r="AK443" s="58"/>
      <c r="AL443" s="58"/>
      <c r="AM443" s="58"/>
      <c r="AN443" s="58"/>
      <c r="AO443" s="58"/>
      <c r="AP443" s="58"/>
      <c r="AQ443" s="58"/>
      <c r="AR443" s="58"/>
    </row>
    <row r="444" spans="1:44" ht="15.75" customHeight="1" x14ac:dyDescent="0.25">
      <c r="A444" s="64"/>
      <c r="B444" s="62"/>
      <c r="C444" s="62"/>
      <c r="D444" s="62"/>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8"/>
      <c r="AI444" s="58"/>
      <c r="AJ444" s="58"/>
      <c r="AK444" s="58"/>
      <c r="AL444" s="58"/>
      <c r="AM444" s="58"/>
      <c r="AN444" s="58"/>
      <c r="AO444" s="58"/>
      <c r="AP444" s="58"/>
      <c r="AQ444" s="58"/>
      <c r="AR444" s="58"/>
    </row>
    <row r="445" spans="1:44" ht="15.75" customHeight="1" x14ac:dyDescent="0.25">
      <c r="A445" s="64"/>
      <c r="B445" s="62"/>
      <c r="C445" s="62"/>
      <c r="D445" s="62"/>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8"/>
      <c r="AI445" s="58"/>
      <c r="AJ445" s="58"/>
      <c r="AK445" s="58"/>
      <c r="AL445" s="58"/>
      <c r="AM445" s="58"/>
      <c r="AN445" s="58"/>
      <c r="AO445" s="58"/>
      <c r="AP445" s="58"/>
      <c r="AQ445" s="58"/>
      <c r="AR445" s="58"/>
    </row>
    <row r="446" spans="1:44" ht="15.75" customHeight="1" x14ac:dyDescent="0.25">
      <c r="A446" s="64"/>
      <c r="B446" s="62"/>
      <c r="C446" s="62"/>
      <c r="D446" s="62"/>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58"/>
      <c r="AK446" s="58"/>
      <c r="AL446" s="58"/>
      <c r="AM446" s="58"/>
      <c r="AN446" s="58"/>
      <c r="AO446" s="58"/>
      <c r="AP446" s="58"/>
      <c r="AQ446" s="58"/>
      <c r="AR446" s="58"/>
    </row>
    <row r="447" spans="1:44" ht="15.75" customHeight="1" x14ac:dyDescent="0.25">
      <c r="A447" s="64"/>
      <c r="B447" s="62"/>
      <c r="C447" s="62"/>
      <c r="D447" s="62"/>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8"/>
      <c r="AI447" s="58"/>
      <c r="AJ447" s="58"/>
      <c r="AK447" s="58"/>
      <c r="AL447" s="58"/>
      <c r="AM447" s="58"/>
      <c r="AN447" s="58"/>
      <c r="AO447" s="58"/>
      <c r="AP447" s="58"/>
      <c r="AQ447" s="58"/>
      <c r="AR447" s="58"/>
    </row>
    <row r="448" spans="1:44" ht="15.75" customHeight="1" x14ac:dyDescent="0.25">
      <c r="A448" s="64"/>
      <c r="B448" s="62"/>
      <c r="C448" s="62"/>
      <c r="D448" s="62"/>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8"/>
      <c r="AI448" s="58"/>
      <c r="AJ448" s="58"/>
      <c r="AK448" s="58"/>
      <c r="AL448" s="58"/>
      <c r="AM448" s="58"/>
      <c r="AN448" s="58"/>
      <c r="AO448" s="58"/>
      <c r="AP448" s="58"/>
      <c r="AQ448" s="58"/>
      <c r="AR448" s="58"/>
    </row>
    <row r="449" spans="1:44" ht="15.75" customHeight="1" x14ac:dyDescent="0.25">
      <c r="A449" s="64"/>
      <c r="B449" s="62"/>
      <c r="C449" s="62"/>
      <c r="D449" s="62"/>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58"/>
      <c r="AK449" s="58"/>
      <c r="AL449" s="58"/>
      <c r="AM449" s="58"/>
      <c r="AN449" s="58"/>
      <c r="AO449" s="58"/>
      <c r="AP449" s="58"/>
      <c r="AQ449" s="58"/>
      <c r="AR449" s="58"/>
    </row>
    <row r="450" spans="1:44" ht="15.75" customHeight="1" x14ac:dyDescent="0.25">
      <c r="A450" s="64"/>
      <c r="B450" s="62"/>
      <c r="C450" s="62"/>
      <c r="D450" s="62"/>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8"/>
      <c r="AI450" s="58"/>
      <c r="AJ450" s="58"/>
      <c r="AK450" s="58"/>
      <c r="AL450" s="58"/>
      <c r="AM450" s="58"/>
      <c r="AN450" s="58"/>
      <c r="AO450" s="58"/>
      <c r="AP450" s="58"/>
      <c r="AQ450" s="58"/>
      <c r="AR450" s="58"/>
    </row>
    <row r="451" spans="1:44" ht="15.75" customHeight="1" x14ac:dyDescent="0.25">
      <c r="A451" s="64"/>
      <c r="B451" s="62"/>
      <c r="C451" s="62"/>
      <c r="D451" s="62"/>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8"/>
      <c r="AI451" s="58"/>
      <c r="AJ451" s="58"/>
      <c r="AK451" s="58"/>
      <c r="AL451" s="58"/>
      <c r="AM451" s="58"/>
      <c r="AN451" s="58"/>
      <c r="AO451" s="58"/>
      <c r="AP451" s="58"/>
      <c r="AQ451" s="58"/>
      <c r="AR451" s="58"/>
    </row>
    <row r="452" spans="1:44" ht="15.75" customHeight="1" x14ac:dyDescent="0.25">
      <c r="A452" s="64"/>
      <c r="B452" s="62"/>
      <c r="C452" s="62"/>
      <c r="D452" s="62"/>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58"/>
      <c r="AK452" s="58"/>
      <c r="AL452" s="58"/>
      <c r="AM452" s="58"/>
      <c r="AN452" s="58"/>
      <c r="AO452" s="58"/>
      <c r="AP452" s="58"/>
      <c r="AQ452" s="58"/>
      <c r="AR452" s="58"/>
    </row>
    <row r="453" spans="1:44" ht="15.75" customHeight="1" x14ac:dyDescent="0.25">
      <c r="A453" s="64"/>
      <c r="B453" s="62"/>
      <c r="C453" s="62"/>
      <c r="D453" s="62"/>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8"/>
      <c r="AI453" s="58"/>
      <c r="AJ453" s="58"/>
      <c r="AK453" s="58"/>
      <c r="AL453" s="58"/>
      <c r="AM453" s="58"/>
      <c r="AN453" s="58"/>
      <c r="AO453" s="58"/>
      <c r="AP453" s="58"/>
      <c r="AQ453" s="58"/>
      <c r="AR453" s="58"/>
    </row>
    <row r="454" spans="1:44" ht="15.75" customHeight="1" x14ac:dyDescent="0.25">
      <c r="A454" s="64"/>
      <c r="B454" s="62"/>
      <c r="C454" s="62"/>
      <c r="D454" s="62"/>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8"/>
      <c r="AI454" s="58"/>
      <c r="AJ454" s="58"/>
      <c r="AK454" s="58"/>
      <c r="AL454" s="58"/>
      <c r="AM454" s="58"/>
      <c r="AN454" s="58"/>
      <c r="AO454" s="58"/>
      <c r="AP454" s="58"/>
      <c r="AQ454" s="58"/>
      <c r="AR454" s="58"/>
    </row>
    <row r="455" spans="1:44" ht="15.75" customHeight="1" x14ac:dyDescent="0.25">
      <c r="A455" s="64"/>
      <c r="B455" s="62"/>
      <c r="C455" s="62"/>
      <c r="D455" s="62"/>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58"/>
      <c r="AK455" s="58"/>
      <c r="AL455" s="58"/>
      <c r="AM455" s="58"/>
      <c r="AN455" s="58"/>
      <c r="AO455" s="58"/>
      <c r="AP455" s="58"/>
      <c r="AQ455" s="58"/>
      <c r="AR455" s="58"/>
    </row>
    <row r="456" spans="1:44" ht="15.75" customHeight="1" x14ac:dyDescent="0.25">
      <c r="A456" s="64"/>
      <c r="B456" s="62"/>
      <c r="C456" s="62"/>
      <c r="D456" s="62"/>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8"/>
      <c r="AI456" s="58"/>
      <c r="AJ456" s="58"/>
      <c r="AK456" s="58"/>
      <c r="AL456" s="58"/>
      <c r="AM456" s="58"/>
      <c r="AN456" s="58"/>
      <c r="AO456" s="58"/>
      <c r="AP456" s="58"/>
      <c r="AQ456" s="58"/>
      <c r="AR456" s="58"/>
    </row>
    <row r="457" spans="1:44" ht="15.75" customHeight="1" x14ac:dyDescent="0.25">
      <c r="A457" s="64"/>
      <c r="B457" s="62"/>
      <c r="C457" s="62"/>
      <c r="D457" s="62"/>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8"/>
      <c r="AI457" s="58"/>
      <c r="AJ457" s="58"/>
      <c r="AK457" s="58"/>
      <c r="AL457" s="58"/>
      <c r="AM457" s="58"/>
      <c r="AN457" s="58"/>
      <c r="AO457" s="58"/>
      <c r="AP457" s="58"/>
      <c r="AQ457" s="58"/>
      <c r="AR457" s="58"/>
    </row>
    <row r="458" spans="1:44" ht="15.75" customHeight="1" x14ac:dyDescent="0.25">
      <c r="A458" s="64"/>
      <c r="B458" s="62"/>
      <c r="C458" s="62"/>
      <c r="D458" s="62"/>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58"/>
      <c r="AK458" s="58"/>
      <c r="AL458" s="58"/>
      <c r="AM458" s="58"/>
      <c r="AN458" s="58"/>
      <c r="AO458" s="58"/>
      <c r="AP458" s="58"/>
      <c r="AQ458" s="58"/>
      <c r="AR458" s="58"/>
    </row>
    <row r="459" spans="1:44" ht="15.75" customHeight="1" x14ac:dyDescent="0.25">
      <c r="A459" s="64"/>
      <c r="B459" s="62"/>
      <c r="C459" s="62"/>
      <c r="D459" s="62"/>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8"/>
      <c r="AI459" s="58"/>
      <c r="AJ459" s="58"/>
      <c r="AK459" s="58"/>
      <c r="AL459" s="58"/>
      <c r="AM459" s="58"/>
      <c r="AN459" s="58"/>
      <c r="AO459" s="58"/>
      <c r="AP459" s="58"/>
      <c r="AQ459" s="58"/>
      <c r="AR459" s="58"/>
    </row>
    <row r="460" spans="1:44" ht="15.75" customHeight="1" x14ac:dyDescent="0.25">
      <c r="A460" s="64"/>
      <c r="B460" s="62"/>
      <c r="C460" s="62"/>
      <c r="D460" s="62"/>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8"/>
      <c r="AI460" s="58"/>
      <c r="AJ460" s="58"/>
      <c r="AK460" s="58"/>
      <c r="AL460" s="58"/>
      <c r="AM460" s="58"/>
      <c r="AN460" s="58"/>
      <c r="AO460" s="58"/>
      <c r="AP460" s="58"/>
      <c r="AQ460" s="58"/>
      <c r="AR460" s="58"/>
    </row>
    <row r="461" spans="1:44" ht="15.75" customHeight="1" x14ac:dyDescent="0.25">
      <c r="A461" s="64"/>
      <c r="B461" s="62"/>
      <c r="C461" s="62"/>
      <c r="D461" s="62"/>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58"/>
      <c r="AK461" s="58"/>
      <c r="AL461" s="58"/>
      <c r="AM461" s="58"/>
      <c r="AN461" s="58"/>
      <c r="AO461" s="58"/>
      <c r="AP461" s="58"/>
      <c r="AQ461" s="58"/>
      <c r="AR461" s="58"/>
    </row>
    <row r="462" spans="1:44" ht="15.75" customHeight="1" x14ac:dyDescent="0.25">
      <c r="A462" s="64"/>
      <c r="B462" s="62"/>
      <c r="C462" s="62"/>
      <c r="D462" s="62"/>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8"/>
      <c r="AI462" s="58"/>
      <c r="AJ462" s="58"/>
      <c r="AK462" s="58"/>
      <c r="AL462" s="58"/>
      <c r="AM462" s="58"/>
      <c r="AN462" s="58"/>
      <c r="AO462" s="58"/>
      <c r="AP462" s="58"/>
      <c r="AQ462" s="58"/>
      <c r="AR462" s="58"/>
    </row>
    <row r="463" spans="1:44" ht="15.75" customHeight="1" x14ac:dyDescent="0.25">
      <c r="A463" s="64"/>
      <c r="B463" s="62"/>
      <c r="C463" s="62"/>
      <c r="D463" s="62"/>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8"/>
      <c r="AI463" s="58"/>
      <c r="AJ463" s="58"/>
      <c r="AK463" s="58"/>
      <c r="AL463" s="58"/>
      <c r="AM463" s="58"/>
      <c r="AN463" s="58"/>
      <c r="AO463" s="58"/>
      <c r="AP463" s="58"/>
      <c r="AQ463" s="58"/>
      <c r="AR463" s="58"/>
    </row>
    <row r="464" spans="1:44" ht="15.75" customHeight="1" x14ac:dyDescent="0.25">
      <c r="A464" s="64"/>
      <c r="B464" s="62"/>
      <c r="C464" s="62"/>
      <c r="D464" s="62"/>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58"/>
      <c r="AK464" s="58"/>
      <c r="AL464" s="58"/>
      <c r="AM464" s="58"/>
      <c r="AN464" s="58"/>
      <c r="AO464" s="58"/>
      <c r="AP464" s="58"/>
      <c r="AQ464" s="58"/>
      <c r="AR464" s="58"/>
    </row>
    <row r="465" spans="1:44" ht="15.75" customHeight="1" x14ac:dyDescent="0.25">
      <c r="A465" s="64"/>
      <c r="B465" s="62"/>
      <c r="C465" s="62"/>
      <c r="D465" s="62"/>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8"/>
      <c r="AI465" s="58"/>
      <c r="AJ465" s="58"/>
      <c r="AK465" s="58"/>
      <c r="AL465" s="58"/>
      <c r="AM465" s="58"/>
      <c r="AN465" s="58"/>
      <c r="AO465" s="58"/>
      <c r="AP465" s="58"/>
      <c r="AQ465" s="58"/>
      <c r="AR465" s="58"/>
    </row>
    <row r="466" spans="1:44" ht="15.75" customHeight="1" x14ac:dyDescent="0.25">
      <c r="A466" s="64"/>
      <c r="B466" s="62"/>
      <c r="C466" s="62"/>
      <c r="D466" s="62"/>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8"/>
      <c r="AI466" s="58"/>
      <c r="AJ466" s="58"/>
      <c r="AK466" s="58"/>
      <c r="AL466" s="58"/>
      <c r="AM466" s="58"/>
      <c r="AN466" s="58"/>
      <c r="AO466" s="58"/>
      <c r="AP466" s="58"/>
      <c r="AQ466" s="58"/>
      <c r="AR466" s="58"/>
    </row>
    <row r="467" spans="1:44" ht="15.75" customHeight="1" x14ac:dyDescent="0.25">
      <c r="A467" s="64"/>
      <c r="B467" s="62"/>
      <c r="C467" s="62"/>
      <c r="D467" s="62"/>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58"/>
      <c r="AK467" s="58"/>
      <c r="AL467" s="58"/>
      <c r="AM467" s="58"/>
      <c r="AN467" s="58"/>
      <c r="AO467" s="58"/>
      <c r="AP467" s="58"/>
      <c r="AQ467" s="58"/>
      <c r="AR467" s="58"/>
    </row>
    <row r="468" spans="1:44" ht="15.75" customHeight="1" x14ac:dyDescent="0.25">
      <c r="A468" s="64"/>
      <c r="B468" s="62"/>
      <c r="C468" s="62"/>
      <c r="D468" s="62"/>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8"/>
      <c r="AI468" s="58"/>
      <c r="AJ468" s="58"/>
      <c r="AK468" s="58"/>
      <c r="AL468" s="58"/>
      <c r="AM468" s="58"/>
      <c r="AN468" s="58"/>
      <c r="AO468" s="58"/>
      <c r="AP468" s="58"/>
      <c r="AQ468" s="58"/>
      <c r="AR468" s="58"/>
    </row>
    <row r="469" spans="1:44" ht="15.75" customHeight="1" x14ac:dyDescent="0.25">
      <c r="A469" s="64"/>
      <c r="B469" s="62"/>
      <c r="C469" s="62"/>
      <c r="D469" s="62"/>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8"/>
      <c r="AI469" s="58"/>
      <c r="AJ469" s="58"/>
      <c r="AK469" s="58"/>
      <c r="AL469" s="58"/>
      <c r="AM469" s="58"/>
      <c r="AN469" s="58"/>
      <c r="AO469" s="58"/>
      <c r="AP469" s="58"/>
      <c r="AQ469" s="58"/>
      <c r="AR469" s="58"/>
    </row>
    <row r="470" spans="1:44" ht="15.75" customHeight="1" x14ac:dyDescent="0.25">
      <c r="A470" s="64"/>
      <c r="B470" s="62"/>
      <c r="C470" s="62"/>
      <c r="D470" s="62"/>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58"/>
      <c r="AK470" s="58"/>
      <c r="AL470" s="58"/>
      <c r="AM470" s="58"/>
      <c r="AN470" s="58"/>
      <c r="AO470" s="58"/>
      <c r="AP470" s="58"/>
      <c r="AQ470" s="58"/>
      <c r="AR470" s="58"/>
    </row>
    <row r="471" spans="1:44" ht="15.75" customHeight="1" x14ac:dyDescent="0.25">
      <c r="A471" s="64"/>
      <c r="B471" s="62"/>
      <c r="C471" s="62"/>
      <c r="D471" s="62"/>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c r="AG471" s="58"/>
      <c r="AH471" s="58"/>
      <c r="AI471" s="58"/>
      <c r="AJ471" s="58"/>
      <c r="AK471" s="58"/>
      <c r="AL471" s="58"/>
      <c r="AM471" s="58"/>
      <c r="AN471" s="58"/>
      <c r="AO471" s="58"/>
      <c r="AP471" s="58"/>
      <c r="AQ471" s="58"/>
      <c r="AR471" s="58"/>
    </row>
    <row r="472" spans="1:44" ht="15.75" customHeight="1" x14ac:dyDescent="0.25">
      <c r="A472" s="64"/>
      <c r="B472" s="62"/>
      <c r="C472" s="62"/>
      <c r="D472" s="62"/>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c r="AG472" s="58"/>
      <c r="AH472" s="58"/>
      <c r="AI472" s="58"/>
      <c r="AJ472" s="58"/>
      <c r="AK472" s="58"/>
      <c r="AL472" s="58"/>
      <c r="AM472" s="58"/>
      <c r="AN472" s="58"/>
      <c r="AO472" s="58"/>
      <c r="AP472" s="58"/>
      <c r="AQ472" s="58"/>
      <c r="AR472" s="58"/>
    </row>
    <row r="473" spans="1:44" ht="15.75" customHeight="1" x14ac:dyDescent="0.25">
      <c r="A473" s="64"/>
      <c r="B473" s="62"/>
      <c r="C473" s="62"/>
      <c r="D473" s="62"/>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8"/>
      <c r="AI473" s="58"/>
      <c r="AJ473" s="58"/>
      <c r="AK473" s="58"/>
      <c r="AL473" s="58"/>
      <c r="AM473" s="58"/>
      <c r="AN473" s="58"/>
      <c r="AO473" s="58"/>
      <c r="AP473" s="58"/>
      <c r="AQ473" s="58"/>
      <c r="AR473" s="58"/>
    </row>
    <row r="474" spans="1:44" ht="15.75" customHeight="1" x14ac:dyDescent="0.25">
      <c r="A474" s="64"/>
      <c r="B474" s="62"/>
      <c r="C474" s="62"/>
      <c r="D474" s="62"/>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c r="AE474" s="58"/>
      <c r="AF474" s="58"/>
      <c r="AG474" s="58"/>
      <c r="AH474" s="58"/>
      <c r="AI474" s="58"/>
      <c r="AJ474" s="58"/>
      <c r="AK474" s="58"/>
      <c r="AL474" s="58"/>
      <c r="AM474" s="58"/>
      <c r="AN474" s="58"/>
      <c r="AO474" s="58"/>
      <c r="AP474" s="58"/>
      <c r="AQ474" s="58"/>
      <c r="AR474" s="58"/>
    </row>
    <row r="475" spans="1:44" ht="15.75" customHeight="1" x14ac:dyDescent="0.25">
      <c r="A475" s="64"/>
      <c r="B475" s="62"/>
      <c r="C475" s="62"/>
      <c r="D475" s="62"/>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c r="AG475" s="58"/>
      <c r="AH475" s="58"/>
      <c r="AI475" s="58"/>
      <c r="AJ475" s="58"/>
      <c r="AK475" s="58"/>
      <c r="AL475" s="58"/>
      <c r="AM475" s="58"/>
      <c r="AN475" s="58"/>
      <c r="AO475" s="58"/>
      <c r="AP475" s="58"/>
      <c r="AQ475" s="58"/>
      <c r="AR475" s="58"/>
    </row>
    <row r="476" spans="1:44" ht="15.75" customHeight="1" x14ac:dyDescent="0.25">
      <c r="A476" s="64"/>
      <c r="B476" s="62"/>
      <c r="C476" s="62"/>
      <c r="D476" s="62"/>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8"/>
      <c r="AI476" s="58"/>
      <c r="AJ476" s="58"/>
      <c r="AK476" s="58"/>
      <c r="AL476" s="58"/>
      <c r="AM476" s="58"/>
      <c r="AN476" s="58"/>
      <c r="AO476" s="58"/>
      <c r="AP476" s="58"/>
      <c r="AQ476" s="58"/>
      <c r="AR476" s="58"/>
    </row>
    <row r="477" spans="1:44" ht="15.75" customHeight="1" x14ac:dyDescent="0.25">
      <c r="A477" s="64"/>
      <c r="B477" s="62"/>
      <c r="C477" s="62"/>
      <c r="D477" s="62"/>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c r="AG477" s="58"/>
      <c r="AH477" s="58"/>
      <c r="AI477" s="58"/>
      <c r="AJ477" s="58"/>
      <c r="AK477" s="58"/>
      <c r="AL477" s="58"/>
      <c r="AM477" s="58"/>
      <c r="AN477" s="58"/>
      <c r="AO477" s="58"/>
      <c r="AP477" s="58"/>
      <c r="AQ477" s="58"/>
      <c r="AR477" s="58"/>
    </row>
    <row r="478" spans="1:44" ht="15.75" customHeight="1" x14ac:dyDescent="0.25">
      <c r="A478" s="64"/>
      <c r="B478" s="62"/>
      <c r="C478" s="62"/>
      <c r="D478" s="62"/>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c r="AG478" s="58"/>
      <c r="AH478" s="58"/>
      <c r="AI478" s="58"/>
      <c r="AJ478" s="58"/>
      <c r="AK478" s="58"/>
      <c r="AL478" s="58"/>
      <c r="AM478" s="58"/>
      <c r="AN478" s="58"/>
      <c r="AO478" s="58"/>
      <c r="AP478" s="58"/>
      <c r="AQ478" s="58"/>
      <c r="AR478" s="58"/>
    </row>
    <row r="479" spans="1:44" ht="15.75" customHeight="1" x14ac:dyDescent="0.25">
      <c r="A479" s="64"/>
      <c r="B479" s="62"/>
      <c r="C479" s="62"/>
      <c r="D479" s="62"/>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8"/>
      <c r="AI479" s="58"/>
      <c r="AJ479" s="58"/>
      <c r="AK479" s="58"/>
      <c r="AL479" s="58"/>
      <c r="AM479" s="58"/>
      <c r="AN479" s="58"/>
      <c r="AO479" s="58"/>
      <c r="AP479" s="58"/>
      <c r="AQ479" s="58"/>
      <c r="AR479" s="58"/>
    </row>
    <row r="480" spans="1:44" ht="15.75" customHeight="1" x14ac:dyDescent="0.25">
      <c r="A480" s="64"/>
      <c r="B480" s="62"/>
      <c r="C480" s="62"/>
      <c r="D480" s="62"/>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c r="AG480" s="58"/>
      <c r="AH480" s="58"/>
      <c r="AI480" s="58"/>
      <c r="AJ480" s="58"/>
      <c r="AK480" s="58"/>
      <c r="AL480" s="58"/>
      <c r="AM480" s="58"/>
      <c r="AN480" s="58"/>
      <c r="AO480" s="58"/>
      <c r="AP480" s="58"/>
      <c r="AQ480" s="58"/>
      <c r="AR480" s="58"/>
    </row>
    <row r="481" spans="1:44" ht="15.75" customHeight="1" x14ac:dyDescent="0.25">
      <c r="A481" s="64"/>
      <c r="B481" s="62"/>
      <c r="C481" s="62"/>
      <c r="D481" s="62"/>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c r="AG481" s="58"/>
      <c r="AH481" s="58"/>
      <c r="AI481" s="58"/>
      <c r="AJ481" s="58"/>
      <c r="AK481" s="58"/>
      <c r="AL481" s="58"/>
      <c r="AM481" s="58"/>
      <c r="AN481" s="58"/>
      <c r="AO481" s="58"/>
      <c r="AP481" s="58"/>
      <c r="AQ481" s="58"/>
      <c r="AR481" s="58"/>
    </row>
    <row r="482" spans="1:44" ht="15.75" customHeight="1" x14ac:dyDescent="0.25">
      <c r="A482" s="64"/>
      <c r="B482" s="62"/>
      <c r="C482" s="62"/>
      <c r="D482" s="62"/>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8"/>
      <c r="AI482" s="58"/>
      <c r="AJ482" s="58"/>
      <c r="AK482" s="58"/>
      <c r="AL482" s="58"/>
      <c r="AM482" s="58"/>
      <c r="AN482" s="58"/>
      <c r="AO482" s="58"/>
      <c r="AP482" s="58"/>
      <c r="AQ482" s="58"/>
      <c r="AR482" s="58"/>
    </row>
    <row r="483" spans="1:44" ht="15.75" customHeight="1" x14ac:dyDescent="0.25">
      <c r="A483" s="64"/>
      <c r="B483" s="62"/>
      <c r="C483" s="62"/>
      <c r="D483" s="62"/>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c r="AG483" s="58"/>
      <c r="AH483" s="58"/>
      <c r="AI483" s="58"/>
      <c r="AJ483" s="58"/>
      <c r="AK483" s="58"/>
      <c r="AL483" s="58"/>
      <c r="AM483" s="58"/>
      <c r="AN483" s="58"/>
      <c r="AO483" s="58"/>
      <c r="AP483" s="58"/>
      <c r="AQ483" s="58"/>
      <c r="AR483" s="58"/>
    </row>
    <row r="484" spans="1:44" ht="15.75" customHeight="1" x14ac:dyDescent="0.25">
      <c r="A484" s="64"/>
      <c r="B484" s="62"/>
      <c r="C484" s="62"/>
      <c r="D484" s="62"/>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c r="AE484" s="58"/>
      <c r="AF484" s="58"/>
      <c r="AG484" s="58"/>
      <c r="AH484" s="58"/>
      <c r="AI484" s="58"/>
      <c r="AJ484" s="58"/>
      <c r="AK484" s="58"/>
      <c r="AL484" s="58"/>
      <c r="AM484" s="58"/>
      <c r="AN484" s="58"/>
      <c r="AO484" s="58"/>
      <c r="AP484" s="58"/>
      <c r="AQ484" s="58"/>
      <c r="AR484" s="58"/>
    </row>
    <row r="485" spans="1:44" ht="15.75" customHeight="1" x14ac:dyDescent="0.25">
      <c r="A485" s="64"/>
      <c r="B485" s="62"/>
      <c r="C485" s="62"/>
      <c r="D485" s="62"/>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8"/>
      <c r="AI485" s="58"/>
      <c r="AJ485" s="58"/>
      <c r="AK485" s="58"/>
      <c r="AL485" s="58"/>
      <c r="AM485" s="58"/>
      <c r="AN485" s="58"/>
      <c r="AO485" s="58"/>
      <c r="AP485" s="58"/>
      <c r="AQ485" s="58"/>
      <c r="AR485" s="58"/>
    </row>
    <row r="486" spans="1:44" ht="15.75" customHeight="1" x14ac:dyDescent="0.25">
      <c r="A486" s="64"/>
      <c r="B486" s="62"/>
      <c r="C486" s="62"/>
      <c r="D486" s="62"/>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c r="AE486" s="58"/>
      <c r="AF486" s="58"/>
      <c r="AG486" s="58"/>
      <c r="AH486" s="58"/>
      <c r="AI486" s="58"/>
      <c r="AJ486" s="58"/>
      <c r="AK486" s="58"/>
      <c r="AL486" s="58"/>
      <c r="AM486" s="58"/>
      <c r="AN486" s="58"/>
      <c r="AO486" s="58"/>
      <c r="AP486" s="58"/>
      <c r="AQ486" s="58"/>
      <c r="AR486" s="58"/>
    </row>
    <row r="487" spans="1:44" ht="15.75" customHeight="1" x14ac:dyDescent="0.25">
      <c r="A487" s="64"/>
      <c r="B487" s="62"/>
      <c r="C487" s="62"/>
      <c r="D487" s="62"/>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c r="AG487" s="58"/>
      <c r="AH487" s="58"/>
      <c r="AI487" s="58"/>
      <c r="AJ487" s="58"/>
      <c r="AK487" s="58"/>
      <c r="AL487" s="58"/>
      <c r="AM487" s="58"/>
      <c r="AN487" s="58"/>
      <c r="AO487" s="58"/>
      <c r="AP487" s="58"/>
      <c r="AQ487" s="58"/>
      <c r="AR487" s="58"/>
    </row>
    <row r="488" spans="1:44" ht="15.75" customHeight="1" x14ac:dyDescent="0.25">
      <c r="A488" s="64"/>
      <c r="B488" s="62"/>
      <c r="C488" s="62"/>
      <c r="D488" s="62"/>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8"/>
      <c r="AI488" s="58"/>
      <c r="AJ488" s="58"/>
      <c r="AK488" s="58"/>
      <c r="AL488" s="58"/>
      <c r="AM488" s="58"/>
      <c r="AN488" s="58"/>
      <c r="AO488" s="58"/>
      <c r="AP488" s="58"/>
      <c r="AQ488" s="58"/>
      <c r="AR488" s="58"/>
    </row>
    <row r="489" spans="1:44" ht="15.75" customHeight="1" x14ac:dyDescent="0.25">
      <c r="A489" s="64"/>
      <c r="B489" s="62"/>
      <c r="C489" s="62"/>
      <c r="D489" s="62"/>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c r="AE489" s="58"/>
      <c r="AF489" s="58"/>
      <c r="AG489" s="58"/>
      <c r="AH489" s="58"/>
      <c r="AI489" s="58"/>
      <c r="AJ489" s="58"/>
      <c r="AK489" s="58"/>
      <c r="AL489" s="58"/>
      <c r="AM489" s="58"/>
      <c r="AN489" s="58"/>
      <c r="AO489" s="58"/>
      <c r="AP489" s="58"/>
      <c r="AQ489" s="58"/>
      <c r="AR489" s="58"/>
    </row>
    <row r="490" spans="1:44" ht="15.75" customHeight="1" x14ac:dyDescent="0.25">
      <c r="A490" s="64"/>
      <c r="B490" s="62"/>
      <c r="C490" s="62"/>
      <c r="D490" s="62"/>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c r="AE490" s="58"/>
      <c r="AF490" s="58"/>
      <c r="AG490" s="58"/>
      <c r="AH490" s="58"/>
      <c r="AI490" s="58"/>
      <c r="AJ490" s="58"/>
      <c r="AK490" s="58"/>
      <c r="AL490" s="58"/>
      <c r="AM490" s="58"/>
      <c r="AN490" s="58"/>
      <c r="AO490" s="58"/>
      <c r="AP490" s="58"/>
      <c r="AQ490" s="58"/>
      <c r="AR490" s="58"/>
    </row>
    <row r="491" spans="1:44" ht="15.75" customHeight="1" x14ac:dyDescent="0.25">
      <c r="A491" s="64"/>
      <c r="B491" s="62"/>
      <c r="C491" s="62"/>
      <c r="D491" s="62"/>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8"/>
      <c r="AI491" s="58"/>
      <c r="AJ491" s="58"/>
      <c r="AK491" s="58"/>
      <c r="AL491" s="58"/>
      <c r="AM491" s="58"/>
      <c r="AN491" s="58"/>
      <c r="AO491" s="58"/>
      <c r="AP491" s="58"/>
      <c r="AQ491" s="58"/>
      <c r="AR491" s="58"/>
    </row>
    <row r="492" spans="1:44" ht="15.75" customHeight="1" x14ac:dyDescent="0.25">
      <c r="A492" s="64"/>
      <c r="B492" s="62"/>
      <c r="C492" s="62"/>
      <c r="D492" s="62"/>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c r="AG492" s="58"/>
      <c r="AH492" s="58"/>
      <c r="AI492" s="58"/>
      <c r="AJ492" s="58"/>
      <c r="AK492" s="58"/>
      <c r="AL492" s="58"/>
      <c r="AM492" s="58"/>
      <c r="AN492" s="58"/>
      <c r="AO492" s="58"/>
      <c r="AP492" s="58"/>
      <c r="AQ492" s="58"/>
      <c r="AR492" s="58"/>
    </row>
    <row r="493" spans="1:44" ht="15.75" customHeight="1" x14ac:dyDescent="0.25">
      <c r="A493" s="64"/>
      <c r="B493" s="62"/>
      <c r="C493" s="62"/>
      <c r="D493" s="62"/>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c r="AE493" s="58"/>
      <c r="AF493" s="58"/>
      <c r="AG493" s="58"/>
      <c r="AH493" s="58"/>
      <c r="AI493" s="58"/>
      <c r="AJ493" s="58"/>
      <c r="AK493" s="58"/>
      <c r="AL493" s="58"/>
      <c r="AM493" s="58"/>
      <c r="AN493" s="58"/>
      <c r="AO493" s="58"/>
      <c r="AP493" s="58"/>
      <c r="AQ493" s="58"/>
      <c r="AR493" s="58"/>
    </row>
    <row r="494" spans="1:44" ht="15.75" customHeight="1" x14ac:dyDescent="0.25">
      <c r="A494" s="64"/>
      <c r="B494" s="62"/>
      <c r="C494" s="62"/>
      <c r="D494" s="62"/>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8"/>
      <c r="AI494" s="58"/>
      <c r="AJ494" s="58"/>
      <c r="AK494" s="58"/>
      <c r="AL494" s="58"/>
      <c r="AM494" s="58"/>
      <c r="AN494" s="58"/>
      <c r="AO494" s="58"/>
      <c r="AP494" s="58"/>
      <c r="AQ494" s="58"/>
      <c r="AR494" s="58"/>
    </row>
    <row r="495" spans="1:44" ht="15.75" customHeight="1" x14ac:dyDescent="0.25">
      <c r="A495" s="64"/>
      <c r="B495" s="62"/>
      <c r="C495" s="62"/>
      <c r="D495" s="62"/>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c r="AG495" s="58"/>
      <c r="AH495" s="58"/>
      <c r="AI495" s="58"/>
      <c r="AJ495" s="58"/>
      <c r="AK495" s="58"/>
      <c r="AL495" s="58"/>
      <c r="AM495" s="58"/>
      <c r="AN495" s="58"/>
      <c r="AO495" s="58"/>
      <c r="AP495" s="58"/>
      <c r="AQ495" s="58"/>
      <c r="AR495" s="58"/>
    </row>
    <row r="496" spans="1:44" ht="15.75" customHeight="1" x14ac:dyDescent="0.25">
      <c r="A496" s="64"/>
      <c r="B496" s="62"/>
      <c r="C496" s="62"/>
      <c r="D496" s="62"/>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c r="AE496" s="58"/>
      <c r="AF496" s="58"/>
      <c r="AG496" s="58"/>
      <c r="AH496" s="58"/>
      <c r="AI496" s="58"/>
      <c r="AJ496" s="58"/>
      <c r="AK496" s="58"/>
      <c r="AL496" s="58"/>
      <c r="AM496" s="58"/>
      <c r="AN496" s="58"/>
      <c r="AO496" s="58"/>
      <c r="AP496" s="58"/>
      <c r="AQ496" s="58"/>
      <c r="AR496" s="58"/>
    </row>
    <row r="497" spans="1:44" ht="15.75" customHeight="1" x14ac:dyDescent="0.25">
      <c r="A497" s="64"/>
      <c r="B497" s="62"/>
      <c r="C497" s="62"/>
      <c r="D497" s="62"/>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8"/>
      <c r="AI497" s="58"/>
      <c r="AJ497" s="58"/>
      <c r="AK497" s="58"/>
      <c r="AL497" s="58"/>
      <c r="AM497" s="58"/>
      <c r="AN497" s="58"/>
      <c r="AO497" s="58"/>
      <c r="AP497" s="58"/>
      <c r="AQ497" s="58"/>
      <c r="AR497" s="58"/>
    </row>
    <row r="498" spans="1:44" ht="15.75" customHeight="1" x14ac:dyDescent="0.25">
      <c r="A498" s="64"/>
      <c r="B498" s="62"/>
      <c r="C498" s="62"/>
      <c r="D498" s="62"/>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c r="AG498" s="58"/>
      <c r="AH498" s="58"/>
      <c r="AI498" s="58"/>
      <c r="AJ498" s="58"/>
      <c r="AK498" s="58"/>
      <c r="AL498" s="58"/>
      <c r="AM498" s="58"/>
      <c r="AN498" s="58"/>
      <c r="AO498" s="58"/>
      <c r="AP498" s="58"/>
      <c r="AQ498" s="58"/>
      <c r="AR498" s="58"/>
    </row>
    <row r="499" spans="1:44" ht="15.75" customHeight="1" x14ac:dyDescent="0.25">
      <c r="A499" s="64"/>
      <c r="B499" s="62"/>
      <c r="C499" s="62"/>
      <c r="D499" s="62"/>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c r="AG499" s="58"/>
      <c r="AH499" s="58"/>
      <c r="AI499" s="58"/>
      <c r="AJ499" s="58"/>
      <c r="AK499" s="58"/>
      <c r="AL499" s="58"/>
      <c r="AM499" s="58"/>
      <c r="AN499" s="58"/>
      <c r="AO499" s="58"/>
      <c r="AP499" s="58"/>
      <c r="AQ499" s="58"/>
      <c r="AR499" s="58"/>
    </row>
    <row r="500" spans="1:44" ht="15.75" customHeight="1" x14ac:dyDescent="0.25">
      <c r="A500" s="64"/>
      <c r="B500" s="62"/>
      <c r="C500" s="62"/>
      <c r="D500" s="62"/>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c r="AI500" s="58"/>
      <c r="AJ500" s="58"/>
      <c r="AK500" s="58"/>
      <c r="AL500" s="58"/>
      <c r="AM500" s="58"/>
      <c r="AN500" s="58"/>
      <c r="AO500" s="58"/>
      <c r="AP500" s="58"/>
      <c r="AQ500" s="58"/>
      <c r="AR500" s="58"/>
    </row>
    <row r="501" spans="1:44" ht="15.75" customHeight="1" x14ac:dyDescent="0.25">
      <c r="A501" s="64"/>
      <c r="B501" s="62"/>
      <c r="C501" s="62"/>
      <c r="D501" s="62"/>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c r="AE501" s="58"/>
      <c r="AF501" s="58"/>
      <c r="AG501" s="58"/>
      <c r="AH501" s="58"/>
      <c r="AI501" s="58"/>
      <c r="AJ501" s="58"/>
      <c r="AK501" s="58"/>
      <c r="AL501" s="58"/>
      <c r="AM501" s="58"/>
      <c r="AN501" s="58"/>
      <c r="AO501" s="58"/>
      <c r="AP501" s="58"/>
      <c r="AQ501" s="58"/>
      <c r="AR501" s="58"/>
    </row>
    <row r="502" spans="1:44" ht="15.75" customHeight="1" x14ac:dyDescent="0.25">
      <c r="A502" s="64"/>
      <c r="B502" s="62"/>
      <c r="C502" s="62"/>
      <c r="D502" s="62"/>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c r="AE502" s="58"/>
      <c r="AF502" s="58"/>
      <c r="AG502" s="58"/>
      <c r="AH502" s="58"/>
      <c r="AI502" s="58"/>
      <c r="AJ502" s="58"/>
      <c r="AK502" s="58"/>
      <c r="AL502" s="58"/>
      <c r="AM502" s="58"/>
      <c r="AN502" s="58"/>
      <c r="AO502" s="58"/>
      <c r="AP502" s="58"/>
      <c r="AQ502" s="58"/>
      <c r="AR502" s="58"/>
    </row>
    <row r="503" spans="1:44" ht="15.75" customHeight="1" x14ac:dyDescent="0.25">
      <c r="A503" s="64"/>
      <c r="B503" s="62"/>
      <c r="C503" s="62"/>
      <c r="D503" s="62"/>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c r="AE503" s="58"/>
      <c r="AF503" s="58"/>
      <c r="AG503" s="58"/>
      <c r="AH503" s="58"/>
      <c r="AI503" s="58"/>
      <c r="AJ503" s="58"/>
      <c r="AK503" s="58"/>
      <c r="AL503" s="58"/>
      <c r="AM503" s="58"/>
      <c r="AN503" s="58"/>
      <c r="AO503" s="58"/>
      <c r="AP503" s="58"/>
      <c r="AQ503" s="58"/>
      <c r="AR503" s="58"/>
    </row>
    <row r="504" spans="1:44" ht="15.75" customHeight="1" x14ac:dyDescent="0.25">
      <c r="A504" s="64"/>
      <c r="B504" s="62"/>
      <c r="C504" s="62"/>
      <c r="D504" s="62"/>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c r="AG504" s="58"/>
      <c r="AH504" s="58"/>
      <c r="AI504" s="58"/>
      <c r="AJ504" s="58"/>
      <c r="AK504" s="58"/>
      <c r="AL504" s="58"/>
      <c r="AM504" s="58"/>
      <c r="AN504" s="58"/>
      <c r="AO504" s="58"/>
      <c r="AP504" s="58"/>
      <c r="AQ504" s="58"/>
      <c r="AR504" s="58"/>
    </row>
    <row r="505" spans="1:44" ht="15.75" customHeight="1" x14ac:dyDescent="0.25">
      <c r="A505" s="64"/>
      <c r="B505" s="62"/>
      <c r="C505" s="62"/>
      <c r="D505" s="62"/>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c r="AG505" s="58"/>
      <c r="AH505" s="58"/>
      <c r="AI505" s="58"/>
      <c r="AJ505" s="58"/>
      <c r="AK505" s="58"/>
      <c r="AL505" s="58"/>
      <c r="AM505" s="58"/>
      <c r="AN505" s="58"/>
      <c r="AO505" s="58"/>
      <c r="AP505" s="58"/>
      <c r="AQ505" s="58"/>
      <c r="AR505" s="58"/>
    </row>
    <row r="506" spans="1:44" ht="15.75" customHeight="1" x14ac:dyDescent="0.25">
      <c r="A506" s="64"/>
      <c r="B506" s="62"/>
      <c r="C506" s="62"/>
      <c r="D506" s="62"/>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c r="AI506" s="58"/>
      <c r="AJ506" s="58"/>
      <c r="AK506" s="58"/>
      <c r="AL506" s="58"/>
      <c r="AM506" s="58"/>
      <c r="AN506" s="58"/>
      <c r="AO506" s="58"/>
      <c r="AP506" s="58"/>
      <c r="AQ506" s="58"/>
      <c r="AR506" s="58"/>
    </row>
    <row r="507" spans="1:44" ht="15.75" customHeight="1" x14ac:dyDescent="0.25">
      <c r="A507" s="64"/>
      <c r="B507" s="62"/>
      <c r="C507" s="62"/>
      <c r="D507" s="62"/>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c r="AG507" s="58"/>
      <c r="AH507" s="58"/>
      <c r="AI507" s="58"/>
      <c r="AJ507" s="58"/>
      <c r="AK507" s="58"/>
      <c r="AL507" s="58"/>
      <c r="AM507" s="58"/>
      <c r="AN507" s="58"/>
      <c r="AO507" s="58"/>
      <c r="AP507" s="58"/>
      <c r="AQ507" s="58"/>
      <c r="AR507" s="58"/>
    </row>
    <row r="508" spans="1:44" ht="15.75" customHeight="1" x14ac:dyDescent="0.25">
      <c r="A508" s="64"/>
      <c r="B508" s="62"/>
      <c r="C508" s="62"/>
      <c r="D508" s="62"/>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c r="AG508" s="58"/>
      <c r="AH508" s="58"/>
      <c r="AI508" s="58"/>
      <c r="AJ508" s="58"/>
      <c r="AK508" s="58"/>
      <c r="AL508" s="58"/>
      <c r="AM508" s="58"/>
      <c r="AN508" s="58"/>
      <c r="AO508" s="58"/>
      <c r="AP508" s="58"/>
      <c r="AQ508" s="58"/>
      <c r="AR508" s="58"/>
    </row>
    <row r="509" spans="1:44" ht="15.75" customHeight="1" x14ac:dyDescent="0.25">
      <c r="A509" s="64"/>
      <c r="B509" s="62"/>
      <c r="C509" s="62"/>
      <c r="D509" s="62"/>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c r="AI509" s="58"/>
      <c r="AJ509" s="58"/>
      <c r="AK509" s="58"/>
      <c r="AL509" s="58"/>
      <c r="AM509" s="58"/>
      <c r="AN509" s="58"/>
      <c r="AO509" s="58"/>
      <c r="AP509" s="58"/>
      <c r="AQ509" s="58"/>
      <c r="AR509" s="58"/>
    </row>
    <row r="510" spans="1:44" ht="15.75" customHeight="1" x14ac:dyDescent="0.25">
      <c r="A510" s="64"/>
      <c r="B510" s="62"/>
      <c r="C510" s="62"/>
      <c r="D510" s="62"/>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c r="AG510" s="58"/>
      <c r="AH510" s="58"/>
      <c r="AI510" s="58"/>
      <c r="AJ510" s="58"/>
      <c r="AK510" s="58"/>
      <c r="AL510" s="58"/>
      <c r="AM510" s="58"/>
      <c r="AN510" s="58"/>
      <c r="AO510" s="58"/>
      <c r="AP510" s="58"/>
      <c r="AQ510" s="58"/>
      <c r="AR510" s="58"/>
    </row>
    <row r="511" spans="1:44" ht="15.75" customHeight="1" x14ac:dyDescent="0.25">
      <c r="A511" s="64"/>
      <c r="B511" s="62"/>
      <c r="C511" s="62"/>
      <c r="D511" s="62"/>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c r="AG511" s="58"/>
      <c r="AH511" s="58"/>
      <c r="AI511" s="58"/>
      <c r="AJ511" s="58"/>
      <c r="AK511" s="58"/>
      <c r="AL511" s="58"/>
      <c r="AM511" s="58"/>
      <c r="AN511" s="58"/>
      <c r="AO511" s="58"/>
      <c r="AP511" s="58"/>
      <c r="AQ511" s="58"/>
      <c r="AR511" s="58"/>
    </row>
    <row r="512" spans="1:44" ht="15.75" customHeight="1" x14ac:dyDescent="0.25">
      <c r="A512" s="64"/>
      <c r="B512" s="62"/>
      <c r="C512" s="62"/>
      <c r="D512" s="62"/>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c r="AI512" s="58"/>
      <c r="AJ512" s="58"/>
      <c r="AK512" s="58"/>
      <c r="AL512" s="58"/>
      <c r="AM512" s="58"/>
      <c r="AN512" s="58"/>
      <c r="AO512" s="58"/>
      <c r="AP512" s="58"/>
      <c r="AQ512" s="58"/>
      <c r="AR512" s="58"/>
    </row>
    <row r="513" spans="1:44" ht="15.75" customHeight="1" x14ac:dyDescent="0.25">
      <c r="A513" s="64"/>
      <c r="B513" s="62"/>
      <c r="C513" s="62"/>
      <c r="D513" s="62"/>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c r="AG513" s="58"/>
      <c r="AH513" s="58"/>
      <c r="AI513" s="58"/>
      <c r="AJ513" s="58"/>
      <c r="AK513" s="58"/>
      <c r="AL513" s="58"/>
      <c r="AM513" s="58"/>
      <c r="AN513" s="58"/>
      <c r="AO513" s="58"/>
      <c r="AP513" s="58"/>
      <c r="AQ513" s="58"/>
      <c r="AR513" s="58"/>
    </row>
    <row r="514" spans="1:44" ht="15.75" customHeight="1" x14ac:dyDescent="0.25">
      <c r="A514" s="64"/>
      <c r="B514" s="62"/>
      <c r="C514" s="62"/>
      <c r="D514" s="62"/>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c r="AG514" s="58"/>
      <c r="AH514" s="58"/>
      <c r="AI514" s="58"/>
      <c r="AJ514" s="58"/>
      <c r="AK514" s="58"/>
      <c r="AL514" s="58"/>
      <c r="AM514" s="58"/>
      <c r="AN514" s="58"/>
      <c r="AO514" s="58"/>
      <c r="AP514" s="58"/>
      <c r="AQ514" s="58"/>
      <c r="AR514" s="58"/>
    </row>
    <row r="515" spans="1:44" ht="15.75" customHeight="1" x14ac:dyDescent="0.25">
      <c r="A515" s="64"/>
      <c r="B515" s="62"/>
      <c r="C515" s="62"/>
      <c r="D515" s="62"/>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c r="AI515" s="58"/>
      <c r="AJ515" s="58"/>
      <c r="AK515" s="58"/>
      <c r="AL515" s="58"/>
      <c r="AM515" s="58"/>
      <c r="AN515" s="58"/>
      <c r="AO515" s="58"/>
      <c r="AP515" s="58"/>
      <c r="AQ515" s="58"/>
      <c r="AR515" s="58"/>
    </row>
    <row r="516" spans="1:44" ht="15.75" customHeight="1" x14ac:dyDescent="0.25">
      <c r="A516" s="64"/>
      <c r="B516" s="62"/>
      <c r="C516" s="62"/>
      <c r="D516" s="62"/>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c r="AG516" s="58"/>
      <c r="AH516" s="58"/>
      <c r="AI516" s="58"/>
      <c r="AJ516" s="58"/>
      <c r="AK516" s="58"/>
      <c r="AL516" s="58"/>
      <c r="AM516" s="58"/>
      <c r="AN516" s="58"/>
      <c r="AO516" s="58"/>
      <c r="AP516" s="58"/>
      <c r="AQ516" s="58"/>
      <c r="AR516" s="58"/>
    </row>
    <row r="517" spans="1:44" ht="15.75" customHeight="1" x14ac:dyDescent="0.25">
      <c r="A517" s="64"/>
      <c r="B517" s="62"/>
      <c r="C517" s="62"/>
      <c r="D517" s="62"/>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c r="AG517" s="58"/>
      <c r="AH517" s="58"/>
      <c r="AI517" s="58"/>
      <c r="AJ517" s="58"/>
      <c r="AK517" s="58"/>
      <c r="AL517" s="58"/>
      <c r="AM517" s="58"/>
      <c r="AN517" s="58"/>
      <c r="AO517" s="58"/>
      <c r="AP517" s="58"/>
      <c r="AQ517" s="58"/>
      <c r="AR517" s="58"/>
    </row>
    <row r="518" spans="1:44" ht="15.75" customHeight="1" x14ac:dyDescent="0.25">
      <c r="A518" s="64"/>
      <c r="B518" s="62"/>
      <c r="C518" s="62"/>
      <c r="D518" s="62"/>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c r="AI518" s="58"/>
      <c r="AJ518" s="58"/>
      <c r="AK518" s="58"/>
      <c r="AL518" s="58"/>
      <c r="AM518" s="58"/>
      <c r="AN518" s="58"/>
      <c r="AO518" s="58"/>
      <c r="AP518" s="58"/>
      <c r="AQ518" s="58"/>
      <c r="AR518" s="58"/>
    </row>
    <row r="519" spans="1:44" ht="15.75" customHeight="1" x14ac:dyDescent="0.25">
      <c r="A519" s="64"/>
      <c r="B519" s="62"/>
      <c r="C519" s="62"/>
      <c r="D519" s="62"/>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c r="AG519" s="58"/>
      <c r="AH519" s="58"/>
      <c r="AI519" s="58"/>
      <c r="AJ519" s="58"/>
      <c r="AK519" s="58"/>
      <c r="AL519" s="58"/>
      <c r="AM519" s="58"/>
      <c r="AN519" s="58"/>
      <c r="AO519" s="58"/>
      <c r="AP519" s="58"/>
      <c r="AQ519" s="58"/>
      <c r="AR519" s="58"/>
    </row>
    <row r="520" spans="1:44" ht="15.75" customHeight="1" x14ac:dyDescent="0.25">
      <c r="A520" s="64"/>
      <c r="B520" s="62"/>
      <c r="C520" s="62"/>
      <c r="D520" s="62"/>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c r="AG520" s="58"/>
      <c r="AH520" s="58"/>
      <c r="AI520" s="58"/>
      <c r="AJ520" s="58"/>
      <c r="AK520" s="58"/>
      <c r="AL520" s="58"/>
      <c r="AM520" s="58"/>
      <c r="AN520" s="58"/>
      <c r="AO520" s="58"/>
      <c r="AP520" s="58"/>
      <c r="AQ520" s="58"/>
      <c r="AR520" s="58"/>
    </row>
    <row r="521" spans="1:44" ht="15.75" customHeight="1" x14ac:dyDescent="0.25">
      <c r="A521" s="64"/>
      <c r="B521" s="62"/>
      <c r="C521" s="62"/>
      <c r="D521" s="62"/>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c r="AI521" s="58"/>
      <c r="AJ521" s="58"/>
      <c r="AK521" s="58"/>
      <c r="AL521" s="58"/>
      <c r="AM521" s="58"/>
      <c r="AN521" s="58"/>
      <c r="AO521" s="58"/>
      <c r="AP521" s="58"/>
      <c r="AQ521" s="58"/>
      <c r="AR521" s="58"/>
    </row>
    <row r="522" spans="1:44" ht="15.75" customHeight="1" x14ac:dyDescent="0.25">
      <c r="A522" s="64"/>
      <c r="B522" s="62"/>
      <c r="C522" s="62"/>
      <c r="D522" s="62"/>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c r="AG522" s="58"/>
      <c r="AH522" s="58"/>
      <c r="AI522" s="58"/>
      <c r="AJ522" s="58"/>
      <c r="AK522" s="58"/>
      <c r="AL522" s="58"/>
      <c r="AM522" s="58"/>
      <c r="AN522" s="58"/>
      <c r="AO522" s="58"/>
      <c r="AP522" s="58"/>
      <c r="AQ522" s="58"/>
      <c r="AR522" s="58"/>
    </row>
    <row r="523" spans="1:44" ht="15.75" customHeight="1" x14ac:dyDescent="0.25">
      <c r="A523" s="64"/>
      <c r="B523" s="62"/>
      <c r="C523" s="62"/>
      <c r="D523" s="62"/>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c r="AG523" s="58"/>
      <c r="AH523" s="58"/>
      <c r="AI523" s="58"/>
      <c r="AJ523" s="58"/>
      <c r="AK523" s="58"/>
      <c r="AL523" s="58"/>
      <c r="AM523" s="58"/>
      <c r="AN523" s="58"/>
      <c r="AO523" s="58"/>
      <c r="AP523" s="58"/>
      <c r="AQ523" s="58"/>
      <c r="AR523" s="58"/>
    </row>
    <row r="524" spans="1:44" ht="15.75" customHeight="1" x14ac:dyDescent="0.25">
      <c r="A524" s="64"/>
      <c r="B524" s="62"/>
      <c r="C524" s="62"/>
      <c r="D524" s="62"/>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58"/>
      <c r="AK524" s="58"/>
      <c r="AL524" s="58"/>
      <c r="AM524" s="58"/>
      <c r="AN524" s="58"/>
      <c r="AO524" s="58"/>
      <c r="AP524" s="58"/>
      <c r="AQ524" s="58"/>
      <c r="AR524" s="58"/>
    </row>
    <row r="525" spans="1:44" ht="15.75" customHeight="1" x14ac:dyDescent="0.25">
      <c r="A525" s="64"/>
      <c r="B525" s="62"/>
      <c r="C525" s="62"/>
      <c r="D525" s="62"/>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c r="AG525" s="58"/>
      <c r="AH525" s="58"/>
      <c r="AI525" s="58"/>
      <c r="AJ525" s="58"/>
      <c r="AK525" s="58"/>
      <c r="AL525" s="58"/>
      <c r="AM525" s="58"/>
      <c r="AN525" s="58"/>
      <c r="AO525" s="58"/>
      <c r="AP525" s="58"/>
      <c r="AQ525" s="58"/>
      <c r="AR525" s="58"/>
    </row>
    <row r="526" spans="1:44" ht="15.75" customHeight="1" x14ac:dyDescent="0.25">
      <c r="A526" s="64"/>
      <c r="B526" s="62"/>
      <c r="C526" s="62"/>
      <c r="D526" s="62"/>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c r="AG526" s="58"/>
      <c r="AH526" s="58"/>
      <c r="AI526" s="58"/>
      <c r="AJ526" s="58"/>
      <c r="AK526" s="58"/>
      <c r="AL526" s="58"/>
      <c r="AM526" s="58"/>
      <c r="AN526" s="58"/>
      <c r="AO526" s="58"/>
      <c r="AP526" s="58"/>
      <c r="AQ526" s="58"/>
      <c r="AR526" s="58"/>
    </row>
    <row r="527" spans="1:44" ht="15.75" customHeight="1" x14ac:dyDescent="0.25">
      <c r="A527" s="64"/>
      <c r="B527" s="62"/>
      <c r="C527" s="62"/>
      <c r="D527" s="62"/>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c r="AI527" s="58"/>
      <c r="AJ527" s="58"/>
      <c r="AK527" s="58"/>
      <c r="AL527" s="58"/>
      <c r="AM527" s="58"/>
      <c r="AN527" s="58"/>
      <c r="AO527" s="58"/>
      <c r="AP527" s="58"/>
      <c r="AQ527" s="58"/>
      <c r="AR527" s="58"/>
    </row>
    <row r="528" spans="1:44" ht="15.75" customHeight="1" x14ac:dyDescent="0.25">
      <c r="A528" s="64"/>
      <c r="B528" s="62"/>
      <c r="C528" s="62"/>
      <c r="D528" s="62"/>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c r="AG528" s="58"/>
      <c r="AH528" s="58"/>
      <c r="AI528" s="58"/>
      <c r="AJ528" s="58"/>
      <c r="AK528" s="58"/>
      <c r="AL528" s="58"/>
      <c r="AM528" s="58"/>
      <c r="AN528" s="58"/>
      <c r="AO528" s="58"/>
      <c r="AP528" s="58"/>
      <c r="AQ528" s="58"/>
      <c r="AR528" s="58"/>
    </row>
    <row r="529" spans="1:44" ht="15.75" customHeight="1" x14ac:dyDescent="0.25">
      <c r="A529" s="64"/>
      <c r="B529" s="62"/>
      <c r="C529" s="62"/>
      <c r="D529" s="62"/>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c r="AG529" s="58"/>
      <c r="AH529" s="58"/>
      <c r="AI529" s="58"/>
      <c r="AJ529" s="58"/>
      <c r="AK529" s="58"/>
      <c r="AL529" s="58"/>
      <c r="AM529" s="58"/>
      <c r="AN529" s="58"/>
      <c r="AO529" s="58"/>
      <c r="AP529" s="58"/>
      <c r="AQ529" s="58"/>
      <c r="AR529" s="58"/>
    </row>
    <row r="530" spans="1:44" ht="15.75" customHeight="1" x14ac:dyDescent="0.25">
      <c r="A530" s="64"/>
      <c r="B530" s="62"/>
      <c r="C530" s="62"/>
      <c r="D530" s="62"/>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c r="AI530" s="58"/>
      <c r="AJ530" s="58"/>
      <c r="AK530" s="58"/>
      <c r="AL530" s="58"/>
      <c r="AM530" s="58"/>
      <c r="AN530" s="58"/>
      <c r="AO530" s="58"/>
      <c r="AP530" s="58"/>
      <c r="AQ530" s="58"/>
      <c r="AR530" s="58"/>
    </row>
    <row r="531" spans="1:44" ht="15.75" customHeight="1" x14ac:dyDescent="0.25">
      <c r="A531" s="64"/>
      <c r="B531" s="62"/>
      <c r="C531" s="62"/>
      <c r="D531" s="62"/>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c r="AG531" s="58"/>
      <c r="AH531" s="58"/>
      <c r="AI531" s="58"/>
      <c r="AJ531" s="58"/>
      <c r="AK531" s="58"/>
      <c r="AL531" s="58"/>
      <c r="AM531" s="58"/>
      <c r="AN531" s="58"/>
      <c r="AO531" s="58"/>
      <c r="AP531" s="58"/>
      <c r="AQ531" s="58"/>
      <c r="AR531" s="58"/>
    </row>
    <row r="532" spans="1:44" ht="15.75" customHeight="1" x14ac:dyDescent="0.25">
      <c r="A532" s="64"/>
      <c r="B532" s="62"/>
      <c r="C532" s="62"/>
      <c r="D532" s="62"/>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c r="AG532" s="58"/>
      <c r="AH532" s="58"/>
      <c r="AI532" s="58"/>
      <c r="AJ532" s="58"/>
      <c r="AK532" s="58"/>
      <c r="AL532" s="58"/>
      <c r="AM532" s="58"/>
      <c r="AN532" s="58"/>
      <c r="AO532" s="58"/>
      <c r="AP532" s="58"/>
      <c r="AQ532" s="58"/>
      <c r="AR532" s="58"/>
    </row>
    <row r="533" spans="1:44" ht="15.75" customHeight="1" x14ac:dyDescent="0.25">
      <c r="A533" s="64"/>
      <c r="B533" s="62"/>
      <c r="C533" s="62"/>
      <c r="D533" s="62"/>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c r="AI533" s="58"/>
      <c r="AJ533" s="58"/>
      <c r="AK533" s="58"/>
      <c r="AL533" s="58"/>
      <c r="AM533" s="58"/>
      <c r="AN533" s="58"/>
      <c r="AO533" s="58"/>
      <c r="AP533" s="58"/>
      <c r="AQ533" s="58"/>
      <c r="AR533" s="58"/>
    </row>
    <row r="534" spans="1:44" ht="15.75" customHeight="1" x14ac:dyDescent="0.25">
      <c r="A534" s="64"/>
      <c r="B534" s="62"/>
      <c r="C534" s="62"/>
      <c r="D534" s="62"/>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c r="AG534" s="58"/>
      <c r="AH534" s="58"/>
      <c r="AI534" s="58"/>
      <c r="AJ534" s="58"/>
      <c r="AK534" s="58"/>
      <c r="AL534" s="58"/>
      <c r="AM534" s="58"/>
      <c r="AN534" s="58"/>
      <c r="AO534" s="58"/>
      <c r="AP534" s="58"/>
      <c r="AQ534" s="58"/>
      <c r="AR534" s="58"/>
    </row>
    <row r="535" spans="1:44" ht="15.75" customHeight="1" x14ac:dyDescent="0.25">
      <c r="A535" s="64"/>
      <c r="B535" s="62"/>
      <c r="C535" s="62"/>
      <c r="D535" s="62"/>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c r="AG535" s="58"/>
      <c r="AH535" s="58"/>
      <c r="AI535" s="58"/>
      <c r="AJ535" s="58"/>
      <c r="AK535" s="58"/>
      <c r="AL535" s="58"/>
      <c r="AM535" s="58"/>
      <c r="AN535" s="58"/>
      <c r="AO535" s="58"/>
      <c r="AP535" s="58"/>
      <c r="AQ535" s="58"/>
      <c r="AR535" s="58"/>
    </row>
    <row r="536" spans="1:44" ht="15.75" customHeight="1" x14ac:dyDescent="0.25">
      <c r="A536" s="64"/>
      <c r="B536" s="62"/>
      <c r="C536" s="62"/>
      <c r="D536" s="62"/>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c r="AI536" s="58"/>
      <c r="AJ536" s="58"/>
      <c r="AK536" s="58"/>
      <c r="AL536" s="58"/>
      <c r="AM536" s="58"/>
      <c r="AN536" s="58"/>
      <c r="AO536" s="58"/>
      <c r="AP536" s="58"/>
      <c r="AQ536" s="58"/>
      <c r="AR536" s="58"/>
    </row>
    <row r="537" spans="1:44" ht="15.75" customHeight="1" x14ac:dyDescent="0.25">
      <c r="A537" s="64"/>
      <c r="B537" s="62"/>
      <c r="C537" s="62"/>
      <c r="D537" s="62"/>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c r="AE537" s="58"/>
      <c r="AF537" s="58"/>
      <c r="AG537" s="58"/>
      <c r="AH537" s="58"/>
      <c r="AI537" s="58"/>
      <c r="AJ537" s="58"/>
      <c r="AK537" s="58"/>
      <c r="AL537" s="58"/>
      <c r="AM537" s="58"/>
      <c r="AN537" s="58"/>
      <c r="AO537" s="58"/>
      <c r="AP537" s="58"/>
      <c r="AQ537" s="58"/>
      <c r="AR537" s="58"/>
    </row>
    <row r="538" spans="1:44" ht="15.75" customHeight="1" x14ac:dyDescent="0.25">
      <c r="A538" s="64"/>
      <c r="B538" s="62"/>
      <c r="C538" s="62"/>
      <c r="D538" s="62"/>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c r="AE538" s="58"/>
      <c r="AF538" s="58"/>
      <c r="AG538" s="58"/>
      <c r="AH538" s="58"/>
      <c r="AI538" s="58"/>
      <c r="AJ538" s="58"/>
      <c r="AK538" s="58"/>
      <c r="AL538" s="58"/>
      <c r="AM538" s="58"/>
      <c r="AN538" s="58"/>
      <c r="AO538" s="58"/>
      <c r="AP538" s="58"/>
      <c r="AQ538" s="58"/>
      <c r="AR538" s="58"/>
    </row>
    <row r="539" spans="1:44" ht="15.75" customHeight="1" x14ac:dyDescent="0.25">
      <c r="A539" s="64"/>
      <c r="B539" s="62"/>
      <c r="C539" s="62"/>
      <c r="D539" s="62"/>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c r="AE539" s="58"/>
      <c r="AF539" s="58"/>
      <c r="AG539" s="58"/>
      <c r="AH539" s="58"/>
      <c r="AI539" s="58"/>
      <c r="AJ539" s="58"/>
      <c r="AK539" s="58"/>
      <c r="AL539" s="58"/>
      <c r="AM539" s="58"/>
      <c r="AN539" s="58"/>
      <c r="AO539" s="58"/>
      <c r="AP539" s="58"/>
      <c r="AQ539" s="58"/>
      <c r="AR539" s="58"/>
    </row>
    <row r="540" spans="1:44" ht="15.75" customHeight="1" x14ac:dyDescent="0.25">
      <c r="A540" s="64"/>
      <c r="B540" s="62"/>
      <c r="C540" s="62"/>
      <c r="D540" s="62"/>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c r="AE540" s="58"/>
      <c r="AF540" s="58"/>
      <c r="AG540" s="58"/>
      <c r="AH540" s="58"/>
      <c r="AI540" s="58"/>
      <c r="AJ540" s="58"/>
      <c r="AK540" s="58"/>
      <c r="AL540" s="58"/>
      <c r="AM540" s="58"/>
      <c r="AN540" s="58"/>
      <c r="AO540" s="58"/>
      <c r="AP540" s="58"/>
      <c r="AQ540" s="58"/>
      <c r="AR540" s="58"/>
    </row>
    <row r="541" spans="1:44" ht="15.75" customHeight="1" x14ac:dyDescent="0.25">
      <c r="A541" s="64"/>
      <c r="B541" s="62"/>
      <c r="C541" s="62"/>
      <c r="D541" s="62"/>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c r="AE541" s="58"/>
      <c r="AF541" s="58"/>
      <c r="AG541" s="58"/>
      <c r="AH541" s="58"/>
      <c r="AI541" s="58"/>
      <c r="AJ541" s="58"/>
      <c r="AK541" s="58"/>
      <c r="AL541" s="58"/>
      <c r="AM541" s="58"/>
      <c r="AN541" s="58"/>
      <c r="AO541" s="58"/>
      <c r="AP541" s="58"/>
      <c r="AQ541" s="58"/>
      <c r="AR541" s="58"/>
    </row>
    <row r="542" spans="1:44" ht="15.75" customHeight="1" x14ac:dyDescent="0.25">
      <c r="A542" s="64"/>
      <c r="B542" s="62"/>
      <c r="C542" s="62"/>
      <c r="D542" s="62"/>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c r="AE542" s="58"/>
      <c r="AF542" s="58"/>
      <c r="AG542" s="58"/>
      <c r="AH542" s="58"/>
      <c r="AI542" s="58"/>
      <c r="AJ542" s="58"/>
      <c r="AK542" s="58"/>
      <c r="AL542" s="58"/>
      <c r="AM542" s="58"/>
      <c r="AN542" s="58"/>
      <c r="AO542" s="58"/>
      <c r="AP542" s="58"/>
      <c r="AQ542" s="58"/>
      <c r="AR542" s="58"/>
    </row>
    <row r="543" spans="1:44" ht="15.75" customHeight="1" x14ac:dyDescent="0.25">
      <c r="A543" s="64"/>
      <c r="B543" s="62"/>
      <c r="C543" s="62"/>
      <c r="D543" s="62"/>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c r="AE543" s="58"/>
      <c r="AF543" s="58"/>
      <c r="AG543" s="58"/>
      <c r="AH543" s="58"/>
      <c r="AI543" s="58"/>
      <c r="AJ543" s="58"/>
      <c r="AK543" s="58"/>
      <c r="AL543" s="58"/>
      <c r="AM543" s="58"/>
      <c r="AN543" s="58"/>
      <c r="AO543" s="58"/>
      <c r="AP543" s="58"/>
      <c r="AQ543" s="58"/>
      <c r="AR543" s="58"/>
    </row>
    <row r="544" spans="1:44" ht="15.75" customHeight="1" x14ac:dyDescent="0.25">
      <c r="A544" s="64"/>
      <c r="B544" s="62"/>
      <c r="C544" s="62"/>
      <c r="D544" s="62"/>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c r="AE544" s="58"/>
      <c r="AF544" s="58"/>
      <c r="AG544" s="58"/>
      <c r="AH544" s="58"/>
      <c r="AI544" s="58"/>
      <c r="AJ544" s="58"/>
      <c r="AK544" s="58"/>
      <c r="AL544" s="58"/>
      <c r="AM544" s="58"/>
      <c r="AN544" s="58"/>
      <c r="AO544" s="58"/>
      <c r="AP544" s="58"/>
      <c r="AQ544" s="58"/>
      <c r="AR544" s="58"/>
    </row>
    <row r="545" spans="1:44" ht="15.75" customHeight="1" x14ac:dyDescent="0.25">
      <c r="A545" s="64"/>
      <c r="B545" s="62"/>
      <c r="C545" s="62"/>
      <c r="D545" s="62"/>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c r="AE545" s="58"/>
      <c r="AF545" s="58"/>
      <c r="AG545" s="58"/>
      <c r="AH545" s="58"/>
      <c r="AI545" s="58"/>
      <c r="AJ545" s="58"/>
      <c r="AK545" s="58"/>
      <c r="AL545" s="58"/>
      <c r="AM545" s="58"/>
      <c r="AN545" s="58"/>
      <c r="AO545" s="58"/>
      <c r="AP545" s="58"/>
      <c r="AQ545" s="58"/>
      <c r="AR545" s="58"/>
    </row>
    <row r="546" spans="1:44" ht="15.75" customHeight="1" x14ac:dyDescent="0.25">
      <c r="A546" s="64"/>
      <c r="B546" s="62"/>
      <c r="C546" s="62"/>
      <c r="D546" s="62"/>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c r="AE546" s="58"/>
      <c r="AF546" s="58"/>
      <c r="AG546" s="58"/>
      <c r="AH546" s="58"/>
      <c r="AI546" s="58"/>
      <c r="AJ546" s="58"/>
      <c r="AK546" s="58"/>
      <c r="AL546" s="58"/>
      <c r="AM546" s="58"/>
      <c r="AN546" s="58"/>
      <c r="AO546" s="58"/>
      <c r="AP546" s="58"/>
      <c r="AQ546" s="58"/>
      <c r="AR546" s="58"/>
    </row>
    <row r="547" spans="1:44" ht="15.75" customHeight="1" x14ac:dyDescent="0.25">
      <c r="A547" s="64"/>
      <c r="B547" s="62"/>
      <c r="C547" s="62"/>
      <c r="D547" s="62"/>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c r="AE547" s="58"/>
      <c r="AF547" s="58"/>
      <c r="AG547" s="58"/>
      <c r="AH547" s="58"/>
      <c r="AI547" s="58"/>
      <c r="AJ547" s="58"/>
      <c r="AK547" s="58"/>
      <c r="AL547" s="58"/>
      <c r="AM547" s="58"/>
      <c r="AN547" s="58"/>
      <c r="AO547" s="58"/>
      <c r="AP547" s="58"/>
      <c r="AQ547" s="58"/>
      <c r="AR547" s="58"/>
    </row>
    <row r="548" spans="1:44" ht="15.75" customHeight="1" x14ac:dyDescent="0.25">
      <c r="A548" s="64"/>
      <c r="B548" s="62"/>
      <c r="C548" s="62"/>
      <c r="D548" s="62"/>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c r="AE548" s="58"/>
      <c r="AF548" s="58"/>
      <c r="AG548" s="58"/>
      <c r="AH548" s="58"/>
      <c r="AI548" s="58"/>
      <c r="AJ548" s="58"/>
      <c r="AK548" s="58"/>
      <c r="AL548" s="58"/>
      <c r="AM548" s="58"/>
      <c r="AN548" s="58"/>
      <c r="AO548" s="58"/>
      <c r="AP548" s="58"/>
      <c r="AQ548" s="58"/>
      <c r="AR548" s="58"/>
    </row>
    <row r="549" spans="1:44" ht="15.75" customHeight="1" x14ac:dyDescent="0.25">
      <c r="A549" s="64"/>
      <c r="B549" s="62"/>
      <c r="C549" s="62"/>
      <c r="D549" s="62"/>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c r="AE549" s="58"/>
      <c r="AF549" s="58"/>
      <c r="AG549" s="58"/>
      <c r="AH549" s="58"/>
      <c r="AI549" s="58"/>
      <c r="AJ549" s="58"/>
      <c r="AK549" s="58"/>
      <c r="AL549" s="58"/>
      <c r="AM549" s="58"/>
      <c r="AN549" s="58"/>
      <c r="AO549" s="58"/>
      <c r="AP549" s="58"/>
      <c r="AQ549" s="58"/>
      <c r="AR549" s="58"/>
    </row>
    <row r="550" spans="1:44" ht="15.75" customHeight="1" x14ac:dyDescent="0.25">
      <c r="A550" s="64"/>
      <c r="B550" s="62"/>
      <c r="C550" s="62"/>
      <c r="D550" s="62"/>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c r="AE550" s="58"/>
      <c r="AF550" s="58"/>
      <c r="AG550" s="58"/>
      <c r="AH550" s="58"/>
      <c r="AI550" s="58"/>
      <c r="AJ550" s="58"/>
      <c r="AK550" s="58"/>
      <c r="AL550" s="58"/>
      <c r="AM550" s="58"/>
      <c r="AN550" s="58"/>
      <c r="AO550" s="58"/>
      <c r="AP550" s="58"/>
      <c r="AQ550" s="58"/>
      <c r="AR550" s="58"/>
    </row>
    <row r="551" spans="1:44" ht="15.75" customHeight="1" x14ac:dyDescent="0.25">
      <c r="A551" s="64"/>
      <c r="B551" s="62"/>
      <c r="C551" s="62"/>
      <c r="D551" s="62"/>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c r="AE551" s="58"/>
      <c r="AF551" s="58"/>
      <c r="AG551" s="58"/>
      <c r="AH551" s="58"/>
      <c r="AI551" s="58"/>
      <c r="AJ551" s="58"/>
      <c r="AK551" s="58"/>
      <c r="AL551" s="58"/>
      <c r="AM551" s="58"/>
      <c r="AN551" s="58"/>
      <c r="AO551" s="58"/>
      <c r="AP551" s="58"/>
      <c r="AQ551" s="58"/>
      <c r="AR551" s="58"/>
    </row>
    <row r="552" spans="1:44" ht="15.75" customHeight="1" x14ac:dyDescent="0.25">
      <c r="A552" s="64"/>
      <c r="B552" s="62"/>
      <c r="C552" s="62"/>
      <c r="D552" s="62"/>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c r="AE552" s="58"/>
      <c r="AF552" s="58"/>
      <c r="AG552" s="58"/>
      <c r="AH552" s="58"/>
      <c r="AI552" s="58"/>
      <c r="AJ552" s="58"/>
      <c r="AK552" s="58"/>
      <c r="AL552" s="58"/>
      <c r="AM552" s="58"/>
      <c r="AN552" s="58"/>
      <c r="AO552" s="58"/>
      <c r="AP552" s="58"/>
      <c r="AQ552" s="58"/>
      <c r="AR552" s="58"/>
    </row>
    <row r="553" spans="1:44" ht="15.75" customHeight="1" x14ac:dyDescent="0.25">
      <c r="A553" s="64"/>
      <c r="B553" s="62"/>
      <c r="C553" s="62"/>
      <c r="D553" s="62"/>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c r="AE553" s="58"/>
      <c r="AF553" s="58"/>
      <c r="AG553" s="58"/>
      <c r="AH553" s="58"/>
      <c r="AI553" s="58"/>
      <c r="AJ553" s="58"/>
      <c r="AK553" s="58"/>
      <c r="AL553" s="58"/>
      <c r="AM553" s="58"/>
      <c r="AN553" s="58"/>
      <c r="AO553" s="58"/>
      <c r="AP553" s="58"/>
      <c r="AQ553" s="58"/>
      <c r="AR553" s="58"/>
    </row>
    <row r="554" spans="1:44" ht="15.75" customHeight="1" x14ac:dyDescent="0.25">
      <c r="A554" s="64"/>
      <c r="B554" s="62"/>
      <c r="C554" s="62"/>
      <c r="D554" s="62"/>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c r="AE554" s="58"/>
      <c r="AF554" s="58"/>
      <c r="AG554" s="58"/>
      <c r="AH554" s="58"/>
      <c r="AI554" s="58"/>
      <c r="AJ554" s="58"/>
      <c r="AK554" s="58"/>
      <c r="AL554" s="58"/>
      <c r="AM554" s="58"/>
      <c r="AN554" s="58"/>
      <c r="AO554" s="58"/>
      <c r="AP554" s="58"/>
      <c r="AQ554" s="58"/>
      <c r="AR554" s="58"/>
    </row>
    <row r="555" spans="1:44" ht="15.75" customHeight="1" x14ac:dyDescent="0.25">
      <c r="A555" s="64"/>
      <c r="B555" s="62"/>
      <c r="C555" s="62"/>
      <c r="D555" s="62"/>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c r="AE555" s="58"/>
      <c r="AF555" s="58"/>
      <c r="AG555" s="58"/>
      <c r="AH555" s="58"/>
      <c r="AI555" s="58"/>
      <c r="AJ555" s="58"/>
      <c r="AK555" s="58"/>
      <c r="AL555" s="58"/>
      <c r="AM555" s="58"/>
      <c r="AN555" s="58"/>
      <c r="AO555" s="58"/>
      <c r="AP555" s="58"/>
      <c r="AQ555" s="58"/>
      <c r="AR555" s="58"/>
    </row>
    <row r="556" spans="1:44" ht="15.75" customHeight="1" x14ac:dyDescent="0.25">
      <c r="A556" s="64"/>
      <c r="B556" s="62"/>
      <c r="C556" s="62"/>
      <c r="D556" s="62"/>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c r="AG556" s="58"/>
      <c r="AH556" s="58"/>
      <c r="AI556" s="58"/>
      <c r="AJ556" s="58"/>
      <c r="AK556" s="58"/>
      <c r="AL556" s="58"/>
      <c r="AM556" s="58"/>
      <c r="AN556" s="58"/>
      <c r="AO556" s="58"/>
      <c r="AP556" s="58"/>
      <c r="AQ556" s="58"/>
      <c r="AR556" s="58"/>
    </row>
    <row r="557" spans="1:44" ht="15.75" customHeight="1" x14ac:dyDescent="0.25">
      <c r="A557" s="64"/>
      <c r="B557" s="62"/>
      <c r="C557" s="62"/>
      <c r="D557" s="62"/>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c r="AE557" s="58"/>
      <c r="AF557" s="58"/>
      <c r="AG557" s="58"/>
      <c r="AH557" s="58"/>
      <c r="AI557" s="58"/>
      <c r="AJ557" s="58"/>
      <c r="AK557" s="58"/>
      <c r="AL557" s="58"/>
      <c r="AM557" s="58"/>
      <c r="AN557" s="58"/>
      <c r="AO557" s="58"/>
      <c r="AP557" s="58"/>
      <c r="AQ557" s="58"/>
      <c r="AR557" s="58"/>
    </row>
    <row r="558" spans="1:44" ht="15.75" customHeight="1" x14ac:dyDescent="0.25">
      <c r="A558" s="64"/>
      <c r="B558" s="62"/>
      <c r="C558" s="62"/>
      <c r="D558" s="62"/>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c r="AE558" s="58"/>
      <c r="AF558" s="58"/>
      <c r="AG558" s="58"/>
      <c r="AH558" s="58"/>
      <c r="AI558" s="58"/>
      <c r="AJ558" s="58"/>
      <c r="AK558" s="58"/>
      <c r="AL558" s="58"/>
      <c r="AM558" s="58"/>
      <c r="AN558" s="58"/>
      <c r="AO558" s="58"/>
      <c r="AP558" s="58"/>
      <c r="AQ558" s="58"/>
      <c r="AR558" s="58"/>
    </row>
    <row r="559" spans="1:44" ht="15.75" customHeight="1" x14ac:dyDescent="0.25">
      <c r="A559" s="64"/>
      <c r="B559" s="62"/>
      <c r="C559" s="62"/>
      <c r="D559" s="62"/>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c r="AE559" s="58"/>
      <c r="AF559" s="58"/>
      <c r="AG559" s="58"/>
      <c r="AH559" s="58"/>
      <c r="AI559" s="58"/>
      <c r="AJ559" s="58"/>
      <c r="AK559" s="58"/>
      <c r="AL559" s="58"/>
      <c r="AM559" s="58"/>
      <c r="AN559" s="58"/>
      <c r="AO559" s="58"/>
      <c r="AP559" s="58"/>
      <c r="AQ559" s="58"/>
      <c r="AR559" s="58"/>
    </row>
    <row r="560" spans="1:44" ht="15.75" customHeight="1" x14ac:dyDescent="0.25">
      <c r="A560" s="64"/>
      <c r="B560" s="62"/>
      <c r="C560" s="62"/>
      <c r="D560" s="62"/>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c r="AE560" s="58"/>
      <c r="AF560" s="58"/>
      <c r="AG560" s="58"/>
      <c r="AH560" s="58"/>
      <c r="AI560" s="58"/>
      <c r="AJ560" s="58"/>
      <c r="AK560" s="58"/>
      <c r="AL560" s="58"/>
      <c r="AM560" s="58"/>
      <c r="AN560" s="58"/>
      <c r="AO560" s="58"/>
      <c r="AP560" s="58"/>
      <c r="AQ560" s="58"/>
      <c r="AR560" s="58"/>
    </row>
    <row r="561" spans="1:44" ht="15.75" customHeight="1" x14ac:dyDescent="0.25">
      <c r="A561" s="64"/>
      <c r="B561" s="62"/>
      <c r="C561" s="62"/>
      <c r="D561" s="62"/>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c r="AE561" s="58"/>
      <c r="AF561" s="58"/>
      <c r="AG561" s="58"/>
      <c r="AH561" s="58"/>
      <c r="AI561" s="58"/>
      <c r="AJ561" s="58"/>
      <c r="AK561" s="58"/>
      <c r="AL561" s="58"/>
      <c r="AM561" s="58"/>
      <c r="AN561" s="58"/>
      <c r="AO561" s="58"/>
      <c r="AP561" s="58"/>
      <c r="AQ561" s="58"/>
      <c r="AR561" s="58"/>
    </row>
    <row r="562" spans="1:44" ht="15.75" customHeight="1" x14ac:dyDescent="0.25">
      <c r="A562" s="64"/>
      <c r="B562" s="62"/>
      <c r="C562" s="62"/>
      <c r="D562" s="62"/>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c r="AE562" s="58"/>
      <c r="AF562" s="58"/>
      <c r="AG562" s="58"/>
      <c r="AH562" s="58"/>
      <c r="AI562" s="58"/>
      <c r="AJ562" s="58"/>
      <c r="AK562" s="58"/>
      <c r="AL562" s="58"/>
      <c r="AM562" s="58"/>
      <c r="AN562" s="58"/>
      <c r="AO562" s="58"/>
      <c r="AP562" s="58"/>
      <c r="AQ562" s="58"/>
      <c r="AR562" s="58"/>
    </row>
    <row r="563" spans="1:44" ht="15.75" customHeight="1" x14ac:dyDescent="0.25">
      <c r="A563" s="64"/>
      <c r="B563" s="62"/>
      <c r="C563" s="62"/>
      <c r="D563" s="62"/>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c r="AE563" s="58"/>
      <c r="AF563" s="58"/>
      <c r="AG563" s="58"/>
      <c r="AH563" s="58"/>
      <c r="AI563" s="58"/>
      <c r="AJ563" s="58"/>
      <c r="AK563" s="58"/>
      <c r="AL563" s="58"/>
      <c r="AM563" s="58"/>
      <c r="AN563" s="58"/>
      <c r="AO563" s="58"/>
      <c r="AP563" s="58"/>
      <c r="AQ563" s="58"/>
      <c r="AR563" s="58"/>
    </row>
    <row r="564" spans="1:44" ht="15.75" customHeight="1" x14ac:dyDescent="0.25">
      <c r="A564" s="64"/>
      <c r="B564" s="62"/>
      <c r="C564" s="62"/>
      <c r="D564" s="62"/>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c r="AE564" s="58"/>
      <c r="AF564" s="58"/>
      <c r="AG564" s="58"/>
      <c r="AH564" s="58"/>
      <c r="AI564" s="58"/>
      <c r="AJ564" s="58"/>
      <c r="AK564" s="58"/>
      <c r="AL564" s="58"/>
      <c r="AM564" s="58"/>
      <c r="AN564" s="58"/>
      <c r="AO564" s="58"/>
      <c r="AP564" s="58"/>
      <c r="AQ564" s="58"/>
      <c r="AR564" s="58"/>
    </row>
    <row r="565" spans="1:44" ht="15.75" customHeight="1" x14ac:dyDescent="0.25">
      <c r="A565" s="64"/>
      <c r="B565" s="62"/>
      <c r="C565" s="62"/>
      <c r="D565" s="62"/>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c r="AE565" s="58"/>
      <c r="AF565" s="58"/>
      <c r="AG565" s="58"/>
      <c r="AH565" s="58"/>
      <c r="AI565" s="58"/>
      <c r="AJ565" s="58"/>
      <c r="AK565" s="58"/>
      <c r="AL565" s="58"/>
      <c r="AM565" s="58"/>
      <c r="AN565" s="58"/>
      <c r="AO565" s="58"/>
      <c r="AP565" s="58"/>
      <c r="AQ565" s="58"/>
      <c r="AR565" s="58"/>
    </row>
    <row r="566" spans="1:44" ht="15.75" customHeight="1" x14ac:dyDescent="0.25">
      <c r="A566" s="64"/>
      <c r="B566" s="62"/>
      <c r="C566" s="62"/>
      <c r="D566" s="62"/>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c r="AE566" s="58"/>
      <c r="AF566" s="58"/>
      <c r="AG566" s="58"/>
      <c r="AH566" s="58"/>
      <c r="AI566" s="58"/>
      <c r="AJ566" s="58"/>
      <c r="AK566" s="58"/>
      <c r="AL566" s="58"/>
      <c r="AM566" s="58"/>
      <c r="AN566" s="58"/>
      <c r="AO566" s="58"/>
      <c r="AP566" s="58"/>
      <c r="AQ566" s="58"/>
      <c r="AR566" s="58"/>
    </row>
    <row r="567" spans="1:44" ht="15.75" customHeight="1" x14ac:dyDescent="0.25">
      <c r="A567" s="64"/>
      <c r="B567" s="62"/>
      <c r="C567" s="62"/>
      <c r="D567" s="62"/>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c r="AE567" s="58"/>
      <c r="AF567" s="58"/>
      <c r="AG567" s="58"/>
      <c r="AH567" s="58"/>
      <c r="AI567" s="58"/>
      <c r="AJ567" s="58"/>
      <c r="AK567" s="58"/>
      <c r="AL567" s="58"/>
      <c r="AM567" s="58"/>
      <c r="AN567" s="58"/>
      <c r="AO567" s="58"/>
      <c r="AP567" s="58"/>
      <c r="AQ567" s="58"/>
      <c r="AR567" s="58"/>
    </row>
    <row r="568" spans="1:44" ht="15.75" customHeight="1" x14ac:dyDescent="0.25">
      <c r="A568" s="64"/>
      <c r="B568" s="62"/>
      <c r="C568" s="62"/>
      <c r="D568" s="62"/>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c r="AE568" s="58"/>
      <c r="AF568" s="58"/>
      <c r="AG568" s="58"/>
      <c r="AH568" s="58"/>
      <c r="AI568" s="58"/>
      <c r="AJ568" s="58"/>
      <c r="AK568" s="58"/>
      <c r="AL568" s="58"/>
      <c r="AM568" s="58"/>
      <c r="AN568" s="58"/>
      <c r="AO568" s="58"/>
      <c r="AP568" s="58"/>
      <c r="AQ568" s="58"/>
      <c r="AR568" s="58"/>
    </row>
    <row r="569" spans="1:44" ht="15.75" customHeight="1" x14ac:dyDescent="0.25">
      <c r="A569" s="64"/>
      <c r="B569" s="62"/>
      <c r="C569" s="62"/>
      <c r="D569" s="62"/>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c r="AE569" s="58"/>
      <c r="AF569" s="58"/>
      <c r="AG569" s="58"/>
      <c r="AH569" s="58"/>
      <c r="AI569" s="58"/>
      <c r="AJ569" s="58"/>
      <c r="AK569" s="58"/>
      <c r="AL569" s="58"/>
      <c r="AM569" s="58"/>
      <c r="AN569" s="58"/>
      <c r="AO569" s="58"/>
      <c r="AP569" s="58"/>
      <c r="AQ569" s="58"/>
      <c r="AR569" s="58"/>
    </row>
    <row r="570" spans="1:44" ht="15.75" customHeight="1" x14ac:dyDescent="0.25">
      <c r="A570" s="64"/>
      <c r="B570" s="62"/>
      <c r="C570" s="62"/>
      <c r="D570" s="62"/>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c r="AE570" s="58"/>
      <c r="AF570" s="58"/>
      <c r="AG570" s="58"/>
      <c r="AH570" s="58"/>
      <c r="AI570" s="58"/>
      <c r="AJ570" s="58"/>
      <c r="AK570" s="58"/>
      <c r="AL570" s="58"/>
      <c r="AM570" s="58"/>
      <c r="AN570" s="58"/>
      <c r="AO570" s="58"/>
      <c r="AP570" s="58"/>
      <c r="AQ570" s="58"/>
      <c r="AR570" s="58"/>
    </row>
    <row r="571" spans="1:44" ht="15.75" customHeight="1" x14ac:dyDescent="0.25">
      <c r="A571" s="64"/>
      <c r="B571" s="62"/>
      <c r="C571" s="62"/>
      <c r="D571" s="62"/>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c r="AE571" s="58"/>
      <c r="AF571" s="58"/>
      <c r="AG571" s="58"/>
      <c r="AH571" s="58"/>
      <c r="AI571" s="58"/>
      <c r="AJ571" s="58"/>
      <c r="AK571" s="58"/>
      <c r="AL571" s="58"/>
      <c r="AM571" s="58"/>
      <c r="AN571" s="58"/>
      <c r="AO571" s="58"/>
      <c r="AP571" s="58"/>
      <c r="AQ571" s="58"/>
      <c r="AR571" s="58"/>
    </row>
    <row r="572" spans="1:44" ht="15.75" customHeight="1" x14ac:dyDescent="0.25">
      <c r="A572" s="64"/>
      <c r="B572" s="62"/>
      <c r="C572" s="62"/>
      <c r="D572" s="62"/>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c r="AE572" s="58"/>
      <c r="AF572" s="58"/>
      <c r="AG572" s="58"/>
      <c r="AH572" s="58"/>
      <c r="AI572" s="58"/>
      <c r="AJ572" s="58"/>
      <c r="AK572" s="58"/>
      <c r="AL572" s="58"/>
      <c r="AM572" s="58"/>
      <c r="AN572" s="58"/>
      <c r="AO572" s="58"/>
      <c r="AP572" s="58"/>
      <c r="AQ572" s="58"/>
      <c r="AR572" s="58"/>
    </row>
    <row r="573" spans="1:44" ht="15.75" customHeight="1" x14ac:dyDescent="0.25">
      <c r="A573" s="64"/>
      <c r="B573" s="62"/>
      <c r="C573" s="62"/>
      <c r="D573" s="62"/>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c r="AE573" s="58"/>
      <c r="AF573" s="58"/>
      <c r="AG573" s="58"/>
      <c r="AH573" s="58"/>
      <c r="AI573" s="58"/>
      <c r="AJ573" s="58"/>
      <c r="AK573" s="58"/>
      <c r="AL573" s="58"/>
      <c r="AM573" s="58"/>
      <c r="AN573" s="58"/>
      <c r="AO573" s="58"/>
      <c r="AP573" s="58"/>
      <c r="AQ573" s="58"/>
      <c r="AR573" s="58"/>
    </row>
    <row r="574" spans="1:44" ht="15.75" customHeight="1" x14ac:dyDescent="0.25">
      <c r="A574" s="64"/>
      <c r="B574" s="62"/>
      <c r="C574" s="62"/>
      <c r="D574" s="62"/>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c r="AE574" s="58"/>
      <c r="AF574" s="58"/>
      <c r="AG574" s="58"/>
      <c r="AH574" s="58"/>
      <c r="AI574" s="58"/>
      <c r="AJ574" s="58"/>
      <c r="AK574" s="58"/>
      <c r="AL574" s="58"/>
      <c r="AM574" s="58"/>
      <c r="AN574" s="58"/>
      <c r="AO574" s="58"/>
      <c r="AP574" s="58"/>
      <c r="AQ574" s="58"/>
      <c r="AR574" s="58"/>
    </row>
    <row r="575" spans="1:44" ht="15.75" customHeight="1" x14ac:dyDescent="0.25">
      <c r="A575" s="64"/>
      <c r="B575" s="62"/>
      <c r="C575" s="62"/>
      <c r="D575" s="62"/>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c r="AE575" s="58"/>
      <c r="AF575" s="58"/>
      <c r="AG575" s="58"/>
      <c r="AH575" s="58"/>
      <c r="AI575" s="58"/>
      <c r="AJ575" s="58"/>
      <c r="AK575" s="58"/>
      <c r="AL575" s="58"/>
      <c r="AM575" s="58"/>
      <c r="AN575" s="58"/>
      <c r="AO575" s="58"/>
      <c r="AP575" s="58"/>
      <c r="AQ575" s="58"/>
      <c r="AR575" s="58"/>
    </row>
    <row r="576" spans="1:44" ht="15.75" customHeight="1" x14ac:dyDescent="0.25">
      <c r="A576" s="64"/>
      <c r="B576" s="62"/>
      <c r="C576" s="62"/>
      <c r="D576" s="62"/>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c r="AE576" s="58"/>
      <c r="AF576" s="58"/>
      <c r="AG576" s="58"/>
      <c r="AH576" s="58"/>
      <c r="AI576" s="58"/>
      <c r="AJ576" s="58"/>
      <c r="AK576" s="58"/>
      <c r="AL576" s="58"/>
      <c r="AM576" s="58"/>
      <c r="AN576" s="58"/>
      <c r="AO576" s="58"/>
      <c r="AP576" s="58"/>
      <c r="AQ576" s="58"/>
      <c r="AR576" s="58"/>
    </row>
    <row r="577" spans="1:44" ht="15.75" customHeight="1" x14ac:dyDescent="0.25">
      <c r="A577" s="64"/>
      <c r="B577" s="62"/>
      <c r="C577" s="62"/>
      <c r="D577" s="62"/>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c r="AE577" s="58"/>
      <c r="AF577" s="58"/>
      <c r="AG577" s="58"/>
      <c r="AH577" s="58"/>
      <c r="AI577" s="58"/>
      <c r="AJ577" s="58"/>
      <c r="AK577" s="58"/>
      <c r="AL577" s="58"/>
      <c r="AM577" s="58"/>
      <c r="AN577" s="58"/>
      <c r="AO577" s="58"/>
      <c r="AP577" s="58"/>
      <c r="AQ577" s="58"/>
      <c r="AR577" s="58"/>
    </row>
    <row r="578" spans="1:44" ht="15.75" customHeight="1" x14ac:dyDescent="0.25">
      <c r="A578" s="64"/>
      <c r="B578" s="62"/>
      <c r="C578" s="62"/>
      <c r="D578" s="62"/>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c r="AE578" s="58"/>
      <c r="AF578" s="58"/>
      <c r="AG578" s="58"/>
      <c r="AH578" s="58"/>
      <c r="AI578" s="58"/>
      <c r="AJ578" s="58"/>
      <c r="AK578" s="58"/>
      <c r="AL578" s="58"/>
      <c r="AM578" s="58"/>
      <c r="AN578" s="58"/>
      <c r="AO578" s="58"/>
      <c r="AP578" s="58"/>
      <c r="AQ578" s="58"/>
      <c r="AR578" s="58"/>
    </row>
    <row r="579" spans="1:44" ht="15.75" customHeight="1" x14ac:dyDescent="0.25">
      <c r="A579" s="64"/>
      <c r="B579" s="62"/>
      <c r="C579" s="62"/>
      <c r="D579" s="62"/>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c r="AE579" s="58"/>
      <c r="AF579" s="58"/>
      <c r="AG579" s="58"/>
      <c r="AH579" s="58"/>
      <c r="AI579" s="58"/>
      <c r="AJ579" s="58"/>
      <c r="AK579" s="58"/>
      <c r="AL579" s="58"/>
      <c r="AM579" s="58"/>
      <c r="AN579" s="58"/>
      <c r="AO579" s="58"/>
      <c r="AP579" s="58"/>
      <c r="AQ579" s="58"/>
      <c r="AR579" s="58"/>
    </row>
    <row r="580" spans="1:44" ht="15.75" customHeight="1" x14ac:dyDescent="0.25">
      <c r="A580" s="64"/>
      <c r="B580" s="62"/>
      <c r="C580" s="62"/>
      <c r="D580" s="62"/>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c r="AE580" s="58"/>
      <c r="AF580" s="58"/>
      <c r="AG580" s="58"/>
      <c r="AH580" s="58"/>
      <c r="AI580" s="58"/>
      <c r="AJ580" s="58"/>
      <c r="AK580" s="58"/>
      <c r="AL580" s="58"/>
      <c r="AM580" s="58"/>
      <c r="AN580" s="58"/>
      <c r="AO580" s="58"/>
      <c r="AP580" s="58"/>
      <c r="AQ580" s="58"/>
      <c r="AR580" s="58"/>
    </row>
    <row r="581" spans="1:44" ht="15.75" customHeight="1" x14ac:dyDescent="0.25">
      <c r="A581" s="64"/>
      <c r="B581" s="62"/>
      <c r="C581" s="62"/>
      <c r="D581" s="62"/>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c r="AE581" s="58"/>
      <c r="AF581" s="58"/>
      <c r="AG581" s="58"/>
      <c r="AH581" s="58"/>
      <c r="AI581" s="58"/>
      <c r="AJ581" s="58"/>
      <c r="AK581" s="58"/>
      <c r="AL581" s="58"/>
      <c r="AM581" s="58"/>
      <c r="AN581" s="58"/>
      <c r="AO581" s="58"/>
      <c r="AP581" s="58"/>
      <c r="AQ581" s="58"/>
      <c r="AR581" s="58"/>
    </row>
    <row r="582" spans="1:44" ht="15.75" customHeight="1" x14ac:dyDescent="0.25">
      <c r="A582" s="64"/>
      <c r="B582" s="62"/>
      <c r="C582" s="62"/>
      <c r="D582" s="62"/>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c r="AE582" s="58"/>
      <c r="AF582" s="58"/>
      <c r="AG582" s="58"/>
      <c r="AH582" s="58"/>
      <c r="AI582" s="58"/>
      <c r="AJ582" s="58"/>
      <c r="AK582" s="58"/>
      <c r="AL582" s="58"/>
      <c r="AM582" s="58"/>
      <c r="AN582" s="58"/>
      <c r="AO582" s="58"/>
      <c r="AP582" s="58"/>
      <c r="AQ582" s="58"/>
      <c r="AR582" s="58"/>
    </row>
    <row r="583" spans="1:44" ht="15.75" customHeight="1" x14ac:dyDescent="0.25">
      <c r="A583" s="64"/>
      <c r="B583" s="62"/>
      <c r="C583" s="62"/>
      <c r="D583" s="62"/>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c r="AE583" s="58"/>
      <c r="AF583" s="58"/>
      <c r="AG583" s="58"/>
      <c r="AH583" s="58"/>
      <c r="AI583" s="58"/>
      <c r="AJ583" s="58"/>
      <c r="AK583" s="58"/>
      <c r="AL583" s="58"/>
      <c r="AM583" s="58"/>
      <c r="AN583" s="58"/>
      <c r="AO583" s="58"/>
      <c r="AP583" s="58"/>
      <c r="AQ583" s="58"/>
      <c r="AR583" s="58"/>
    </row>
    <row r="584" spans="1:44" ht="15.75" customHeight="1" x14ac:dyDescent="0.25">
      <c r="A584" s="64"/>
      <c r="B584" s="62"/>
      <c r="C584" s="62"/>
      <c r="D584" s="62"/>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c r="AE584" s="58"/>
      <c r="AF584" s="58"/>
      <c r="AG584" s="58"/>
      <c r="AH584" s="58"/>
      <c r="AI584" s="58"/>
      <c r="AJ584" s="58"/>
      <c r="AK584" s="58"/>
      <c r="AL584" s="58"/>
      <c r="AM584" s="58"/>
      <c r="AN584" s="58"/>
      <c r="AO584" s="58"/>
      <c r="AP584" s="58"/>
      <c r="AQ584" s="58"/>
      <c r="AR584" s="58"/>
    </row>
    <row r="585" spans="1:44" ht="15.75" customHeight="1" x14ac:dyDescent="0.25">
      <c r="A585" s="64"/>
      <c r="B585" s="62"/>
      <c r="C585" s="62"/>
      <c r="D585" s="62"/>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c r="AE585" s="58"/>
      <c r="AF585" s="58"/>
      <c r="AG585" s="58"/>
      <c r="AH585" s="58"/>
      <c r="AI585" s="58"/>
      <c r="AJ585" s="58"/>
      <c r="AK585" s="58"/>
      <c r="AL585" s="58"/>
      <c r="AM585" s="58"/>
      <c r="AN585" s="58"/>
      <c r="AO585" s="58"/>
      <c r="AP585" s="58"/>
      <c r="AQ585" s="58"/>
      <c r="AR585" s="58"/>
    </row>
    <row r="586" spans="1:44" ht="15.75" customHeight="1" x14ac:dyDescent="0.25">
      <c r="A586" s="64"/>
      <c r="B586" s="62"/>
      <c r="C586" s="62"/>
      <c r="D586" s="62"/>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c r="AE586" s="58"/>
      <c r="AF586" s="58"/>
      <c r="AG586" s="58"/>
      <c r="AH586" s="58"/>
      <c r="AI586" s="58"/>
      <c r="AJ586" s="58"/>
      <c r="AK586" s="58"/>
      <c r="AL586" s="58"/>
      <c r="AM586" s="58"/>
      <c r="AN586" s="58"/>
      <c r="AO586" s="58"/>
      <c r="AP586" s="58"/>
      <c r="AQ586" s="58"/>
      <c r="AR586" s="58"/>
    </row>
    <row r="587" spans="1:44" ht="15.75" customHeight="1" x14ac:dyDescent="0.25">
      <c r="A587" s="64"/>
      <c r="B587" s="62"/>
      <c r="C587" s="62"/>
      <c r="D587" s="62"/>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c r="AE587" s="58"/>
      <c r="AF587" s="58"/>
      <c r="AG587" s="58"/>
      <c r="AH587" s="58"/>
      <c r="AI587" s="58"/>
      <c r="AJ587" s="58"/>
      <c r="AK587" s="58"/>
      <c r="AL587" s="58"/>
      <c r="AM587" s="58"/>
      <c r="AN587" s="58"/>
      <c r="AO587" s="58"/>
      <c r="AP587" s="58"/>
      <c r="AQ587" s="58"/>
      <c r="AR587" s="58"/>
    </row>
    <row r="588" spans="1:44" ht="15.75" customHeight="1" x14ac:dyDescent="0.25">
      <c r="A588" s="64"/>
      <c r="B588" s="62"/>
      <c r="C588" s="62"/>
      <c r="D588" s="62"/>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c r="AE588" s="58"/>
      <c r="AF588" s="58"/>
      <c r="AG588" s="58"/>
      <c r="AH588" s="58"/>
      <c r="AI588" s="58"/>
      <c r="AJ588" s="58"/>
      <c r="AK588" s="58"/>
      <c r="AL588" s="58"/>
      <c r="AM588" s="58"/>
      <c r="AN588" s="58"/>
      <c r="AO588" s="58"/>
      <c r="AP588" s="58"/>
      <c r="AQ588" s="58"/>
      <c r="AR588" s="58"/>
    </row>
    <row r="589" spans="1:44" ht="15.75" customHeight="1" x14ac:dyDescent="0.25">
      <c r="A589" s="64"/>
      <c r="B589" s="62"/>
      <c r="C589" s="62"/>
      <c r="D589" s="62"/>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c r="AE589" s="58"/>
      <c r="AF589" s="58"/>
      <c r="AG589" s="58"/>
      <c r="AH589" s="58"/>
      <c r="AI589" s="58"/>
      <c r="AJ589" s="58"/>
      <c r="AK589" s="58"/>
      <c r="AL589" s="58"/>
      <c r="AM589" s="58"/>
      <c r="AN589" s="58"/>
      <c r="AO589" s="58"/>
      <c r="AP589" s="58"/>
      <c r="AQ589" s="58"/>
      <c r="AR589" s="58"/>
    </row>
    <row r="590" spans="1:44" ht="15.75" customHeight="1" x14ac:dyDescent="0.25">
      <c r="A590" s="64"/>
      <c r="B590" s="62"/>
      <c r="C590" s="62"/>
      <c r="D590" s="62"/>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c r="AE590" s="58"/>
      <c r="AF590" s="58"/>
      <c r="AG590" s="58"/>
      <c r="AH590" s="58"/>
      <c r="AI590" s="58"/>
      <c r="AJ590" s="58"/>
      <c r="AK590" s="58"/>
      <c r="AL590" s="58"/>
      <c r="AM590" s="58"/>
      <c r="AN590" s="58"/>
      <c r="AO590" s="58"/>
      <c r="AP590" s="58"/>
      <c r="AQ590" s="58"/>
      <c r="AR590" s="58"/>
    </row>
    <row r="591" spans="1:44" ht="15.75" customHeight="1" x14ac:dyDescent="0.25">
      <c r="A591" s="64"/>
      <c r="B591" s="62"/>
      <c r="C591" s="62"/>
      <c r="D591" s="62"/>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c r="AE591" s="58"/>
      <c r="AF591" s="58"/>
      <c r="AG591" s="58"/>
      <c r="AH591" s="58"/>
      <c r="AI591" s="58"/>
      <c r="AJ591" s="58"/>
      <c r="AK591" s="58"/>
      <c r="AL591" s="58"/>
      <c r="AM591" s="58"/>
      <c r="AN591" s="58"/>
      <c r="AO591" s="58"/>
      <c r="AP591" s="58"/>
      <c r="AQ591" s="58"/>
      <c r="AR591" s="58"/>
    </row>
    <row r="592" spans="1:44" ht="15.75" customHeight="1" x14ac:dyDescent="0.25">
      <c r="A592" s="64"/>
      <c r="B592" s="62"/>
      <c r="C592" s="62"/>
      <c r="D592" s="62"/>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c r="AE592" s="58"/>
      <c r="AF592" s="58"/>
      <c r="AG592" s="58"/>
      <c r="AH592" s="58"/>
      <c r="AI592" s="58"/>
      <c r="AJ592" s="58"/>
      <c r="AK592" s="58"/>
      <c r="AL592" s="58"/>
      <c r="AM592" s="58"/>
      <c r="AN592" s="58"/>
      <c r="AO592" s="58"/>
      <c r="AP592" s="58"/>
      <c r="AQ592" s="58"/>
      <c r="AR592" s="58"/>
    </row>
    <row r="593" spans="1:44" ht="15.75" customHeight="1" x14ac:dyDescent="0.25">
      <c r="A593" s="64"/>
      <c r="B593" s="62"/>
      <c r="C593" s="62"/>
      <c r="D593" s="62"/>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c r="AE593" s="58"/>
      <c r="AF593" s="58"/>
      <c r="AG593" s="58"/>
      <c r="AH593" s="58"/>
      <c r="AI593" s="58"/>
      <c r="AJ593" s="58"/>
      <c r="AK593" s="58"/>
      <c r="AL593" s="58"/>
      <c r="AM593" s="58"/>
      <c r="AN593" s="58"/>
      <c r="AO593" s="58"/>
      <c r="AP593" s="58"/>
      <c r="AQ593" s="58"/>
      <c r="AR593" s="58"/>
    </row>
    <row r="594" spans="1:44" ht="15.75" customHeight="1" x14ac:dyDescent="0.25">
      <c r="A594" s="64"/>
      <c r="B594" s="62"/>
      <c r="C594" s="62"/>
      <c r="D594" s="62"/>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c r="AE594" s="58"/>
      <c r="AF594" s="58"/>
      <c r="AG594" s="58"/>
      <c r="AH594" s="58"/>
      <c r="AI594" s="58"/>
      <c r="AJ594" s="58"/>
      <c r="AK594" s="58"/>
      <c r="AL594" s="58"/>
      <c r="AM594" s="58"/>
      <c r="AN594" s="58"/>
      <c r="AO594" s="58"/>
      <c r="AP594" s="58"/>
      <c r="AQ594" s="58"/>
      <c r="AR594" s="58"/>
    </row>
    <row r="595" spans="1:44" ht="15.75" customHeight="1" x14ac:dyDescent="0.25">
      <c r="A595" s="64"/>
      <c r="B595" s="62"/>
      <c r="C595" s="62"/>
      <c r="D595" s="62"/>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c r="AE595" s="58"/>
      <c r="AF595" s="58"/>
      <c r="AG595" s="58"/>
      <c r="AH595" s="58"/>
      <c r="AI595" s="58"/>
      <c r="AJ595" s="58"/>
      <c r="AK595" s="58"/>
      <c r="AL595" s="58"/>
      <c r="AM595" s="58"/>
      <c r="AN595" s="58"/>
      <c r="AO595" s="58"/>
      <c r="AP595" s="58"/>
      <c r="AQ595" s="58"/>
      <c r="AR595" s="58"/>
    </row>
    <row r="596" spans="1:44" ht="15.75" customHeight="1" x14ac:dyDescent="0.25">
      <c r="A596" s="64"/>
      <c r="B596" s="62"/>
      <c r="C596" s="62"/>
      <c r="D596" s="62"/>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c r="AE596" s="58"/>
      <c r="AF596" s="58"/>
      <c r="AG596" s="58"/>
      <c r="AH596" s="58"/>
      <c r="AI596" s="58"/>
      <c r="AJ596" s="58"/>
      <c r="AK596" s="58"/>
      <c r="AL596" s="58"/>
      <c r="AM596" s="58"/>
      <c r="AN596" s="58"/>
      <c r="AO596" s="58"/>
      <c r="AP596" s="58"/>
      <c r="AQ596" s="58"/>
      <c r="AR596" s="58"/>
    </row>
    <row r="597" spans="1:44" ht="15.75" customHeight="1" x14ac:dyDescent="0.25">
      <c r="A597" s="64"/>
      <c r="B597" s="62"/>
      <c r="C597" s="62"/>
      <c r="D597" s="62"/>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c r="AE597" s="58"/>
      <c r="AF597" s="58"/>
      <c r="AG597" s="58"/>
      <c r="AH597" s="58"/>
      <c r="AI597" s="58"/>
      <c r="AJ597" s="58"/>
      <c r="AK597" s="58"/>
      <c r="AL597" s="58"/>
      <c r="AM597" s="58"/>
      <c r="AN597" s="58"/>
      <c r="AO597" s="58"/>
      <c r="AP597" s="58"/>
      <c r="AQ597" s="58"/>
      <c r="AR597" s="58"/>
    </row>
    <row r="598" spans="1:44" ht="15.75" customHeight="1" x14ac:dyDescent="0.25">
      <c r="A598" s="64"/>
      <c r="B598" s="62"/>
      <c r="C598" s="62"/>
      <c r="D598" s="62"/>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c r="AE598" s="58"/>
      <c r="AF598" s="58"/>
      <c r="AG598" s="58"/>
      <c r="AH598" s="58"/>
      <c r="AI598" s="58"/>
      <c r="AJ598" s="58"/>
      <c r="AK598" s="58"/>
      <c r="AL598" s="58"/>
      <c r="AM598" s="58"/>
      <c r="AN598" s="58"/>
      <c r="AO598" s="58"/>
      <c r="AP598" s="58"/>
      <c r="AQ598" s="58"/>
      <c r="AR598" s="58"/>
    </row>
    <row r="599" spans="1:44" ht="15.75" customHeight="1" x14ac:dyDescent="0.25">
      <c r="A599" s="64"/>
      <c r="B599" s="62"/>
      <c r="C599" s="62"/>
      <c r="D599" s="62"/>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c r="AE599" s="58"/>
      <c r="AF599" s="58"/>
      <c r="AG599" s="58"/>
      <c r="AH599" s="58"/>
      <c r="AI599" s="58"/>
      <c r="AJ599" s="58"/>
      <c r="AK599" s="58"/>
      <c r="AL599" s="58"/>
      <c r="AM599" s="58"/>
      <c r="AN599" s="58"/>
      <c r="AO599" s="58"/>
      <c r="AP599" s="58"/>
      <c r="AQ599" s="58"/>
      <c r="AR599" s="58"/>
    </row>
    <row r="600" spans="1:44" ht="15.75" customHeight="1" x14ac:dyDescent="0.25">
      <c r="A600" s="64"/>
      <c r="B600" s="62"/>
      <c r="C600" s="62"/>
      <c r="D600" s="62"/>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c r="AE600" s="58"/>
      <c r="AF600" s="58"/>
      <c r="AG600" s="58"/>
      <c r="AH600" s="58"/>
      <c r="AI600" s="58"/>
      <c r="AJ600" s="58"/>
      <c r="AK600" s="58"/>
      <c r="AL600" s="58"/>
      <c r="AM600" s="58"/>
      <c r="AN600" s="58"/>
      <c r="AO600" s="58"/>
      <c r="AP600" s="58"/>
      <c r="AQ600" s="58"/>
      <c r="AR600" s="58"/>
    </row>
    <row r="601" spans="1:44" ht="15.75" customHeight="1" x14ac:dyDescent="0.25">
      <c r="A601" s="64"/>
      <c r="B601" s="62"/>
      <c r="C601" s="62"/>
      <c r="D601" s="62"/>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c r="AE601" s="58"/>
      <c r="AF601" s="58"/>
      <c r="AG601" s="58"/>
      <c r="AH601" s="58"/>
      <c r="AI601" s="58"/>
      <c r="AJ601" s="58"/>
      <c r="AK601" s="58"/>
      <c r="AL601" s="58"/>
      <c r="AM601" s="58"/>
      <c r="AN601" s="58"/>
      <c r="AO601" s="58"/>
      <c r="AP601" s="58"/>
      <c r="AQ601" s="58"/>
      <c r="AR601" s="58"/>
    </row>
    <row r="602" spans="1:44" ht="15.75" customHeight="1" x14ac:dyDescent="0.25">
      <c r="A602" s="64"/>
      <c r="B602" s="62"/>
      <c r="C602" s="62"/>
      <c r="D602" s="62"/>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c r="AE602" s="58"/>
      <c r="AF602" s="58"/>
      <c r="AG602" s="58"/>
      <c r="AH602" s="58"/>
      <c r="AI602" s="58"/>
      <c r="AJ602" s="58"/>
      <c r="AK602" s="58"/>
      <c r="AL602" s="58"/>
      <c r="AM602" s="58"/>
      <c r="AN602" s="58"/>
      <c r="AO602" s="58"/>
      <c r="AP602" s="58"/>
      <c r="AQ602" s="58"/>
      <c r="AR602" s="58"/>
    </row>
    <row r="603" spans="1:44" ht="15.75" customHeight="1" x14ac:dyDescent="0.25">
      <c r="A603" s="64"/>
      <c r="B603" s="62"/>
      <c r="C603" s="62"/>
      <c r="D603" s="62"/>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c r="AE603" s="58"/>
      <c r="AF603" s="58"/>
      <c r="AG603" s="58"/>
      <c r="AH603" s="58"/>
      <c r="AI603" s="58"/>
      <c r="AJ603" s="58"/>
      <c r="AK603" s="58"/>
      <c r="AL603" s="58"/>
      <c r="AM603" s="58"/>
      <c r="AN603" s="58"/>
      <c r="AO603" s="58"/>
      <c r="AP603" s="58"/>
      <c r="AQ603" s="58"/>
      <c r="AR603" s="58"/>
    </row>
    <row r="604" spans="1:44" ht="15.75" customHeight="1" x14ac:dyDescent="0.25">
      <c r="A604" s="64"/>
      <c r="B604" s="62"/>
      <c r="C604" s="62"/>
      <c r="D604" s="62"/>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c r="AE604" s="58"/>
      <c r="AF604" s="58"/>
      <c r="AG604" s="58"/>
      <c r="AH604" s="58"/>
      <c r="AI604" s="58"/>
      <c r="AJ604" s="58"/>
      <c r="AK604" s="58"/>
      <c r="AL604" s="58"/>
      <c r="AM604" s="58"/>
      <c r="AN604" s="58"/>
      <c r="AO604" s="58"/>
      <c r="AP604" s="58"/>
      <c r="AQ604" s="58"/>
      <c r="AR604" s="58"/>
    </row>
    <row r="605" spans="1:44" ht="15.75" customHeight="1" x14ac:dyDescent="0.25">
      <c r="A605" s="64"/>
      <c r="B605" s="62"/>
      <c r="C605" s="62"/>
      <c r="D605" s="62"/>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c r="AE605" s="58"/>
      <c r="AF605" s="58"/>
      <c r="AG605" s="58"/>
      <c r="AH605" s="58"/>
      <c r="AI605" s="58"/>
      <c r="AJ605" s="58"/>
      <c r="AK605" s="58"/>
      <c r="AL605" s="58"/>
      <c r="AM605" s="58"/>
      <c r="AN605" s="58"/>
      <c r="AO605" s="58"/>
      <c r="AP605" s="58"/>
      <c r="AQ605" s="58"/>
      <c r="AR605" s="58"/>
    </row>
    <row r="606" spans="1:44" ht="15.75" customHeight="1" x14ac:dyDescent="0.25">
      <c r="A606" s="64"/>
      <c r="B606" s="62"/>
      <c r="C606" s="62"/>
      <c r="D606" s="62"/>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c r="AE606" s="58"/>
      <c r="AF606" s="58"/>
      <c r="AG606" s="58"/>
      <c r="AH606" s="58"/>
      <c r="AI606" s="58"/>
      <c r="AJ606" s="58"/>
      <c r="AK606" s="58"/>
      <c r="AL606" s="58"/>
      <c r="AM606" s="58"/>
      <c r="AN606" s="58"/>
      <c r="AO606" s="58"/>
      <c r="AP606" s="58"/>
      <c r="AQ606" s="58"/>
      <c r="AR606" s="58"/>
    </row>
    <row r="607" spans="1:44" ht="15.75" customHeight="1" x14ac:dyDescent="0.25">
      <c r="A607" s="64"/>
      <c r="B607" s="62"/>
      <c r="C607" s="62"/>
      <c r="D607" s="62"/>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c r="AE607" s="58"/>
      <c r="AF607" s="58"/>
      <c r="AG607" s="58"/>
      <c r="AH607" s="58"/>
      <c r="AI607" s="58"/>
      <c r="AJ607" s="58"/>
      <c r="AK607" s="58"/>
      <c r="AL607" s="58"/>
      <c r="AM607" s="58"/>
      <c r="AN607" s="58"/>
      <c r="AO607" s="58"/>
      <c r="AP607" s="58"/>
      <c r="AQ607" s="58"/>
      <c r="AR607" s="58"/>
    </row>
    <row r="608" spans="1:44" ht="15.75" customHeight="1" x14ac:dyDescent="0.25">
      <c r="A608" s="64"/>
      <c r="B608" s="62"/>
      <c r="C608" s="62"/>
      <c r="D608" s="62"/>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c r="AE608" s="58"/>
      <c r="AF608" s="58"/>
      <c r="AG608" s="58"/>
      <c r="AH608" s="58"/>
      <c r="AI608" s="58"/>
      <c r="AJ608" s="58"/>
      <c r="AK608" s="58"/>
      <c r="AL608" s="58"/>
      <c r="AM608" s="58"/>
      <c r="AN608" s="58"/>
      <c r="AO608" s="58"/>
      <c r="AP608" s="58"/>
      <c r="AQ608" s="58"/>
      <c r="AR608" s="58"/>
    </row>
    <row r="609" spans="1:44" ht="15.75" customHeight="1" x14ac:dyDescent="0.25">
      <c r="A609" s="64"/>
      <c r="B609" s="62"/>
      <c r="C609" s="62"/>
      <c r="D609" s="62"/>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c r="AE609" s="58"/>
      <c r="AF609" s="58"/>
      <c r="AG609" s="58"/>
      <c r="AH609" s="58"/>
      <c r="AI609" s="58"/>
      <c r="AJ609" s="58"/>
      <c r="AK609" s="58"/>
      <c r="AL609" s="58"/>
      <c r="AM609" s="58"/>
      <c r="AN609" s="58"/>
      <c r="AO609" s="58"/>
      <c r="AP609" s="58"/>
      <c r="AQ609" s="58"/>
      <c r="AR609" s="58"/>
    </row>
    <row r="610" spans="1:44" ht="15.75" customHeight="1" x14ac:dyDescent="0.25">
      <c r="A610" s="64"/>
      <c r="B610" s="62"/>
      <c r="C610" s="62"/>
      <c r="D610" s="62"/>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c r="AE610" s="58"/>
      <c r="AF610" s="58"/>
      <c r="AG610" s="58"/>
      <c r="AH610" s="58"/>
      <c r="AI610" s="58"/>
      <c r="AJ610" s="58"/>
      <c r="AK610" s="58"/>
      <c r="AL610" s="58"/>
      <c r="AM610" s="58"/>
      <c r="AN610" s="58"/>
      <c r="AO610" s="58"/>
      <c r="AP610" s="58"/>
      <c r="AQ610" s="58"/>
      <c r="AR610" s="58"/>
    </row>
    <row r="611" spans="1:44" ht="15.75" customHeight="1" x14ac:dyDescent="0.25">
      <c r="A611" s="64"/>
      <c r="B611" s="62"/>
      <c r="C611" s="62"/>
      <c r="D611" s="62"/>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c r="AE611" s="58"/>
      <c r="AF611" s="58"/>
      <c r="AG611" s="58"/>
      <c r="AH611" s="58"/>
      <c r="AI611" s="58"/>
      <c r="AJ611" s="58"/>
      <c r="AK611" s="58"/>
      <c r="AL611" s="58"/>
      <c r="AM611" s="58"/>
      <c r="AN611" s="58"/>
      <c r="AO611" s="58"/>
      <c r="AP611" s="58"/>
      <c r="AQ611" s="58"/>
      <c r="AR611" s="58"/>
    </row>
    <row r="612" spans="1:44" ht="15.75" customHeight="1" x14ac:dyDescent="0.25">
      <c r="A612" s="64"/>
      <c r="B612" s="62"/>
      <c r="C612" s="62"/>
      <c r="D612" s="62"/>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c r="AE612" s="58"/>
      <c r="AF612" s="58"/>
      <c r="AG612" s="58"/>
      <c r="AH612" s="58"/>
      <c r="AI612" s="58"/>
      <c r="AJ612" s="58"/>
      <c r="AK612" s="58"/>
      <c r="AL612" s="58"/>
      <c r="AM612" s="58"/>
      <c r="AN612" s="58"/>
      <c r="AO612" s="58"/>
      <c r="AP612" s="58"/>
      <c r="AQ612" s="58"/>
      <c r="AR612" s="58"/>
    </row>
    <row r="613" spans="1:44" ht="15.75" customHeight="1" x14ac:dyDescent="0.25">
      <c r="A613" s="64"/>
      <c r="B613" s="62"/>
      <c r="C613" s="62"/>
      <c r="D613" s="62"/>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c r="AE613" s="58"/>
      <c r="AF613" s="58"/>
      <c r="AG613" s="58"/>
      <c r="AH613" s="58"/>
      <c r="AI613" s="58"/>
      <c r="AJ613" s="58"/>
      <c r="AK613" s="58"/>
      <c r="AL613" s="58"/>
      <c r="AM613" s="58"/>
      <c r="AN613" s="58"/>
      <c r="AO613" s="58"/>
      <c r="AP613" s="58"/>
      <c r="AQ613" s="58"/>
      <c r="AR613" s="58"/>
    </row>
    <row r="614" spans="1:44" ht="15.75" customHeight="1" x14ac:dyDescent="0.25">
      <c r="A614" s="64"/>
      <c r="B614" s="62"/>
      <c r="C614" s="62"/>
      <c r="D614" s="62"/>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c r="AE614" s="58"/>
      <c r="AF614" s="58"/>
      <c r="AG614" s="58"/>
      <c r="AH614" s="58"/>
      <c r="AI614" s="58"/>
      <c r="AJ614" s="58"/>
      <c r="AK614" s="58"/>
      <c r="AL614" s="58"/>
      <c r="AM614" s="58"/>
      <c r="AN614" s="58"/>
      <c r="AO614" s="58"/>
      <c r="AP614" s="58"/>
      <c r="AQ614" s="58"/>
      <c r="AR614" s="58"/>
    </row>
    <row r="615" spans="1:44" ht="15.75" customHeight="1" x14ac:dyDescent="0.25">
      <c r="A615" s="64"/>
      <c r="B615" s="62"/>
      <c r="C615" s="62"/>
      <c r="D615" s="62"/>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c r="AE615" s="58"/>
      <c r="AF615" s="58"/>
      <c r="AG615" s="58"/>
      <c r="AH615" s="58"/>
      <c r="AI615" s="58"/>
      <c r="AJ615" s="58"/>
      <c r="AK615" s="58"/>
      <c r="AL615" s="58"/>
      <c r="AM615" s="58"/>
      <c r="AN615" s="58"/>
      <c r="AO615" s="58"/>
      <c r="AP615" s="58"/>
      <c r="AQ615" s="58"/>
      <c r="AR615" s="58"/>
    </row>
    <row r="616" spans="1:44" ht="15.75" customHeight="1" x14ac:dyDescent="0.25">
      <c r="A616" s="64"/>
      <c r="B616" s="62"/>
      <c r="C616" s="62"/>
      <c r="D616" s="62"/>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c r="AE616" s="58"/>
      <c r="AF616" s="58"/>
      <c r="AG616" s="58"/>
      <c r="AH616" s="58"/>
      <c r="AI616" s="58"/>
      <c r="AJ616" s="58"/>
      <c r="AK616" s="58"/>
      <c r="AL616" s="58"/>
      <c r="AM616" s="58"/>
      <c r="AN616" s="58"/>
      <c r="AO616" s="58"/>
      <c r="AP616" s="58"/>
      <c r="AQ616" s="58"/>
      <c r="AR616" s="58"/>
    </row>
    <row r="617" spans="1:44" ht="15.75" customHeight="1" x14ac:dyDescent="0.25">
      <c r="A617" s="64"/>
      <c r="B617" s="62"/>
      <c r="C617" s="62"/>
      <c r="D617" s="62"/>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c r="AE617" s="58"/>
      <c r="AF617" s="58"/>
      <c r="AG617" s="58"/>
      <c r="AH617" s="58"/>
      <c r="AI617" s="58"/>
      <c r="AJ617" s="58"/>
      <c r="AK617" s="58"/>
      <c r="AL617" s="58"/>
      <c r="AM617" s="58"/>
      <c r="AN617" s="58"/>
      <c r="AO617" s="58"/>
      <c r="AP617" s="58"/>
      <c r="AQ617" s="58"/>
      <c r="AR617" s="58"/>
    </row>
    <row r="618" spans="1:44" ht="15.75" customHeight="1" x14ac:dyDescent="0.25">
      <c r="A618" s="64"/>
      <c r="B618" s="62"/>
      <c r="C618" s="62"/>
      <c r="D618" s="62"/>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c r="AG618" s="58"/>
      <c r="AH618" s="58"/>
      <c r="AI618" s="58"/>
      <c r="AJ618" s="58"/>
      <c r="AK618" s="58"/>
      <c r="AL618" s="58"/>
      <c r="AM618" s="58"/>
      <c r="AN618" s="58"/>
      <c r="AO618" s="58"/>
      <c r="AP618" s="58"/>
      <c r="AQ618" s="58"/>
      <c r="AR618" s="58"/>
    </row>
    <row r="619" spans="1:44" ht="15.75" customHeight="1" x14ac:dyDescent="0.25">
      <c r="A619" s="64"/>
      <c r="B619" s="62"/>
      <c r="C619" s="62"/>
      <c r="D619" s="62"/>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c r="AE619" s="58"/>
      <c r="AF619" s="58"/>
      <c r="AG619" s="58"/>
      <c r="AH619" s="58"/>
      <c r="AI619" s="58"/>
      <c r="AJ619" s="58"/>
      <c r="AK619" s="58"/>
      <c r="AL619" s="58"/>
      <c r="AM619" s="58"/>
      <c r="AN619" s="58"/>
      <c r="AO619" s="58"/>
      <c r="AP619" s="58"/>
      <c r="AQ619" s="58"/>
      <c r="AR619" s="58"/>
    </row>
    <row r="620" spans="1:44" ht="15.75" customHeight="1" x14ac:dyDescent="0.25">
      <c r="A620" s="64"/>
      <c r="B620" s="62"/>
      <c r="C620" s="62"/>
      <c r="D620" s="62"/>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c r="AE620" s="58"/>
      <c r="AF620" s="58"/>
      <c r="AG620" s="58"/>
      <c r="AH620" s="58"/>
      <c r="AI620" s="58"/>
      <c r="AJ620" s="58"/>
      <c r="AK620" s="58"/>
      <c r="AL620" s="58"/>
      <c r="AM620" s="58"/>
      <c r="AN620" s="58"/>
      <c r="AO620" s="58"/>
      <c r="AP620" s="58"/>
      <c r="AQ620" s="58"/>
      <c r="AR620" s="58"/>
    </row>
    <row r="621" spans="1:44" ht="15.75" customHeight="1" x14ac:dyDescent="0.25">
      <c r="A621" s="64"/>
      <c r="B621" s="62"/>
      <c r="C621" s="62"/>
      <c r="D621" s="62"/>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c r="AE621" s="58"/>
      <c r="AF621" s="58"/>
      <c r="AG621" s="58"/>
      <c r="AH621" s="58"/>
      <c r="AI621" s="58"/>
      <c r="AJ621" s="58"/>
      <c r="AK621" s="58"/>
      <c r="AL621" s="58"/>
      <c r="AM621" s="58"/>
      <c r="AN621" s="58"/>
      <c r="AO621" s="58"/>
      <c r="AP621" s="58"/>
      <c r="AQ621" s="58"/>
      <c r="AR621" s="58"/>
    </row>
    <row r="622" spans="1:44" ht="15.75" customHeight="1" x14ac:dyDescent="0.25">
      <c r="A622" s="64"/>
      <c r="B622" s="62"/>
      <c r="C622" s="62"/>
      <c r="D622" s="62"/>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c r="AE622" s="58"/>
      <c r="AF622" s="58"/>
      <c r="AG622" s="58"/>
      <c r="AH622" s="58"/>
      <c r="AI622" s="58"/>
      <c r="AJ622" s="58"/>
      <c r="AK622" s="58"/>
      <c r="AL622" s="58"/>
      <c r="AM622" s="58"/>
      <c r="AN622" s="58"/>
      <c r="AO622" s="58"/>
      <c r="AP622" s="58"/>
      <c r="AQ622" s="58"/>
      <c r="AR622" s="58"/>
    </row>
    <row r="623" spans="1:44" ht="15.75" customHeight="1" x14ac:dyDescent="0.25">
      <c r="A623" s="64"/>
      <c r="B623" s="62"/>
      <c r="C623" s="62"/>
      <c r="D623" s="62"/>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c r="AE623" s="58"/>
      <c r="AF623" s="58"/>
      <c r="AG623" s="58"/>
      <c r="AH623" s="58"/>
      <c r="AI623" s="58"/>
      <c r="AJ623" s="58"/>
      <c r="AK623" s="58"/>
      <c r="AL623" s="58"/>
      <c r="AM623" s="58"/>
      <c r="AN623" s="58"/>
      <c r="AO623" s="58"/>
      <c r="AP623" s="58"/>
      <c r="AQ623" s="58"/>
      <c r="AR623" s="58"/>
    </row>
    <row r="624" spans="1:44" ht="15.75" customHeight="1" x14ac:dyDescent="0.25">
      <c r="A624" s="64"/>
      <c r="B624" s="62"/>
      <c r="C624" s="62"/>
      <c r="D624" s="62"/>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c r="AE624" s="58"/>
      <c r="AF624" s="58"/>
      <c r="AG624" s="58"/>
      <c r="AH624" s="58"/>
      <c r="AI624" s="58"/>
      <c r="AJ624" s="58"/>
      <c r="AK624" s="58"/>
      <c r="AL624" s="58"/>
      <c r="AM624" s="58"/>
      <c r="AN624" s="58"/>
      <c r="AO624" s="58"/>
      <c r="AP624" s="58"/>
      <c r="AQ624" s="58"/>
      <c r="AR624" s="58"/>
    </row>
    <row r="625" spans="1:44" ht="15.75" customHeight="1" x14ac:dyDescent="0.25">
      <c r="A625" s="64"/>
      <c r="B625" s="62"/>
      <c r="C625" s="62"/>
      <c r="D625" s="62"/>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c r="AE625" s="58"/>
      <c r="AF625" s="58"/>
      <c r="AG625" s="58"/>
      <c r="AH625" s="58"/>
      <c r="AI625" s="58"/>
      <c r="AJ625" s="58"/>
      <c r="AK625" s="58"/>
      <c r="AL625" s="58"/>
      <c r="AM625" s="58"/>
      <c r="AN625" s="58"/>
      <c r="AO625" s="58"/>
      <c r="AP625" s="58"/>
      <c r="AQ625" s="58"/>
      <c r="AR625" s="58"/>
    </row>
    <row r="626" spans="1:44" ht="15.75" customHeight="1" x14ac:dyDescent="0.25">
      <c r="A626" s="64"/>
      <c r="B626" s="62"/>
      <c r="C626" s="62"/>
      <c r="D626" s="62"/>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c r="AE626" s="58"/>
      <c r="AF626" s="58"/>
      <c r="AG626" s="58"/>
      <c r="AH626" s="58"/>
      <c r="AI626" s="58"/>
      <c r="AJ626" s="58"/>
      <c r="AK626" s="58"/>
      <c r="AL626" s="58"/>
      <c r="AM626" s="58"/>
      <c r="AN626" s="58"/>
      <c r="AO626" s="58"/>
      <c r="AP626" s="58"/>
      <c r="AQ626" s="58"/>
      <c r="AR626" s="58"/>
    </row>
    <row r="627" spans="1:44" ht="15.75" customHeight="1" x14ac:dyDescent="0.25">
      <c r="A627" s="64"/>
      <c r="B627" s="62"/>
      <c r="C627" s="62"/>
      <c r="D627" s="62"/>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c r="AE627" s="58"/>
      <c r="AF627" s="58"/>
      <c r="AG627" s="58"/>
      <c r="AH627" s="58"/>
      <c r="AI627" s="58"/>
      <c r="AJ627" s="58"/>
      <c r="AK627" s="58"/>
      <c r="AL627" s="58"/>
      <c r="AM627" s="58"/>
      <c r="AN627" s="58"/>
      <c r="AO627" s="58"/>
      <c r="AP627" s="58"/>
      <c r="AQ627" s="58"/>
      <c r="AR627" s="58"/>
    </row>
    <row r="628" spans="1:44" ht="15.75" customHeight="1" x14ac:dyDescent="0.25">
      <c r="A628" s="64"/>
      <c r="B628" s="62"/>
      <c r="C628" s="62"/>
      <c r="D628" s="62"/>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c r="AE628" s="58"/>
      <c r="AF628" s="58"/>
      <c r="AG628" s="58"/>
      <c r="AH628" s="58"/>
      <c r="AI628" s="58"/>
      <c r="AJ628" s="58"/>
      <c r="AK628" s="58"/>
      <c r="AL628" s="58"/>
      <c r="AM628" s="58"/>
      <c r="AN628" s="58"/>
      <c r="AO628" s="58"/>
      <c r="AP628" s="58"/>
      <c r="AQ628" s="58"/>
      <c r="AR628" s="58"/>
    </row>
    <row r="629" spans="1:44" ht="15.75" customHeight="1" x14ac:dyDescent="0.25">
      <c r="A629" s="64"/>
      <c r="B629" s="62"/>
      <c r="C629" s="62"/>
      <c r="D629" s="62"/>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c r="AE629" s="58"/>
      <c r="AF629" s="58"/>
      <c r="AG629" s="58"/>
      <c r="AH629" s="58"/>
      <c r="AI629" s="58"/>
      <c r="AJ629" s="58"/>
      <c r="AK629" s="58"/>
      <c r="AL629" s="58"/>
      <c r="AM629" s="58"/>
      <c r="AN629" s="58"/>
      <c r="AO629" s="58"/>
      <c r="AP629" s="58"/>
      <c r="AQ629" s="58"/>
      <c r="AR629" s="58"/>
    </row>
    <row r="630" spans="1:44" ht="15.75" customHeight="1" x14ac:dyDescent="0.25">
      <c r="A630" s="64"/>
      <c r="B630" s="62"/>
      <c r="C630" s="62"/>
      <c r="D630" s="62"/>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c r="AE630" s="58"/>
      <c r="AF630" s="58"/>
      <c r="AG630" s="58"/>
      <c r="AH630" s="58"/>
      <c r="AI630" s="58"/>
      <c r="AJ630" s="58"/>
      <c r="AK630" s="58"/>
      <c r="AL630" s="58"/>
      <c r="AM630" s="58"/>
      <c r="AN630" s="58"/>
      <c r="AO630" s="58"/>
      <c r="AP630" s="58"/>
      <c r="AQ630" s="58"/>
      <c r="AR630" s="58"/>
    </row>
    <row r="631" spans="1:44" ht="15.75" customHeight="1" x14ac:dyDescent="0.25">
      <c r="A631" s="64"/>
      <c r="B631" s="62"/>
      <c r="C631" s="62"/>
      <c r="D631" s="62"/>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c r="AE631" s="58"/>
      <c r="AF631" s="58"/>
      <c r="AG631" s="58"/>
      <c r="AH631" s="58"/>
      <c r="AI631" s="58"/>
      <c r="AJ631" s="58"/>
      <c r="AK631" s="58"/>
      <c r="AL631" s="58"/>
      <c r="AM631" s="58"/>
      <c r="AN631" s="58"/>
      <c r="AO631" s="58"/>
      <c r="AP631" s="58"/>
      <c r="AQ631" s="58"/>
      <c r="AR631" s="58"/>
    </row>
    <row r="632" spans="1:44" ht="15.75" customHeight="1" x14ac:dyDescent="0.25">
      <c r="A632" s="64"/>
      <c r="B632" s="62"/>
      <c r="C632" s="62"/>
      <c r="D632" s="62"/>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c r="AE632" s="58"/>
      <c r="AF632" s="58"/>
      <c r="AG632" s="58"/>
      <c r="AH632" s="58"/>
      <c r="AI632" s="58"/>
      <c r="AJ632" s="58"/>
      <c r="AK632" s="58"/>
      <c r="AL632" s="58"/>
      <c r="AM632" s="58"/>
      <c r="AN632" s="58"/>
      <c r="AO632" s="58"/>
      <c r="AP632" s="58"/>
      <c r="AQ632" s="58"/>
      <c r="AR632" s="58"/>
    </row>
    <row r="633" spans="1:44" ht="15.75" customHeight="1" x14ac:dyDescent="0.25">
      <c r="A633" s="64"/>
      <c r="B633" s="62"/>
      <c r="C633" s="62"/>
      <c r="D633" s="62"/>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c r="AE633" s="58"/>
      <c r="AF633" s="58"/>
      <c r="AG633" s="58"/>
      <c r="AH633" s="58"/>
      <c r="AI633" s="58"/>
      <c r="AJ633" s="58"/>
      <c r="AK633" s="58"/>
      <c r="AL633" s="58"/>
      <c r="AM633" s="58"/>
      <c r="AN633" s="58"/>
      <c r="AO633" s="58"/>
      <c r="AP633" s="58"/>
      <c r="AQ633" s="58"/>
      <c r="AR633" s="58"/>
    </row>
    <row r="634" spans="1:44" ht="15.75" customHeight="1" x14ac:dyDescent="0.25">
      <c r="A634" s="64"/>
      <c r="B634" s="62"/>
      <c r="C634" s="62"/>
      <c r="D634" s="62"/>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c r="AE634" s="58"/>
      <c r="AF634" s="58"/>
      <c r="AG634" s="58"/>
      <c r="AH634" s="58"/>
      <c r="AI634" s="58"/>
      <c r="AJ634" s="58"/>
      <c r="AK634" s="58"/>
      <c r="AL634" s="58"/>
      <c r="AM634" s="58"/>
      <c r="AN634" s="58"/>
      <c r="AO634" s="58"/>
      <c r="AP634" s="58"/>
      <c r="AQ634" s="58"/>
      <c r="AR634" s="58"/>
    </row>
    <row r="635" spans="1:44" ht="15.75" customHeight="1" x14ac:dyDescent="0.25">
      <c r="A635" s="64"/>
      <c r="B635" s="62"/>
      <c r="C635" s="62"/>
      <c r="D635" s="62"/>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c r="AE635" s="58"/>
      <c r="AF635" s="58"/>
      <c r="AG635" s="58"/>
      <c r="AH635" s="58"/>
      <c r="AI635" s="58"/>
      <c r="AJ635" s="58"/>
      <c r="AK635" s="58"/>
      <c r="AL635" s="58"/>
      <c r="AM635" s="58"/>
      <c r="AN635" s="58"/>
      <c r="AO635" s="58"/>
      <c r="AP635" s="58"/>
      <c r="AQ635" s="58"/>
      <c r="AR635" s="58"/>
    </row>
    <row r="636" spans="1:44" ht="15.75" customHeight="1" x14ac:dyDescent="0.25">
      <c r="A636" s="64"/>
      <c r="B636" s="62"/>
      <c r="C636" s="62"/>
      <c r="D636" s="62"/>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c r="AE636" s="58"/>
      <c r="AF636" s="58"/>
      <c r="AG636" s="58"/>
      <c r="AH636" s="58"/>
      <c r="AI636" s="58"/>
      <c r="AJ636" s="58"/>
      <c r="AK636" s="58"/>
      <c r="AL636" s="58"/>
      <c r="AM636" s="58"/>
      <c r="AN636" s="58"/>
      <c r="AO636" s="58"/>
      <c r="AP636" s="58"/>
      <c r="AQ636" s="58"/>
      <c r="AR636" s="58"/>
    </row>
    <row r="637" spans="1:44" ht="15.75" customHeight="1" x14ac:dyDescent="0.25">
      <c r="A637" s="64"/>
      <c r="B637" s="62"/>
      <c r="C637" s="62"/>
      <c r="D637" s="62"/>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c r="AE637" s="58"/>
      <c r="AF637" s="58"/>
      <c r="AG637" s="58"/>
      <c r="AH637" s="58"/>
      <c r="AI637" s="58"/>
      <c r="AJ637" s="58"/>
      <c r="AK637" s="58"/>
      <c r="AL637" s="58"/>
      <c r="AM637" s="58"/>
      <c r="AN637" s="58"/>
      <c r="AO637" s="58"/>
      <c r="AP637" s="58"/>
      <c r="AQ637" s="58"/>
      <c r="AR637" s="58"/>
    </row>
    <row r="638" spans="1:44" ht="15.75" customHeight="1" x14ac:dyDescent="0.25">
      <c r="A638" s="64"/>
      <c r="B638" s="62"/>
      <c r="C638" s="62"/>
      <c r="D638" s="62"/>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8"/>
      <c r="AI638" s="58"/>
      <c r="AJ638" s="58"/>
      <c r="AK638" s="58"/>
      <c r="AL638" s="58"/>
      <c r="AM638" s="58"/>
      <c r="AN638" s="58"/>
      <c r="AO638" s="58"/>
      <c r="AP638" s="58"/>
      <c r="AQ638" s="58"/>
      <c r="AR638" s="58"/>
    </row>
    <row r="639" spans="1:44" ht="15.75" customHeight="1" x14ac:dyDescent="0.25">
      <c r="A639" s="64"/>
      <c r="B639" s="62"/>
      <c r="C639" s="62"/>
      <c r="D639" s="62"/>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c r="AE639" s="58"/>
      <c r="AF639" s="58"/>
      <c r="AG639" s="58"/>
      <c r="AH639" s="58"/>
      <c r="AI639" s="58"/>
      <c r="AJ639" s="58"/>
      <c r="AK639" s="58"/>
      <c r="AL639" s="58"/>
      <c r="AM639" s="58"/>
      <c r="AN639" s="58"/>
      <c r="AO639" s="58"/>
      <c r="AP639" s="58"/>
      <c r="AQ639" s="58"/>
      <c r="AR639" s="58"/>
    </row>
    <row r="640" spans="1:44" ht="15.75" customHeight="1" x14ac:dyDescent="0.25">
      <c r="A640" s="64"/>
      <c r="B640" s="62"/>
      <c r="C640" s="62"/>
      <c r="D640" s="62"/>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c r="AE640" s="58"/>
      <c r="AF640" s="58"/>
      <c r="AG640" s="58"/>
      <c r="AH640" s="58"/>
      <c r="AI640" s="58"/>
      <c r="AJ640" s="58"/>
      <c r="AK640" s="58"/>
      <c r="AL640" s="58"/>
      <c r="AM640" s="58"/>
      <c r="AN640" s="58"/>
      <c r="AO640" s="58"/>
      <c r="AP640" s="58"/>
      <c r="AQ640" s="58"/>
      <c r="AR640" s="58"/>
    </row>
    <row r="641" spans="1:44" ht="15.75" customHeight="1" x14ac:dyDescent="0.25">
      <c r="A641" s="64"/>
      <c r="B641" s="62"/>
      <c r="C641" s="62"/>
      <c r="D641" s="62"/>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c r="AE641" s="58"/>
      <c r="AF641" s="58"/>
      <c r="AG641" s="58"/>
      <c r="AH641" s="58"/>
      <c r="AI641" s="58"/>
      <c r="AJ641" s="58"/>
      <c r="AK641" s="58"/>
      <c r="AL641" s="58"/>
      <c r="AM641" s="58"/>
      <c r="AN641" s="58"/>
      <c r="AO641" s="58"/>
      <c r="AP641" s="58"/>
      <c r="AQ641" s="58"/>
      <c r="AR641" s="58"/>
    </row>
    <row r="642" spans="1:44" ht="15.75" customHeight="1" x14ac:dyDescent="0.25">
      <c r="A642" s="64"/>
      <c r="B642" s="62"/>
      <c r="C642" s="62"/>
      <c r="D642" s="62"/>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c r="AE642" s="58"/>
      <c r="AF642" s="58"/>
      <c r="AG642" s="58"/>
      <c r="AH642" s="58"/>
      <c r="AI642" s="58"/>
      <c r="AJ642" s="58"/>
      <c r="AK642" s="58"/>
      <c r="AL642" s="58"/>
      <c r="AM642" s="58"/>
      <c r="AN642" s="58"/>
      <c r="AO642" s="58"/>
      <c r="AP642" s="58"/>
      <c r="AQ642" s="58"/>
      <c r="AR642" s="58"/>
    </row>
    <row r="643" spans="1:44" ht="15.75" customHeight="1" x14ac:dyDescent="0.25">
      <c r="A643" s="64"/>
      <c r="B643" s="62"/>
      <c r="C643" s="62"/>
      <c r="D643" s="62"/>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c r="AE643" s="58"/>
      <c r="AF643" s="58"/>
      <c r="AG643" s="58"/>
      <c r="AH643" s="58"/>
      <c r="AI643" s="58"/>
      <c r="AJ643" s="58"/>
      <c r="AK643" s="58"/>
      <c r="AL643" s="58"/>
      <c r="AM643" s="58"/>
      <c r="AN643" s="58"/>
      <c r="AO643" s="58"/>
      <c r="AP643" s="58"/>
      <c r="AQ643" s="58"/>
      <c r="AR643" s="58"/>
    </row>
    <row r="644" spans="1:44" ht="15.75" customHeight="1" x14ac:dyDescent="0.25">
      <c r="A644" s="64"/>
      <c r="B644" s="62"/>
      <c r="C644" s="62"/>
      <c r="D644" s="62"/>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c r="AE644" s="58"/>
      <c r="AF644" s="58"/>
      <c r="AG644" s="58"/>
      <c r="AH644" s="58"/>
      <c r="AI644" s="58"/>
      <c r="AJ644" s="58"/>
      <c r="AK644" s="58"/>
      <c r="AL644" s="58"/>
      <c r="AM644" s="58"/>
      <c r="AN644" s="58"/>
      <c r="AO644" s="58"/>
      <c r="AP644" s="58"/>
      <c r="AQ644" s="58"/>
      <c r="AR644" s="58"/>
    </row>
    <row r="645" spans="1:44" ht="15.75" customHeight="1" x14ac:dyDescent="0.25">
      <c r="A645" s="64"/>
      <c r="B645" s="62"/>
      <c r="C645" s="62"/>
      <c r="D645" s="62"/>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c r="AE645" s="58"/>
      <c r="AF645" s="58"/>
      <c r="AG645" s="58"/>
      <c r="AH645" s="58"/>
      <c r="AI645" s="58"/>
      <c r="AJ645" s="58"/>
      <c r="AK645" s="58"/>
      <c r="AL645" s="58"/>
      <c r="AM645" s="58"/>
      <c r="AN645" s="58"/>
      <c r="AO645" s="58"/>
      <c r="AP645" s="58"/>
      <c r="AQ645" s="58"/>
      <c r="AR645" s="58"/>
    </row>
    <row r="646" spans="1:44" ht="15.75" customHeight="1" x14ac:dyDescent="0.25">
      <c r="A646" s="64"/>
      <c r="B646" s="62"/>
      <c r="C646" s="62"/>
      <c r="D646" s="62"/>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c r="AE646" s="58"/>
      <c r="AF646" s="58"/>
      <c r="AG646" s="58"/>
      <c r="AH646" s="58"/>
      <c r="AI646" s="58"/>
      <c r="AJ646" s="58"/>
      <c r="AK646" s="58"/>
      <c r="AL646" s="58"/>
      <c r="AM646" s="58"/>
      <c r="AN646" s="58"/>
      <c r="AO646" s="58"/>
      <c r="AP646" s="58"/>
      <c r="AQ646" s="58"/>
      <c r="AR646" s="58"/>
    </row>
    <row r="647" spans="1:44" ht="15.75" customHeight="1" x14ac:dyDescent="0.25">
      <c r="A647" s="64"/>
      <c r="B647" s="62"/>
      <c r="C647" s="62"/>
      <c r="D647" s="62"/>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c r="AE647" s="58"/>
      <c r="AF647" s="58"/>
      <c r="AG647" s="58"/>
      <c r="AH647" s="58"/>
      <c r="AI647" s="58"/>
      <c r="AJ647" s="58"/>
      <c r="AK647" s="58"/>
      <c r="AL647" s="58"/>
      <c r="AM647" s="58"/>
      <c r="AN647" s="58"/>
      <c r="AO647" s="58"/>
      <c r="AP647" s="58"/>
      <c r="AQ647" s="58"/>
      <c r="AR647" s="58"/>
    </row>
    <row r="648" spans="1:44" ht="15.75" customHeight="1" x14ac:dyDescent="0.25">
      <c r="A648" s="64"/>
      <c r="B648" s="62"/>
      <c r="C648" s="62"/>
      <c r="D648" s="62"/>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c r="AE648" s="58"/>
      <c r="AF648" s="58"/>
      <c r="AG648" s="58"/>
      <c r="AH648" s="58"/>
      <c r="AI648" s="58"/>
      <c r="AJ648" s="58"/>
      <c r="AK648" s="58"/>
      <c r="AL648" s="58"/>
      <c r="AM648" s="58"/>
      <c r="AN648" s="58"/>
      <c r="AO648" s="58"/>
      <c r="AP648" s="58"/>
      <c r="AQ648" s="58"/>
      <c r="AR648" s="58"/>
    </row>
    <row r="649" spans="1:44" ht="15.75" customHeight="1" x14ac:dyDescent="0.25">
      <c r="A649" s="64"/>
      <c r="B649" s="62"/>
      <c r="C649" s="62"/>
      <c r="D649" s="62"/>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c r="AE649" s="58"/>
      <c r="AF649" s="58"/>
      <c r="AG649" s="58"/>
      <c r="AH649" s="58"/>
      <c r="AI649" s="58"/>
      <c r="AJ649" s="58"/>
      <c r="AK649" s="58"/>
      <c r="AL649" s="58"/>
      <c r="AM649" s="58"/>
      <c r="AN649" s="58"/>
      <c r="AO649" s="58"/>
      <c r="AP649" s="58"/>
      <c r="AQ649" s="58"/>
      <c r="AR649" s="58"/>
    </row>
    <row r="650" spans="1:44" ht="15.75" customHeight="1" x14ac:dyDescent="0.25">
      <c r="A650" s="64"/>
      <c r="B650" s="62"/>
      <c r="C650" s="62"/>
      <c r="D650" s="62"/>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c r="AE650" s="58"/>
      <c r="AF650" s="58"/>
      <c r="AG650" s="58"/>
      <c r="AH650" s="58"/>
      <c r="AI650" s="58"/>
      <c r="AJ650" s="58"/>
      <c r="AK650" s="58"/>
      <c r="AL650" s="58"/>
      <c r="AM650" s="58"/>
      <c r="AN650" s="58"/>
      <c r="AO650" s="58"/>
      <c r="AP650" s="58"/>
      <c r="AQ650" s="58"/>
      <c r="AR650" s="58"/>
    </row>
    <row r="651" spans="1:44" ht="15.75" customHeight="1" x14ac:dyDescent="0.25">
      <c r="A651" s="64"/>
      <c r="B651" s="62"/>
      <c r="C651" s="62"/>
      <c r="D651" s="62"/>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c r="AE651" s="58"/>
      <c r="AF651" s="58"/>
      <c r="AG651" s="58"/>
      <c r="AH651" s="58"/>
      <c r="AI651" s="58"/>
      <c r="AJ651" s="58"/>
      <c r="AK651" s="58"/>
      <c r="AL651" s="58"/>
      <c r="AM651" s="58"/>
      <c r="AN651" s="58"/>
      <c r="AO651" s="58"/>
      <c r="AP651" s="58"/>
      <c r="AQ651" s="58"/>
      <c r="AR651" s="58"/>
    </row>
    <row r="652" spans="1:44" ht="15.75" customHeight="1" x14ac:dyDescent="0.25">
      <c r="A652" s="64"/>
      <c r="B652" s="62"/>
      <c r="C652" s="62"/>
      <c r="D652" s="62"/>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c r="AE652" s="58"/>
      <c r="AF652" s="58"/>
      <c r="AG652" s="58"/>
      <c r="AH652" s="58"/>
      <c r="AI652" s="58"/>
      <c r="AJ652" s="58"/>
      <c r="AK652" s="58"/>
      <c r="AL652" s="58"/>
      <c r="AM652" s="58"/>
      <c r="AN652" s="58"/>
      <c r="AO652" s="58"/>
      <c r="AP652" s="58"/>
      <c r="AQ652" s="58"/>
      <c r="AR652" s="58"/>
    </row>
    <row r="653" spans="1:44" ht="15.75" customHeight="1" x14ac:dyDescent="0.25">
      <c r="A653" s="64"/>
      <c r="B653" s="62"/>
      <c r="C653" s="62"/>
      <c r="D653" s="62"/>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c r="AE653" s="58"/>
      <c r="AF653" s="58"/>
      <c r="AG653" s="58"/>
      <c r="AH653" s="58"/>
      <c r="AI653" s="58"/>
      <c r="AJ653" s="58"/>
      <c r="AK653" s="58"/>
      <c r="AL653" s="58"/>
      <c r="AM653" s="58"/>
      <c r="AN653" s="58"/>
      <c r="AO653" s="58"/>
      <c r="AP653" s="58"/>
      <c r="AQ653" s="58"/>
      <c r="AR653" s="58"/>
    </row>
    <row r="654" spans="1:44" ht="15.75" customHeight="1" x14ac:dyDescent="0.25">
      <c r="A654" s="64"/>
      <c r="B654" s="62"/>
      <c r="C654" s="62"/>
      <c r="D654" s="62"/>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c r="AE654" s="58"/>
      <c r="AF654" s="58"/>
      <c r="AG654" s="58"/>
      <c r="AH654" s="58"/>
      <c r="AI654" s="58"/>
      <c r="AJ654" s="58"/>
      <c r="AK654" s="58"/>
      <c r="AL654" s="58"/>
      <c r="AM654" s="58"/>
      <c r="AN654" s="58"/>
      <c r="AO654" s="58"/>
      <c r="AP654" s="58"/>
      <c r="AQ654" s="58"/>
      <c r="AR654" s="58"/>
    </row>
    <row r="655" spans="1:44" ht="15.75" customHeight="1" x14ac:dyDescent="0.25">
      <c r="A655" s="64"/>
      <c r="B655" s="62"/>
      <c r="C655" s="62"/>
      <c r="D655" s="62"/>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c r="AE655" s="58"/>
      <c r="AF655" s="58"/>
      <c r="AG655" s="58"/>
      <c r="AH655" s="58"/>
      <c r="AI655" s="58"/>
      <c r="AJ655" s="58"/>
      <c r="AK655" s="58"/>
      <c r="AL655" s="58"/>
      <c r="AM655" s="58"/>
      <c r="AN655" s="58"/>
      <c r="AO655" s="58"/>
      <c r="AP655" s="58"/>
      <c r="AQ655" s="58"/>
      <c r="AR655" s="58"/>
    </row>
    <row r="656" spans="1:44" ht="15.75" customHeight="1" x14ac:dyDescent="0.25">
      <c r="A656" s="64"/>
      <c r="B656" s="62"/>
      <c r="C656" s="62"/>
      <c r="D656" s="62"/>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c r="AE656" s="58"/>
      <c r="AF656" s="58"/>
      <c r="AG656" s="58"/>
      <c r="AH656" s="58"/>
      <c r="AI656" s="58"/>
      <c r="AJ656" s="58"/>
      <c r="AK656" s="58"/>
      <c r="AL656" s="58"/>
      <c r="AM656" s="58"/>
      <c r="AN656" s="58"/>
      <c r="AO656" s="58"/>
      <c r="AP656" s="58"/>
      <c r="AQ656" s="58"/>
      <c r="AR656" s="58"/>
    </row>
    <row r="657" spans="1:44" ht="15.75" customHeight="1" x14ac:dyDescent="0.25">
      <c r="A657" s="64"/>
      <c r="B657" s="62"/>
      <c r="C657" s="62"/>
      <c r="D657" s="62"/>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c r="AE657" s="58"/>
      <c r="AF657" s="58"/>
      <c r="AG657" s="58"/>
      <c r="AH657" s="58"/>
      <c r="AI657" s="58"/>
      <c r="AJ657" s="58"/>
      <c r="AK657" s="58"/>
      <c r="AL657" s="58"/>
      <c r="AM657" s="58"/>
      <c r="AN657" s="58"/>
      <c r="AO657" s="58"/>
      <c r="AP657" s="58"/>
      <c r="AQ657" s="58"/>
      <c r="AR657" s="58"/>
    </row>
    <row r="658" spans="1:44" ht="15.75" customHeight="1" x14ac:dyDescent="0.25">
      <c r="A658" s="64"/>
      <c r="B658" s="62"/>
      <c r="C658" s="62"/>
      <c r="D658" s="62"/>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c r="AE658" s="58"/>
      <c r="AF658" s="58"/>
      <c r="AG658" s="58"/>
      <c r="AH658" s="58"/>
      <c r="AI658" s="58"/>
      <c r="AJ658" s="58"/>
      <c r="AK658" s="58"/>
      <c r="AL658" s="58"/>
      <c r="AM658" s="58"/>
      <c r="AN658" s="58"/>
      <c r="AO658" s="58"/>
      <c r="AP658" s="58"/>
      <c r="AQ658" s="58"/>
      <c r="AR658" s="58"/>
    </row>
    <row r="659" spans="1:44" ht="15.75" customHeight="1" x14ac:dyDescent="0.25">
      <c r="A659" s="64"/>
      <c r="B659" s="62"/>
      <c r="C659" s="62"/>
      <c r="D659" s="62"/>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c r="AE659" s="58"/>
      <c r="AF659" s="58"/>
      <c r="AG659" s="58"/>
      <c r="AH659" s="58"/>
      <c r="AI659" s="58"/>
      <c r="AJ659" s="58"/>
      <c r="AK659" s="58"/>
      <c r="AL659" s="58"/>
      <c r="AM659" s="58"/>
      <c r="AN659" s="58"/>
      <c r="AO659" s="58"/>
      <c r="AP659" s="58"/>
      <c r="AQ659" s="58"/>
      <c r="AR659" s="58"/>
    </row>
    <row r="660" spans="1:44" ht="15.75" customHeight="1" x14ac:dyDescent="0.25">
      <c r="A660" s="64"/>
      <c r="B660" s="62"/>
      <c r="C660" s="62"/>
      <c r="D660" s="62"/>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c r="AE660" s="58"/>
      <c r="AF660" s="58"/>
      <c r="AG660" s="58"/>
      <c r="AH660" s="58"/>
      <c r="AI660" s="58"/>
      <c r="AJ660" s="58"/>
      <c r="AK660" s="58"/>
      <c r="AL660" s="58"/>
      <c r="AM660" s="58"/>
      <c r="AN660" s="58"/>
      <c r="AO660" s="58"/>
      <c r="AP660" s="58"/>
      <c r="AQ660" s="58"/>
      <c r="AR660" s="58"/>
    </row>
    <row r="661" spans="1:44" ht="15.75" customHeight="1" x14ac:dyDescent="0.25">
      <c r="A661" s="64"/>
      <c r="B661" s="62"/>
      <c r="C661" s="62"/>
      <c r="D661" s="62"/>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c r="AE661" s="58"/>
      <c r="AF661" s="58"/>
      <c r="AG661" s="58"/>
      <c r="AH661" s="58"/>
      <c r="AI661" s="58"/>
      <c r="AJ661" s="58"/>
      <c r="AK661" s="58"/>
      <c r="AL661" s="58"/>
      <c r="AM661" s="58"/>
      <c r="AN661" s="58"/>
      <c r="AO661" s="58"/>
      <c r="AP661" s="58"/>
      <c r="AQ661" s="58"/>
      <c r="AR661" s="58"/>
    </row>
    <row r="662" spans="1:44" ht="15.75" customHeight="1" x14ac:dyDescent="0.25">
      <c r="A662" s="64"/>
      <c r="B662" s="62"/>
      <c r="C662" s="62"/>
      <c r="D662" s="62"/>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c r="AE662" s="58"/>
      <c r="AF662" s="58"/>
      <c r="AG662" s="58"/>
      <c r="AH662" s="58"/>
      <c r="AI662" s="58"/>
      <c r="AJ662" s="58"/>
      <c r="AK662" s="58"/>
      <c r="AL662" s="58"/>
      <c r="AM662" s="58"/>
      <c r="AN662" s="58"/>
      <c r="AO662" s="58"/>
      <c r="AP662" s="58"/>
      <c r="AQ662" s="58"/>
      <c r="AR662" s="58"/>
    </row>
    <row r="663" spans="1:44" ht="15.75" customHeight="1" x14ac:dyDescent="0.25">
      <c r="A663" s="64"/>
      <c r="B663" s="62"/>
      <c r="C663" s="62"/>
      <c r="D663" s="62"/>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c r="AE663" s="58"/>
      <c r="AF663" s="58"/>
      <c r="AG663" s="58"/>
      <c r="AH663" s="58"/>
      <c r="AI663" s="58"/>
      <c r="AJ663" s="58"/>
      <c r="AK663" s="58"/>
      <c r="AL663" s="58"/>
      <c r="AM663" s="58"/>
      <c r="AN663" s="58"/>
      <c r="AO663" s="58"/>
      <c r="AP663" s="58"/>
      <c r="AQ663" s="58"/>
      <c r="AR663" s="58"/>
    </row>
    <row r="664" spans="1:44" ht="15.75" customHeight="1" x14ac:dyDescent="0.25">
      <c r="A664" s="64"/>
      <c r="B664" s="62"/>
      <c r="C664" s="62"/>
      <c r="D664" s="62"/>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c r="AE664" s="58"/>
      <c r="AF664" s="58"/>
      <c r="AG664" s="58"/>
      <c r="AH664" s="58"/>
      <c r="AI664" s="58"/>
      <c r="AJ664" s="58"/>
      <c r="AK664" s="58"/>
      <c r="AL664" s="58"/>
      <c r="AM664" s="58"/>
      <c r="AN664" s="58"/>
      <c r="AO664" s="58"/>
      <c r="AP664" s="58"/>
      <c r="AQ664" s="58"/>
      <c r="AR664" s="58"/>
    </row>
    <row r="665" spans="1:44" ht="15.75" customHeight="1" x14ac:dyDescent="0.25">
      <c r="A665" s="64"/>
      <c r="B665" s="62"/>
      <c r="C665" s="62"/>
      <c r="D665" s="62"/>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c r="AE665" s="58"/>
      <c r="AF665" s="58"/>
      <c r="AG665" s="58"/>
      <c r="AH665" s="58"/>
      <c r="AI665" s="58"/>
      <c r="AJ665" s="58"/>
      <c r="AK665" s="58"/>
      <c r="AL665" s="58"/>
      <c r="AM665" s="58"/>
      <c r="AN665" s="58"/>
      <c r="AO665" s="58"/>
      <c r="AP665" s="58"/>
      <c r="AQ665" s="58"/>
      <c r="AR665" s="58"/>
    </row>
    <row r="666" spans="1:44" ht="15.75" customHeight="1" x14ac:dyDescent="0.25">
      <c r="A666" s="64"/>
      <c r="B666" s="62"/>
      <c r="C666" s="62"/>
      <c r="D666" s="62"/>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c r="AE666" s="58"/>
      <c r="AF666" s="58"/>
      <c r="AG666" s="58"/>
      <c r="AH666" s="58"/>
      <c r="AI666" s="58"/>
      <c r="AJ666" s="58"/>
      <c r="AK666" s="58"/>
      <c r="AL666" s="58"/>
      <c r="AM666" s="58"/>
      <c r="AN666" s="58"/>
      <c r="AO666" s="58"/>
      <c r="AP666" s="58"/>
      <c r="AQ666" s="58"/>
      <c r="AR666" s="58"/>
    </row>
    <row r="667" spans="1:44" ht="15.75" customHeight="1" x14ac:dyDescent="0.25">
      <c r="A667" s="64"/>
      <c r="B667" s="62"/>
      <c r="C667" s="62"/>
      <c r="D667" s="62"/>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c r="AE667" s="58"/>
      <c r="AF667" s="58"/>
      <c r="AG667" s="58"/>
      <c r="AH667" s="58"/>
      <c r="AI667" s="58"/>
      <c r="AJ667" s="58"/>
      <c r="AK667" s="58"/>
      <c r="AL667" s="58"/>
      <c r="AM667" s="58"/>
      <c r="AN667" s="58"/>
      <c r="AO667" s="58"/>
      <c r="AP667" s="58"/>
      <c r="AQ667" s="58"/>
      <c r="AR667" s="58"/>
    </row>
    <row r="668" spans="1:44" ht="15.75" customHeight="1" x14ac:dyDescent="0.25">
      <c r="A668" s="64"/>
      <c r="B668" s="62"/>
      <c r="C668" s="62"/>
      <c r="D668" s="62"/>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c r="AE668" s="58"/>
      <c r="AF668" s="58"/>
      <c r="AG668" s="58"/>
      <c r="AH668" s="58"/>
      <c r="AI668" s="58"/>
      <c r="AJ668" s="58"/>
      <c r="AK668" s="58"/>
      <c r="AL668" s="58"/>
      <c r="AM668" s="58"/>
      <c r="AN668" s="58"/>
      <c r="AO668" s="58"/>
      <c r="AP668" s="58"/>
      <c r="AQ668" s="58"/>
      <c r="AR668" s="58"/>
    </row>
    <row r="669" spans="1:44" ht="15.75" customHeight="1" x14ac:dyDescent="0.25">
      <c r="A669" s="64"/>
      <c r="B669" s="62"/>
      <c r="C669" s="62"/>
      <c r="D669" s="62"/>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c r="AE669" s="58"/>
      <c r="AF669" s="58"/>
      <c r="AG669" s="58"/>
      <c r="AH669" s="58"/>
      <c r="AI669" s="58"/>
      <c r="AJ669" s="58"/>
      <c r="AK669" s="58"/>
      <c r="AL669" s="58"/>
      <c r="AM669" s="58"/>
      <c r="AN669" s="58"/>
      <c r="AO669" s="58"/>
      <c r="AP669" s="58"/>
      <c r="AQ669" s="58"/>
      <c r="AR669" s="58"/>
    </row>
    <row r="670" spans="1:44" ht="15.75" customHeight="1" x14ac:dyDescent="0.25">
      <c r="A670" s="64"/>
      <c r="B670" s="62"/>
      <c r="C670" s="62"/>
      <c r="D670" s="62"/>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c r="AE670" s="58"/>
      <c r="AF670" s="58"/>
      <c r="AG670" s="58"/>
      <c r="AH670" s="58"/>
      <c r="AI670" s="58"/>
      <c r="AJ670" s="58"/>
      <c r="AK670" s="58"/>
      <c r="AL670" s="58"/>
      <c r="AM670" s="58"/>
      <c r="AN670" s="58"/>
      <c r="AO670" s="58"/>
      <c r="AP670" s="58"/>
      <c r="AQ670" s="58"/>
      <c r="AR670" s="58"/>
    </row>
    <row r="671" spans="1:44" ht="15.75" customHeight="1" x14ac:dyDescent="0.25">
      <c r="A671" s="64"/>
      <c r="B671" s="62"/>
      <c r="C671" s="62"/>
      <c r="D671" s="62"/>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c r="AE671" s="58"/>
      <c r="AF671" s="58"/>
      <c r="AG671" s="58"/>
      <c r="AH671" s="58"/>
      <c r="AI671" s="58"/>
      <c r="AJ671" s="58"/>
      <c r="AK671" s="58"/>
      <c r="AL671" s="58"/>
      <c r="AM671" s="58"/>
      <c r="AN671" s="58"/>
      <c r="AO671" s="58"/>
      <c r="AP671" s="58"/>
      <c r="AQ671" s="58"/>
      <c r="AR671" s="58"/>
    </row>
    <row r="672" spans="1:44" ht="15.75" customHeight="1" x14ac:dyDescent="0.25">
      <c r="A672" s="64"/>
      <c r="B672" s="62"/>
      <c r="C672" s="62"/>
      <c r="D672" s="62"/>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c r="AE672" s="58"/>
      <c r="AF672" s="58"/>
      <c r="AG672" s="58"/>
      <c r="AH672" s="58"/>
      <c r="AI672" s="58"/>
      <c r="AJ672" s="58"/>
      <c r="AK672" s="58"/>
      <c r="AL672" s="58"/>
      <c r="AM672" s="58"/>
      <c r="AN672" s="58"/>
      <c r="AO672" s="58"/>
      <c r="AP672" s="58"/>
      <c r="AQ672" s="58"/>
      <c r="AR672" s="58"/>
    </row>
    <row r="673" spans="1:44" ht="15.75" customHeight="1" x14ac:dyDescent="0.25">
      <c r="A673" s="64"/>
      <c r="B673" s="62"/>
      <c r="C673" s="62"/>
      <c r="D673" s="62"/>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c r="AE673" s="58"/>
      <c r="AF673" s="58"/>
      <c r="AG673" s="58"/>
      <c r="AH673" s="58"/>
      <c r="AI673" s="58"/>
      <c r="AJ673" s="58"/>
      <c r="AK673" s="58"/>
      <c r="AL673" s="58"/>
      <c r="AM673" s="58"/>
      <c r="AN673" s="58"/>
      <c r="AO673" s="58"/>
      <c r="AP673" s="58"/>
      <c r="AQ673" s="58"/>
      <c r="AR673" s="58"/>
    </row>
    <row r="674" spans="1:44" ht="15.75" customHeight="1" x14ac:dyDescent="0.25">
      <c r="A674" s="64"/>
      <c r="B674" s="62"/>
      <c r="C674" s="62"/>
      <c r="D674" s="62"/>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c r="AE674" s="58"/>
      <c r="AF674" s="58"/>
      <c r="AG674" s="58"/>
      <c r="AH674" s="58"/>
      <c r="AI674" s="58"/>
      <c r="AJ674" s="58"/>
      <c r="AK674" s="58"/>
      <c r="AL674" s="58"/>
      <c r="AM674" s="58"/>
      <c r="AN674" s="58"/>
      <c r="AO674" s="58"/>
      <c r="AP674" s="58"/>
      <c r="AQ674" s="58"/>
      <c r="AR674" s="58"/>
    </row>
    <row r="675" spans="1:44" ht="15.75" customHeight="1" x14ac:dyDescent="0.25">
      <c r="A675" s="64"/>
      <c r="B675" s="62"/>
      <c r="C675" s="62"/>
      <c r="D675" s="62"/>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c r="AE675" s="58"/>
      <c r="AF675" s="58"/>
      <c r="AG675" s="58"/>
      <c r="AH675" s="58"/>
      <c r="AI675" s="58"/>
      <c r="AJ675" s="58"/>
      <c r="AK675" s="58"/>
      <c r="AL675" s="58"/>
      <c r="AM675" s="58"/>
      <c r="AN675" s="58"/>
      <c r="AO675" s="58"/>
      <c r="AP675" s="58"/>
      <c r="AQ675" s="58"/>
      <c r="AR675" s="58"/>
    </row>
    <row r="676" spans="1:44" ht="15.75" customHeight="1" x14ac:dyDescent="0.25">
      <c r="A676" s="64"/>
      <c r="B676" s="62"/>
      <c r="C676" s="62"/>
      <c r="D676" s="62"/>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c r="AE676" s="58"/>
      <c r="AF676" s="58"/>
      <c r="AG676" s="58"/>
      <c r="AH676" s="58"/>
      <c r="AI676" s="58"/>
      <c r="AJ676" s="58"/>
      <c r="AK676" s="58"/>
      <c r="AL676" s="58"/>
      <c r="AM676" s="58"/>
      <c r="AN676" s="58"/>
      <c r="AO676" s="58"/>
      <c r="AP676" s="58"/>
      <c r="AQ676" s="58"/>
      <c r="AR676" s="58"/>
    </row>
    <row r="677" spans="1:44" ht="15.75" customHeight="1" x14ac:dyDescent="0.25">
      <c r="A677" s="64"/>
      <c r="B677" s="62"/>
      <c r="C677" s="62"/>
      <c r="D677" s="62"/>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c r="AE677" s="58"/>
      <c r="AF677" s="58"/>
      <c r="AG677" s="58"/>
      <c r="AH677" s="58"/>
      <c r="AI677" s="58"/>
      <c r="AJ677" s="58"/>
      <c r="AK677" s="58"/>
      <c r="AL677" s="58"/>
      <c r="AM677" s="58"/>
      <c r="AN677" s="58"/>
      <c r="AO677" s="58"/>
      <c r="AP677" s="58"/>
      <c r="AQ677" s="58"/>
      <c r="AR677" s="58"/>
    </row>
    <row r="678" spans="1:44" ht="15.75" customHeight="1" x14ac:dyDescent="0.25">
      <c r="A678" s="64"/>
      <c r="B678" s="62"/>
      <c r="C678" s="62"/>
      <c r="D678" s="62"/>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c r="AE678" s="58"/>
      <c r="AF678" s="58"/>
      <c r="AG678" s="58"/>
      <c r="AH678" s="58"/>
      <c r="AI678" s="58"/>
      <c r="AJ678" s="58"/>
      <c r="AK678" s="58"/>
      <c r="AL678" s="58"/>
      <c r="AM678" s="58"/>
      <c r="AN678" s="58"/>
      <c r="AO678" s="58"/>
      <c r="AP678" s="58"/>
      <c r="AQ678" s="58"/>
      <c r="AR678" s="58"/>
    </row>
    <row r="679" spans="1:44" ht="15.75" customHeight="1" x14ac:dyDescent="0.25">
      <c r="A679" s="64"/>
      <c r="B679" s="62"/>
      <c r="C679" s="62"/>
      <c r="D679" s="62"/>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c r="AE679" s="58"/>
      <c r="AF679" s="58"/>
      <c r="AG679" s="58"/>
      <c r="AH679" s="58"/>
      <c r="AI679" s="58"/>
      <c r="AJ679" s="58"/>
      <c r="AK679" s="58"/>
      <c r="AL679" s="58"/>
      <c r="AM679" s="58"/>
      <c r="AN679" s="58"/>
      <c r="AO679" s="58"/>
      <c r="AP679" s="58"/>
      <c r="AQ679" s="58"/>
      <c r="AR679" s="58"/>
    </row>
    <row r="680" spans="1:44" ht="15.75" customHeight="1" x14ac:dyDescent="0.25">
      <c r="A680" s="64"/>
      <c r="B680" s="62"/>
      <c r="C680" s="62"/>
      <c r="D680" s="62"/>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c r="AE680" s="58"/>
      <c r="AF680" s="58"/>
      <c r="AG680" s="58"/>
      <c r="AH680" s="58"/>
      <c r="AI680" s="58"/>
      <c r="AJ680" s="58"/>
      <c r="AK680" s="58"/>
      <c r="AL680" s="58"/>
      <c r="AM680" s="58"/>
      <c r="AN680" s="58"/>
      <c r="AO680" s="58"/>
      <c r="AP680" s="58"/>
      <c r="AQ680" s="58"/>
      <c r="AR680" s="58"/>
    </row>
    <row r="681" spans="1:44" ht="15.75" customHeight="1" x14ac:dyDescent="0.25">
      <c r="A681" s="64"/>
      <c r="B681" s="62"/>
      <c r="C681" s="62"/>
      <c r="D681" s="62"/>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c r="AE681" s="58"/>
      <c r="AF681" s="58"/>
      <c r="AG681" s="58"/>
      <c r="AH681" s="58"/>
      <c r="AI681" s="58"/>
      <c r="AJ681" s="58"/>
      <c r="AK681" s="58"/>
      <c r="AL681" s="58"/>
      <c r="AM681" s="58"/>
      <c r="AN681" s="58"/>
      <c r="AO681" s="58"/>
      <c r="AP681" s="58"/>
      <c r="AQ681" s="58"/>
      <c r="AR681" s="58"/>
    </row>
    <row r="682" spans="1:44" ht="15.75" customHeight="1" x14ac:dyDescent="0.25">
      <c r="A682" s="64"/>
      <c r="B682" s="62"/>
      <c r="C682" s="62"/>
      <c r="D682" s="62"/>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c r="AE682" s="58"/>
      <c r="AF682" s="58"/>
      <c r="AG682" s="58"/>
      <c r="AH682" s="58"/>
      <c r="AI682" s="58"/>
      <c r="AJ682" s="58"/>
      <c r="AK682" s="58"/>
      <c r="AL682" s="58"/>
      <c r="AM682" s="58"/>
      <c r="AN682" s="58"/>
      <c r="AO682" s="58"/>
      <c r="AP682" s="58"/>
      <c r="AQ682" s="58"/>
      <c r="AR682" s="58"/>
    </row>
    <row r="683" spans="1:44" ht="15.75" customHeight="1" x14ac:dyDescent="0.25">
      <c r="A683" s="64"/>
      <c r="B683" s="62"/>
      <c r="C683" s="62"/>
      <c r="D683" s="62"/>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c r="AE683" s="58"/>
      <c r="AF683" s="58"/>
      <c r="AG683" s="58"/>
      <c r="AH683" s="58"/>
      <c r="AI683" s="58"/>
      <c r="AJ683" s="58"/>
      <c r="AK683" s="58"/>
      <c r="AL683" s="58"/>
      <c r="AM683" s="58"/>
      <c r="AN683" s="58"/>
      <c r="AO683" s="58"/>
      <c r="AP683" s="58"/>
      <c r="AQ683" s="58"/>
      <c r="AR683" s="58"/>
    </row>
    <row r="684" spans="1:44" ht="15.75" customHeight="1" x14ac:dyDescent="0.25">
      <c r="A684" s="64"/>
      <c r="B684" s="62"/>
      <c r="C684" s="62"/>
      <c r="D684" s="62"/>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c r="AE684" s="58"/>
      <c r="AF684" s="58"/>
      <c r="AG684" s="58"/>
      <c r="AH684" s="58"/>
      <c r="AI684" s="58"/>
      <c r="AJ684" s="58"/>
      <c r="AK684" s="58"/>
      <c r="AL684" s="58"/>
      <c r="AM684" s="58"/>
      <c r="AN684" s="58"/>
      <c r="AO684" s="58"/>
      <c r="AP684" s="58"/>
      <c r="AQ684" s="58"/>
      <c r="AR684" s="58"/>
    </row>
    <row r="685" spans="1:44" ht="15.75" customHeight="1" x14ac:dyDescent="0.25">
      <c r="A685" s="64"/>
      <c r="B685" s="62"/>
      <c r="C685" s="62"/>
      <c r="D685" s="62"/>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c r="AE685" s="58"/>
      <c r="AF685" s="58"/>
      <c r="AG685" s="58"/>
      <c r="AH685" s="58"/>
      <c r="AI685" s="58"/>
      <c r="AJ685" s="58"/>
      <c r="AK685" s="58"/>
      <c r="AL685" s="58"/>
      <c r="AM685" s="58"/>
      <c r="AN685" s="58"/>
      <c r="AO685" s="58"/>
      <c r="AP685" s="58"/>
      <c r="AQ685" s="58"/>
      <c r="AR685" s="58"/>
    </row>
    <row r="686" spans="1:44" ht="15.75" customHeight="1" x14ac:dyDescent="0.25">
      <c r="A686" s="64"/>
      <c r="B686" s="62"/>
      <c r="C686" s="62"/>
      <c r="D686" s="62"/>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c r="AE686" s="58"/>
      <c r="AF686" s="58"/>
      <c r="AG686" s="58"/>
      <c r="AH686" s="58"/>
      <c r="AI686" s="58"/>
      <c r="AJ686" s="58"/>
      <c r="AK686" s="58"/>
      <c r="AL686" s="58"/>
      <c r="AM686" s="58"/>
      <c r="AN686" s="58"/>
      <c r="AO686" s="58"/>
      <c r="AP686" s="58"/>
      <c r="AQ686" s="58"/>
      <c r="AR686" s="58"/>
    </row>
    <row r="687" spans="1:44" ht="15.75" customHeight="1" x14ac:dyDescent="0.25">
      <c r="A687" s="64"/>
      <c r="B687" s="62"/>
      <c r="C687" s="62"/>
      <c r="D687" s="62"/>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c r="AE687" s="58"/>
      <c r="AF687" s="58"/>
      <c r="AG687" s="58"/>
      <c r="AH687" s="58"/>
      <c r="AI687" s="58"/>
      <c r="AJ687" s="58"/>
      <c r="AK687" s="58"/>
      <c r="AL687" s="58"/>
      <c r="AM687" s="58"/>
      <c r="AN687" s="58"/>
      <c r="AO687" s="58"/>
      <c r="AP687" s="58"/>
      <c r="AQ687" s="58"/>
      <c r="AR687" s="58"/>
    </row>
    <row r="688" spans="1:44" ht="15.75" customHeight="1" x14ac:dyDescent="0.25">
      <c r="A688" s="64"/>
      <c r="B688" s="62"/>
      <c r="C688" s="62"/>
      <c r="D688" s="62"/>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c r="AE688" s="58"/>
      <c r="AF688" s="58"/>
      <c r="AG688" s="58"/>
      <c r="AH688" s="58"/>
      <c r="AI688" s="58"/>
      <c r="AJ688" s="58"/>
      <c r="AK688" s="58"/>
      <c r="AL688" s="58"/>
      <c r="AM688" s="58"/>
      <c r="AN688" s="58"/>
      <c r="AO688" s="58"/>
      <c r="AP688" s="58"/>
      <c r="AQ688" s="58"/>
      <c r="AR688" s="58"/>
    </row>
    <row r="689" spans="1:44" ht="15.75" customHeight="1" x14ac:dyDescent="0.25">
      <c r="A689" s="64"/>
      <c r="B689" s="62"/>
      <c r="C689" s="62"/>
      <c r="D689" s="62"/>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c r="AE689" s="58"/>
      <c r="AF689" s="58"/>
      <c r="AG689" s="58"/>
      <c r="AH689" s="58"/>
      <c r="AI689" s="58"/>
      <c r="AJ689" s="58"/>
      <c r="AK689" s="58"/>
      <c r="AL689" s="58"/>
      <c r="AM689" s="58"/>
      <c r="AN689" s="58"/>
      <c r="AO689" s="58"/>
      <c r="AP689" s="58"/>
      <c r="AQ689" s="58"/>
      <c r="AR689" s="58"/>
    </row>
    <row r="690" spans="1:44" ht="15.75" customHeight="1" x14ac:dyDescent="0.25">
      <c r="A690" s="64"/>
      <c r="B690" s="62"/>
      <c r="C690" s="62"/>
      <c r="D690" s="62"/>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c r="AE690" s="58"/>
      <c r="AF690" s="58"/>
      <c r="AG690" s="58"/>
      <c r="AH690" s="58"/>
      <c r="AI690" s="58"/>
      <c r="AJ690" s="58"/>
      <c r="AK690" s="58"/>
      <c r="AL690" s="58"/>
      <c r="AM690" s="58"/>
      <c r="AN690" s="58"/>
      <c r="AO690" s="58"/>
      <c r="AP690" s="58"/>
      <c r="AQ690" s="58"/>
      <c r="AR690" s="58"/>
    </row>
    <row r="691" spans="1:44" ht="15.75" customHeight="1" x14ac:dyDescent="0.25">
      <c r="A691" s="64"/>
      <c r="B691" s="62"/>
      <c r="C691" s="62"/>
      <c r="D691" s="62"/>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c r="AE691" s="58"/>
      <c r="AF691" s="58"/>
      <c r="AG691" s="58"/>
      <c r="AH691" s="58"/>
      <c r="AI691" s="58"/>
      <c r="AJ691" s="58"/>
      <c r="AK691" s="58"/>
      <c r="AL691" s="58"/>
      <c r="AM691" s="58"/>
      <c r="AN691" s="58"/>
      <c r="AO691" s="58"/>
      <c r="AP691" s="58"/>
      <c r="AQ691" s="58"/>
      <c r="AR691" s="58"/>
    </row>
    <row r="692" spans="1:44" ht="15.75" customHeight="1" x14ac:dyDescent="0.25">
      <c r="A692" s="64"/>
      <c r="B692" s="62"/>
      <c r="C692" s="62"/>
      <c r="D692" s="62"/>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c r="AE692" s="58"/>
      <c r="AF692" s="58"/>
      <c r="AG692" s="58"/>
      <c r="AH692" s="58"/>
      <c r="AI692" s="58"/>
      <c r="AJ692" s="58"/>
      <c r="AK692" s="58"/>
      <c r="AL692" s="58"/>
      <c r="AM692" s="58"/>
      <c r="AN692" s="58"/>
      <c r="AO692" s="58"/>
      <c r="AP692" s="58"/>
      <c r="AQ692" s="58"/>
      <c r="AR692" s="58"/>
    </row>
    <row r="693" spans="1:44" ht="15.75" customHeight="1" x14ac:dyDescent="0.25">
      <c r="A693" s="64"/>
      <c r="B693" s="62"/>
      <c r="C693" s="62"/>
      <c r="D693" s="62"/>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c r="AE693" s="58"/>
      <c r="AF693" s="58"/>
      <c r="AG693" s="58"/>
      <c r="AH693" s="58"/>
      <c r="AI693" s="58"/>
      <c r="AJ693" s="58"/>
      <c r="AK693" s="58"/>
      <c r="AL693" s="58"/>
      <c r="AM693" s="58"/>
      <c r="AN693" s="58"/>
      <c r="AO693" s="58"/>
      <c r="AP693" s="58"/>
      <c r="AQ693" s="58"/>
      <c r="AR693" s="58"/>
    </row>
    <row r="694" spans="1:44" ht="15.75" customHeight="1" x14ac:dyDescent="0.25">
      <c r="A694" s="64"/>
      <c r="B694" s="62"/>
      <c r="C694" s="62"/>
      <c r="D694" s="62"/>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c r="AE694" s="58"/>
      <c r="AF694" s="58"/>
      <c r="AG694" s="58"/>
      <c r="AH694" s="58"/>
      <c r="AI694" s="58"/>
      <c r="AJ694" s="58"/>
      <c r="AK694" s="58"/>
      <c r="AL694" s="58"/>
      <c r="AM694" s="58"/>
      <c r="AN694" s="58"/>
      <c r="AO694" s="58"/>
      <c r="AP694" s="58"/>
      <c r="AQ694" s="58"/>
      <c r="AR694" s="58"/>
    </row>
    <row r="695" spans="1:44" ht="15.75" customHeight="1" x14ac:dyDescent="0.25">
      <c r="A695" s="64"/>
      <c r="B695" s="62"/>
      <c r="C695" s="62"/>
      <c r="D695" s="62"/>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c r="AE695" s="58"/>
      <c r="AF695" s="58"/>
      <c r="AG695" s="58"/>
      <c r="AH695" s="58"/>
      <c r="AI695" s="58"/>
      <c r="AJ695" s="58"/>
      <c r="AK695" s="58"/>
      <c r="AL695" s="58"/>
      <c r="AM695" s="58"/>
      <c r="AN695" s="58"/>
      <c r="AO695" s="58"/>
      <c r="AP695" s="58"/>
      <c r="AQ695" s="58"/>
      <c r="AR695" s="58"/>
    </row>
    <row r="696" spans="1:44" ht="15.75" customHeight="1" x14ac:dyDescent="0.25">
      <c r="A696" s="64"/>
      <c r="B696" s="62"/>
      <c r="C696" s="62"/>
      <c r="D696" s="62"/>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c r="AE696" s="58"/>
      <c r="AF696" s="58"/>
      <c r="AG696" s="58"/>
      <c r="AH696" s="58"/>
      <c r="AI696" s="58"/>
      <c r="AJ696" s="58"/>
      <c r="AK696" s="58"/>
      <c r="AL696" s="58"/>
      <c r="AM696" s="58"/>
      <c r="AN696" s="58"/>
      <c r="AO696" s="58"/>
      <c r="AP696" s="58"/>
      <c r="AQ696" s="58"/>
      <c r="AR696" s="58"/>
    </row>
    <row r="697" spans="1:44" ht="15.75" customHeight="1" x14ac:dyDescent="0.25">
      <c r="A697" s="64"/>
      <c r="B697" s="62"/>
      <c r="C697" s="62"/>
      <c r="D697" s="62"/>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c r="AE697" s="58"/>
      <c r="AF697" s="58"/>
      <c r="AG697" s="58"/>
      <c r="AH697" s="58"/>
      <c r="AI697" s="58"/>
      <c r="AJ697" s="58"/>
      <c r="AK697" s="58"/>
      <c r="AL697" s="58"/>
      <c r="AM697" s="58"/>
      <c r="AN697" s="58"/>
      <c r="AO697" s="58"/>
      <c r="AP697" s="58"/>
      <c r="AQ697" s="58"/>
      <c r="AR697" s="58"/>
    </row>
    <row r="698" spans="1:44" ht="15.75" customHeight="1" x14ac:dyDescent="0.25">
      <c r="A698" s="64"/>
      <c r="B698" s="62"/>
      <c r="C698" s="62"/>
      <c r="D698" s="62"/>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c r="AE698" s="58"/>
      <c r="AF698" s="58"/>
      <c r="AG698" s="58"/>
      <c r="AH698" s="58"/>
      <c r="AI698" s="58"/>
      <c r="AJ698" s="58"/>
      <c r="AK698" s="58"/>
      <c r="AL698" s="58"/>
      <c r="AM698" s="58"/>
      <c r="AN698" s="58"/>
      <c r="AO698" s="58"/>
      <c r="AP698" s="58"/>
      <c r="AQ698" s="58"/>
      <c r="AR698" s="58"/>
    </row>
    <row r="699" spans="1:44" ht="15.75" customHeight="1" x14ac:dyDescent="0.25">
      <c r="A699" s="64"/>
      <c r="B699" s="62"/>
      <c r="C699" s="62"/>
      <c r="D699" s="62"/>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c r="AE699" s="58"/>
      <c r="AF699" s="58"/>
      <c r="AG699" s="58"/>
      <c r="AH699" s="58"/>
      <c r="AI699" s="58"/>
      <c r="AJ699" s="58"/>
      <c r="AK699" s="58"/>
      <c r="AL699" s="58"/>
      <c r="AM699" s="58"/>
      <c r="AN699" s="58"/>
      <c r="AO699" s="58"/>
      <c r="AP699" s="58"/>
      <c r="AQ699" s="58"/>
      <c r="AR699" s="58"/>
    </row>
    <row r="700" spans="1:44" ht="15.75" customHeight="1" x14ac:dyDescent="0.25">
      <c r="A700" s="64"/>
      <c r="B700" s="62"/>
      <c r="C700" s="62"/>
      <c r="D700" s="62"/>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c r="AE700" s="58"/>
      <c r="AF700" s="58"/>
      <c r="AG700" s="58"/>
      <c r="AH700" s="58"/>
      <c r="AI700" s="58"/>
      <c r="AJ700" s="58"/>
      <c r="AK700" s="58"/>
      <c r="AL700" s="58"/>
      <c r="AM700" s="58"/>
      <c r="AN700" s="58"/>
      <c r="AO700" s="58"/>
      <c r="AP700" s="58"/>
      <c r="AQ700" s="58"/>
      <c r="AR700" s="58"/>
    </row>
    <row r="701" spans="1:44" ht="15.75" customHeight="1" x14ac:dyDescent="0.25">
      <c r="A701" s="64"/>
      <c r="B701" s="62"/>
      <c r="C701" s="62"/>
      <c r="D701" s="62"/>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c r="AE701" s="58"/>
      <c r="AF701" s="58"/>
      <c r="AG701" s="58"/>
      <c r="AH701" s="58"/>
      <c r="AI701" s="58"/>
      <c r="AJ701" s="58"/>
      <c r="AK701" s="58"/>
      <c r="AL701" s="58"/>
      <c r="AM701" s="58"/>
      <c r="AN701" s="58"/>
      <c r="AO701" s="58"/>
      <c r="AP701" s="58"/>
      <c r="AQ701" s="58"/>
      <c r="AR701" s="58"/>
    </row>
    <row r="702" spans="1:44" ht="15.75" customHeight="1" x14ac:dyDescent="0.25">
      <c r="A702" s="64"/>
      <c r="B702" s="62"/>
      <c r="C702" s="62"/>
      <c r="D702" s="62"/>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c r="AE702" s="58"/>
      <c r="AF702" s="58"/>
      <c r="AG702" s="58"/>
      <c r="AH702" s="58"/>
      <c r="AI702" s="58"/>
      <c r="AJ702" s="58"/>
      <c r="AK702" s="58"/>
      <c r="AL702" s="58"/>
      <c r="AM702" s="58"/>
      <c r="AN702" s="58"/>
      <c r="AO702" s="58"/>
      <c r="AP702" s="58"/>
      <c r="AQ702" s="58"/>
      <c r="AR702" s="58"/>
    </row>
    <row r="703" spans="1:44" ht="15.75" customHeight="1" x14ac:dyDescent="0.25">
      <c r="A703" s="64"/>
      <c r="B703" s="62"/>
      <c r="C703" s="62"/>
      <c r="D703" s="62"/>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c r="AE703" s="58"/>
      <c r="AF703" s="58"/>
      <c r="AG703" s="58"/>
      <c r="AH703" s="58"/>
      <c r="AI703" s="58"/>
      <c r="AJ703" s="58"/>
      <c r="AK703" s="58"/>
      <c r="AL703" s="58"/>
      <c r="AM703" s="58"/>
      <c r="AN703" s="58"/>
      <c r="AO703" s="58"/>
      <c r="AP703" s="58"/>
      <c r="AQ703" s="58"/>
      <c r="AR703" s="58"/>
    </row>
    <row r="704" spans="1:44" ht="15.75" customHeight="1" x14ac:dyDescent="0.25">
      <c r="A704" s="64"/>
      <c r="B704" s="62"/>
      <c r="C704" s="62"/>
      <c r="D704" s="62"/>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c r="AE704" s="58"/>
      <c r="AF704" s="58"/>
      <c r="AG704" s="58"/>
      <c r="AH704" s="58"/>
      <c r="AI704" s="58"/>
      <c r="AJ704" s="58"/>
      <c r="AK704" s="58"/>
      <c r="AL704" s="58"/>
      <c r="AM704" s="58"/>
      <c r="AN704" s="58"/>
      <c r="AO704" s="58"/>
      <c r="AP704" s="58"/>
      <c r="AQ704" s="58"/>
      <c r="AR704" s="58"/>
    </row>
    <row r="705" spans="1:44" ht="15.75" customHeight="1" x14ac:dyDescent="0.25">
      <c r="A705" s="64"/>
      <c r="B705" s="62"/>
      <c r="C705" s="62"/>
      <c r="D705" s="62"/>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c r="AE705" s="58"/>
      <c r="AF705" s="58"/>
      <c r="AG705" s="58"/>
      <c r="AH705" s="58"/>
      <c r="AI705" s="58"/>
      <c r="AJ705" s="58"/>
      <c r="AK705" s="58"/>
      <c r="AL705" s="58"/>
      <c r="AM705" s="58"/>
      <c r="AN705" s="58"/>
      <c r="AO705" s="58"/>
      <c r="AP705" s="58"/>
      <c r="AQ705" s="58"/>
      <c r="AR705" s="58"/>
    </row>
    <row r="706" spans="1:44" ht="15.75" customHeight="1" x14ac:dyDescent="0.25">
      <c r="A706" s="64"/>
      <c r="B706" s="62"/>
      <c r="C706" s="62"/>
      <c r="D706" s="62"/>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c r="AE706" s="58"/>
      <c r="AF706" s="58"/>
      <c r="AG706" s="58"/>
      <c r="AH706" s="58"/>
      <c r="AI706" s="58"/>
      <c r="AJ706" s="58"/>
      <c r="AK706" s="58"/>
      <c r="AL706" s="58"/>
      <c r="AM706" s="58"/>
      <c r="AN706" s="58"/>
      <c r="AO706" s="58"/>
      <c r="AP706" s="58"/>
      <c r="AQ706" s="58"/>
      <c r="AR706" s="58"/>
    </row>
    <row r="707" spans="1:44" ht="15.75" customHeight="1" x14ac:dyDescent="0.25">
      <c r="A707" s="64"/>
      <c r="B707" s="62"/>
      <c r="C707" s="62"/>
      <c r="D707" s="62"/>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c r="AE707" s="58"/>
      <c r="AF707" s="58"/>
      <c r="AG707" s="58"/>
      <c r="AH707" s="58"/>
      <c r="AI707" s="58"/>
      <c r="AJ707" s="58"/>
      <c r="AK707" s="58"/>
      <c r="AL707" s="58"/>
      <c r="AM707" s="58"/>
      <c r="AN707" s="58"/>
      <c r="AO707" s="58"/>
      <c r="AP707" s="58"/>
      <c r="AQ707" s="58"/>
      <c r="AR707" s="58"/>
    </row>
    <row r="708" spans="1:44" ht="15.75" customHeight="1" x14ac:dyDescent="0.25">
      <c r="A708" s="64"/>
      <c r="B708" s="62"/>
      <c r="C708" s="62"/>
      <c r="D708" s="62"/>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c r="AE708" s="58"/>
      <c r="AF708" s="58"/>
      <c r="AG708" s="58"/>
      <c r="AH708" s="58"/>
      <c r="AI708" s="58"/>
      <c r="AJ708" s="58"/>
      <c r="AK708" s="58"/>
      <c r="AL708" s="58"/>
      <c r="AM708" s="58"/>
      <c r="AN708" s="58"/>
      <c r="AO708" s="58"/>
      <c r="AP708" s="58"/>
      <c r="AQ708" s="58"/>
      <c r="AR708" s="58"/>
    </row>
    <row r="709" spans="1:44" ht="15.75" customHeight="1" x14ac:dyDescent="0.25">
      <c r="A709" s="64"/>
      <c r="B709" s="62"/>
      <c r="C709" s="62"/>
      <c r="D709" s="62"/>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c r="AE709" s="58"/>
      <c r="AF709" s="58"/>
      <c r="AG709" s="58"/>
      <c r="AH709" s="58"/>
      <c r="AI709" s="58"/>
      <c r="AJ709" s="58"/>
      <c r="AK709" s="58"/>
      <c r="AL709" s="58"/>
      <c r="AM709" s="58"/>
      <c r="AN709" s="58"/>
      <c r="AO709" s="58"/>
      <c r="AP709" s="58"/>
      <c r="AQ709" s="58"/>
      <c r="AR709" s="58"/>
    </row>
    <row r="710" spans="1:44" ht="15.75" customHeight="1" x14ac:dyDescent="0.25">
      <c r="A710" s="64"/>
      <c r="B710" s="62"/>
      <c r="C710" s="62"/>
      <c r="D710" s="62"/>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c r="AE710" s="58"/>
      <c r="AF710" s="58"/>
      <c r="AG710" s="58"/>
      <c r="AH710" s="58"/>
      <c r="AI710" s="58"/>
      <c r="AJ710" s="58"/>
      <c r="AK710" s="58"/>
      <c r="AL710" s="58"/>
      <c r="AM710" s="58"/>
      <c r="AN710" s="58"/>
      <c r="AO710" s="58"/>
      <c r="AP710" s="58"/>
      <c r="AQ710" s="58"/>
      <c r="AR710" s="58"/>
    </row>
    <row r="711" spans="1:44" ht="15.75" customHeight="1" x14ac:dyDescent="0.25">
      <c r="A711" s="64"/>
      <c r="B711" s="62"/>
      <c r="C711" s="62"/>
      <c r="D711" s="62"/>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c r="AE711" s="58"/>
      <c r="AF711" s="58"/>
      <c r="AG711" s="58"/>
      <c r="AH711" s="58"/>
      <c r="AI711" s="58"/>
      <c r="AJ711" s="58"/>
      <c r="AK711" s="58"/>
      <c r="AL711" s="58"/>
      <c r="AM711" s="58"/>
      <c r="AN711" s="58"/>
      <c r="AO711" s="58"/>
      <c r="AP711" s="58"/>
      <c r="AQ711" s="58"/>
      <c r="AR711" s="58"/>
    </row>
    <row r="712" spans="1:44" ht="15.75" customHeight="1" x14ac:dyDescent="0.25">
      <c r="A712" s="64"/>
      <c r="B712" s="62"/>
      <c r="C712" s="62"/>
      <c r="D712" s="62"/>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c r="AE712" s="58"/>
      <c r="AF712" s="58"/>
      <c r="AG712" s="58"/>
      <c r="AH712" s="58"/>
      <c r="AI712" s="58"/>
      <c r="AJ712" s="58"/>
      <c r="AK712" s="58"/>
      <c r="AL712" s="58"/>
      <c r="AM712" s="58"/>
      <c r="AN712" s="58"/>
      <c r="AO712" s="58"/>
      <c r="AP712" s="58"/>
      <c r="AQ712" s="58"/>
      <c r="AR712" s="58"/>
    </row>
    <row r="713" spans="1:44" ht="15.75" customHeight="1" x14ac:dyDescent="0.25">
      <c r="A713" s="64"/>
      <c r="B713" s="62"/>
      <c r="C713" s="62"/>
      <c r="D713" s="62"/>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c r="AE713" s="58"/>
      <c r="AF713" s="58"/>
      <c r="AG713" s="58"/>
      <c r="AH713" s="58"/>
      <c r="AI713" s="58"/>
      <c r="AJ713" s="58"/>
      <c r="AK713" s="58"/>
      <c r="AL713" s="58"/>
      <c r="AM713" s="58"/>
      <c r="AN713" s="58"/>
      <c r="AO713" s="58"/>
      <c r="AP713" s="58"/>
      <c r="AQ713" s="58"/>
      <c r="AR713" s="58"/>
    </row>
    <row r="714" spans="1:44" ht="15.75" customHeight="1" x14ac:dyDescent="0.25">
      <c r="A714" s="64"/>
      <c r="B714" s="62"/>
      <c r="C714" s="62"/>
      <c r="D714" s="62"/>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c r="AE714" s="58"/>
      <c r="AF714" s="58"/>
      <c r="AG714" s="58"/>
      <c r="AH714" s="58"/>
      <c r="AI714" s="58"/>
      <c r="AJ714" s="58"/>
      <c r="AK714" s="58"/>
      <c r="AL714" s="58"/>
      <c r="AM714" s="58"/>
      <c r="AN714" s="58"/>
      <c r="AO714" s="58"/>
      <c r="AP714" s="58"/>
      <c r="AQ714" s="58"/>
      <c r="AR714" s="58"/>
    </row>
    <row r="715" spans="1:44" ht="15.75" customHeight="1" x14ac:dyDescent="0.25">
      <c r="A715" s="64"/>
      <c r="B715" s="62"/>
      <c r="C715" s="62"/>
      <c r="D715" s="62"/>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c r="AE715" s="58"/>
      <c r="AF715" s="58"/>
      <c r="AG715" s="58"/>
      <c r="AH715" s="58"/>
      <c r="AI715" s="58"/>
      <c r="AJ715" s="58"/>
      <c r="AK715" s="58"/>
      <c r="AL715" s="58"/>
      <c r="AM715" s="58"/>
      <c r="AN715" s="58"/>
      <c r="AO715" s="58"/>
      <c r="AP715" s="58"/>
      <c r="AQ715" s="58"/>
      <c r="AR715" s="58"/>
    </row>
    <row r="716" spans="1:44" ht="15.75" customHeight="1" x14ac:dyDescent="0.25">
      <c r="A716" s="64"/>
      <c r="B716" s="62"/>
      <c r="C716" s="62"/>
      <c r="D716" s="62"/>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c r="AE716" s="58"/>
      <c r="AF716" s="58"/>
      <c r="AG716" s="58"/>
      <c r="AH716" s="58"/>
      <c r="AI716" s="58"/>
      <c r="AJ716" s="58"/>
      <c r="AK716" s="58"/>
      <c r="AL716" s="58"/>
      <c r="AM716" s="58"/>
      <c r="AN716" s="58"/>
      <c r="AO716" s="58"/>
      <c r="AP716" s="58"/>
      <c r="AQ716" s="58"/>
      <c r="AR716" s="58"/>
    </row>
    <row r="717" spans="1:44" ht="15.75" customHeight="1" x14ac:dyDescent="0.25">
      <c r="A717" s="64"/>
      <c r="B717" s="62"/>
      <c r="C717" s="62"/>
      <c r="D717" s="62"/>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c r="AE717" s="58"/>
      <c r="AF717" s="58"/>
      <c r="AG717" s="58"/>
      <c r="AH717" s="58"/>
      <c r="AI717" s="58"/>
      <c r="AJ717" s="58"/>
      <c r="AK717" s="58"/>
      <c r="AL717" s="58"/>
      <c r="AM717" s="58"/>
      <c r="AN717" s="58"/>
      <c r="AO717" s="58"/>
      <c r="AP717" s="58"/>
      <c r="AQ717" s="58"/>
      <c r="AR717" s="58"/>
    </row>
    <row r="718" spans="1:44" ht="15.75" customHeight="1" x14ac:dyDescent="0.25">
      <c r="A718" s="64"/>
      <c r="B718" s="62"/>
      <c r="C718" s="62"/>
      <c r="D718" s="62"/>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c r="AE718" s="58"/>
      <c r="AF718" s="58"/>
      <c r="AG718" s="58"/>
      <c r="AH718" s="58"/>
      <c r="AI718" s="58"/>
      <c r="AJ718" s="58"/>
      <c r="AK718" s="58"/>
      <c r="AL718" s="58"/>
      <c r="AM718" s="58"/>
      <c r="AN718" s="58"/>
      <c r="AO718" s="58"/>
      <c r="AP718" s="58"/>
      <c r="AQ718" s="58"/>
      <c r="AR718" s="58"/>
    </row>
    <row r="719" spans="1:44" ht="15.75" customHeight="1" x14ac:dyDescent="0.25">
      <c r="A719" s="64"/>
      <c r="B719" s="62"/>
      <c r="C719" s="62"/>
      <c r="D719" s="62"/>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c r="AE719" s="58"/>
      <c r="AF719" s="58"/>
      <c r="AG719" s="58"/>
      <c r="AH719" s="58"/>
      <c r="AI719" s="58"/>
      <c r="AJ719" s="58"/>
      <c r="AK719" s="58"/>
      <c r="AL719" s="58"/>
      <c r="AM719" s="58"/>
      <c r="AN719" s="58"/>
      <c r="AO719" s="58"/>
      <c r="AP719" s="58"/>
      <c r="AQ719" s="58"/>
      <c r="AR719" s="58"/>
    </row>
    <row r="720" spans="1:44" ht="15.75" customHeight="1" x14ac:dyDescent="0.25">
      <c r="A720" s="64"/>
      <c r="B720" s="62"/>
      <c r="C720" s="62"/>
      <c r="D720" s="62"/>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c r="AE720" s="58"/>
      <c r="AF720" s="58"/>
      <c r="AG720" s="58"/>
      <c r="AH720" s="58"/>
      <c r="AI720" s="58"/>
      <c r="AJ720" s="58"/>
      <c r="AK720" s="58"/>
      <c r="AL720" s="58"/>
      <c r="AM720" s="58"/>
      <c r="AN720" s="58"/>
      <c r="AO720" s="58"/>
      <c r="AP720" s="58"/>
      <c r="AQ720" s="58"/>
      <c r="AR720" s="58"/>
    </row>
    <row r="721" spans="1:44" ht="15.75" customHeight="1" x14ac:dyDescent="0.25">
      <c r="A721" s="64"/>
      <c r="B721" s="62"/>
      <c r="C721" s="62"/>
      <c r="D721" s="62"/>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c r="AE721" s="58"/>
      <c r="AF721" s="58"/>
      <c r="AG721" s="58"/>
      <c r="AH721" s="58"/>
      <c r="AI721" s="58"/>
      <c r="AJ721" s="58"/>
      <c r="AK721" s="58"/>
      <c r="AL721" s="58"/>
      <c r="AM721" s="58"/>
      <c r="AN721" s="58"/>
      <c r="AO721" s="58"/>
      <c r="AP721" s="58"/>
      <c r="AQ721" s="58"/>
      <c r="AR721" s="58"/>
    </row>
    <row r="722" spans="1:44" ht="15.75" customHeight="1" x14ac:dyDescent="0.25">
      <c r="A722" s="64"/>
      <c r="B722" s="62"/>
      <c r="C722" s="62"/>
      <c r="D722" s="62"/>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c r="AE722" s="58"/>
      <c r="AF722" s="58"/>
      <c r="AG722" s="58"/>
      <c r="AH722" s="58"/>
      <c r="AI722" s="58"/>
      <c r="AJ722" s="58"/>
      <c r="AK722" s="58"/>
      <c r="AL722" s="58"/>
      <c r="AM722" s="58"/>
      <c r="AN722" s="58"/>
      <c r="AO722" s="58"/>
      <c r="AP722" s="58"/>
      <c r="AQ722" s="58"/>
      <c r="AR722" s="58"/>
    </row>
    <row r="723" spans="1:44" ht="15.75" customHeight="1" x14ac:dyDescent="0.25">
      <c r="A723" s="64"/>
      <c r="B723" s="62"/>
      <c r="C723" s="62"/>
      <c r="D723" s="62"/>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c r="AE723" s="58"/>
      <c r="AF723" s="58"/>
      <c r="AG723" s="58"/>
      <c r="AH723" s="58"/>
      <c r="AI723" s="58"/>
      <c r="AJ723" s="58"/>
      <c r="AK723" s="58"/>
      <c r="AL723" s="58"/>
      <c r="AM723" s="58"/>
      <c r="AN723" s="58"/>
      <c r="AO723" s="58"/>
      <c r="AP723" s="58"/>
      <c r="AQ723" s="58"/>
      <c r="AR723" s="58"/>
    </row>
    <row r="724" spans="1:44" ht="15.75" customHeight="1" x14ac:dyDescent="0.25">
      <c r="A724" s="64"/>
      <c r="B724" s="62"/>
      <c r="C724" s="62"/>
      <c r="D724" s="62"/>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c r="AE724" s="58"/>
      <c r="AF724" s="58"/>
      <c r="AG724" s="58"/>
      <c r="AH724" s="58"/>
      <c r="AI724" s="58"/>
      <c r="AJ724" s="58"/>
      <c r="AK724" s="58"/>
      <c r="AL724" s="58"/>
      <c r="AM724" s="58"/>
      <c r="AN724" s="58"/>
      <c r="AO724" s="58"/>
      <c r="AP724" s="58"/>
      <c r="AQ724" s="58"/>
      <c r="AR724" s="58"/>
    </row>
    <row r="725" spans="1:44" ht="15.75" customHeight="1" x14ac:dyDescent="0.25">
      <c r="A725" s="64"/>
      <c r="B725" s="62"/>
      <c r="C725" s="62"/>
      <c r="D725" s="62"/>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c r="AE725" s="58"/>
      <c r="AF725" s="58"/>
      <c r="AG725" s="58"/>
      <c r="AH725" s="58"/>
      <c r="AI725" s="58"/>
      <c r="AJ725" s="58"/>
      <c r="AK725" s="58"/>
      <c r="AL725" s="58"/>
      <c r="AM725" s="58"/>
      <c r="AN725" s="58"/>
      <c r="AO725" s="58"/>
      <c r="AP725" s="58"/>
      <c r="AQ725" s="58"/>
      <c r="AR725" s="58"/>
    </row>
    <row r="726" spans="1:44" ht="15.75" customHeight="1" x14ac:dyDescent="0.25">
      <c r="A726" s="64"/>
      <c r="B726" s="62"/>
      <c r="C726" s="62"/>
      <c r="D726" s="62"/>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c r="AE726" s="58"/>
      <c r="AF726" s="58"/>
      <c r="AG726" s="58"/>
      <c r="AH726" s="58"/>
      <c r="AI726" s="58"/>
      <c r="AJ726" s="58"/>
      <c r="AK726" s="58"/>
      <c r="AL726" s="58"/>
      <c r="AM726" s="58"/>
      <c r="AN726" s="58"/>
      <c r="AO726" s="58"/>
      <c r="AP726" s="58"/>
      <c r="AQ726" s="58"/>
      <c r="AR726" s="58"/>
    </row>
    <row r="727" spans="1:44" ht="15.75" customHeight="1" x14ac:dyDescent="0.25">
      <c r="A727" s="64"/>
      <c r="B727" s="62"/>
      <c r="C727" s="62"/>
      <c r="D727" s="62"/>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c r="AE727" s="58"/>
      <c r="AF727" s="58"/>
      <c r="AG727" s="58"/>
      <c r="AH727" s="58"/>
      <c r="AI727" s="58"/>
      <c r="AJ727" s="58"/>
      <c r="AK727" s="58"/>
      <c r="AL727" s="58"/>
      <c r="AM727" s="58"/>
      <c r="AN727" s="58"/>
      <c r="AO727" s="58"/>
      <c r="AP727" s="58"/>
      <c r="AQ727" s="58"/>
      <c r="AR727" s="58"/>
    </row>
    <row r="728" spans="1:44" ht="15.75" customHeight="1" x14ac:dyDescent="0.25">
      <c r="A728" s="64"/>
      <c r="B728" s="62"/>
      <c r="C728" s="62"/>
      <c r="D728" s="62"/>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c r="AE728" s="58"/>
      <c r="AF728" s="58"/>
      <c r="AG728" s="58"/>
      <c r="AH728" s="58"/>
      <c r="AI728" s="58"/>
      <c r="AJ728" s="58"/>
      <c r="AK728" s="58"/>
      <c r="AL728" s="58"/>
      <c r="AM728" s="58"/>
      <c r="AN728" s="58"/>
      <c r="AO728" s="58"/>
      <c r="AP728" s="58"/>
      <c r="AQ728" s="58"/>
      <c r="AR728" s="58"/>
    </row>
    <row r="729" spans="1:44" ht="15.75" customHeight="1" x14ac:dyDescent="0.25">
      <c r="A729" s="64"/>
      <c r="B729" s="62"/>
      <c r="C729" s="62"/>
      <c r="D729" s="62"/>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c r="AE729" s="58"/>
      <c r="AF729" s="58"/>
      <c r="AG729" s="58"/>
      <c r="AH729" s="58"/>
      <c r="AI729" s="58"/>
      <c r="AJ729" s="58"/>
      <c r="AK729" s="58"/>
      <c r="AL729" s="58"/>
      <c r="AM729" s="58"/>
      <c r="AN729" s="58"/>
      <c r="AO729" s="58"/>
      <c r="AP729" s="58"/>
      <c r="AQ729" s="58"/>
      <c r="AR729" s="58"/>
    </row>
    <row r="730" spans="1:44" ht="15.75" customHeight="1" x14ac:dyDescent="0.25">
      <c r="A730" s="64"/>
      <c r="B730" s="62"/>
      <c r="C730" s="62"/>
      <c r="D730" s="62"/>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c r="AE730" s="58"/>
      <c r="AF730" s="58"/>
      <c r="AG730" s="58"/>
      <c r="AH730" s="58"/>
      <c r="AI730" s="58"/>
      <c r="AJ730" s="58"/>
      <c r="AK730" s="58"/>
      <c r="AL730" s="58"/>
      <c r="AM730" s="58"/>
      <c r="AN730" s="58"/>
      <c r="AO730" s="58"/>
      <c r="AP730" s="58"/>
      <c r="AQ730" s="58"/>
      <c r="AR730" s="58"/>
    </row>
    <row r="731" spans="1:44" ht="15.75" customHeight="1" x14ac:dyDescent="0.25">
      <c r="A731" s="64"/>
      <c r="B731" s="62"/>
      <c r="C731" s="62"/>
      <c r="D731" s="62"/>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c r="AE731" s="58"/>
      <c r="AF731" s="58"/>
      <c r="AG731" s="58"/>
      <c r="AH731" s="58"/>
      <c r="AI731" s="58"/>
      <c r="AJ731" s="58"/>
      <c r="AK731" s="58"/>
      <c r="AL731" s="58"/>
      <c r="AM731" s="58"/>
      <c r="AN731" s="58"/>
      <c r="AO731" s="58"/>
      <c r="AP731" s="58"/>
      <c r="AQ731" s="58"/>
      <c r="AR731" s="58"/>
    </row>
    <row r="732" spans="1:44" ht="15.75" customHeight="1" x14ac:dyDescent="0.25">
      <c r="A732" s="64"/>
      <c r="B732" s="62"/>
      <c r="C732" s="62"/>
      <c r="D732" s="62"/>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c r="AE732" s="58"/>
      <c r="AF732" s="58"/>
      <c r="AG732" s="58"/>
      <c r="AH732" s="58"/>
      <c r="AI732" s="58"/>
      <c r="AJ732" s="58"/>
      <c r="AK732" s="58"/>
      <c r="AL732" s="58"/>
      <c r="AM732" s="58"/>
      <c r="AN732" s="58"/>
      <c r="AO732" s="58"/>
      <c r="AP732" s="58"/>
      <c r="AQ732" s="58"/>
      <c r="AR732" s="58"/>
    </row>
    <row r="733" spans="1:44" ht="15.75" customHeight="1" x14ac:dyDescent="0.25">
      <c r="A733" s="64"/>
      <c r="B733" s="62"/>
      <c r="C733" s="62"/>
      <c r="D733" s="62"/>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c r="AE733" s="58"/>
      <c r="AF733" s="58"/>
      <c r="AG733" s="58"/>
      <c r="AH733" s="58"/>
      <c r="AI733" s="58"/>
      <c r="AJ733" s="58"/>
      <c r="AK733" s="58"/>
      <c r="AL733" s="58"/>
      <c r="AM733" s="58"/>
      <c r="AN733" s="58"/>
      <c r="AO733" s="58"/>
      <c r="AP733" s="58"/>
      <c r="AQ733" s="58"/>
      <c r="AR733" s="58"/>
    </row>
    <row r="734" spans="1:44" ht="15.75" customHeight="1" x14ac:dyDescent="0.25">
      <c r="A734" s="64"/>
      <c r="B734" s="62"/>
      <c r="C734" s="62"/>
      <c r="D734" s="62"/>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c r="AE734" s="58"/>
      <c r="AF734" s="58"/>
      <c r="AG734" s="58"/>
      <c r="AH734" s="58"/>
      <c r="AI734" s="58"/>
      <c r="AJ734" s="58"/>
      <c r="AK734" s="58"/>
      <c r="AL734" s="58"/>
      <c r="AM734" s="58"/>
      <c r="AN734" s="58"/>
      <c r="AO734" s="58"/>
      <c r="AP734" s="58"/>
      <c r="AQ734" s="58"/>
      <c r="AR734" s="58"/>
    </row>
    <row r="735" spans="1:44" ht="15.75" customHeight="1" x14ac:dyDescent="0.25">
      <c r="A735" s="64"/>
      <c r="B735" s="62"/>
      <c r="C735" s="62"/>
      <c r="D735" s="62"/>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c r="AE735" s="58"/>
      <c r="AF735" s="58"/>
      <c r="AG735" s="58"/>
      <c r="AH735" s="58"/>
      <c r="AI735" s="58"/>
      <c r="AJ735" s="58"/>
      <c r="AK735" s="58"/>
      <c r="AL735" s="58"/>
      <c r="AM735" s="58"/>
      <c r="AN735" s="58"/>
      <c r="AO735" s="58"/>
      <c r="AP735" s="58"/>
      <c r="AQ735" s="58"/>
      <c r="AR735" s="58"/>
    </row>
    <row r="736" spans="1:44" ht="15.75" customHeight="1" x14ac:dyDescent="0.25">
      <c r="A736" s="64"/>
      <c r="B736" s="62"/>
      <c r="C736" s="62"/>
      <c r="D736" s="62"/>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c r="AE736" s="58"/>
      <c r="AF736" s="58"/>
      <c r="AG736" s="58"/>
      <c r="AH736" s="58"/>
      <c r="AI736" s="58"/>
      <c r="AJ736" s="58"/>
      <c r="AK736" s="58"/>
      <c r="AL736" s="58"/>
      <c r="AM736" s="58"/>
      <c r="AN736" s="58"/>
      <c r="AO736" s="58"/>
      <c r="AP736" s="58"/>
      <c r="AQ736" s="58"/>
      <c r="AR736" s="58"/>
    </row>
    <row r="737" spans="1:44" ht="15.75" customHeight="1" x14ac:dyDescent="0.25">
      <c r="A737" s="64"/>
      <c r="B737" s="62"/>
      <c r="C737" s="62"/>
      <c r="D737" s="62"/>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c r="AE737" s="58"/>
      <c r="AF737" s="58"/>
      <c r="AG737" s="58"/>
      <c r="AH737" s="58"/>
      <c r="AI737" s="58"/>
      <c r="AJ737" s="58"/>
      <c r="AK737" s="58"/>
      <c r="AL737" s="58"/>
      <c r="AM737" s="58"/>
      <c r="AN737" s="58"/>
      <c r="AO737" s="58"/>
      <c r="AP737" s="58"/>
      <c r="AQ737" s="58"/>
      <c r="AR737" s="58"/>
    </row>
    <row r="738" spans="1:44" ht="15.75" customHeight="1" x14ac:dyDescent="0.25">
      <c r="A738" s="64"/>
      <c r="B738" s="62"/>
      <c r="C738" s="62"/>
      <c r="D738" s="62"/>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c r="AE738" s="58"/>
      <c r="AF738" s="58"/>
      <c r="AG738" s="58"/>
      <c r="AH738" s="58"/>
      <c r="AI738" s="58"/>
      <c r="AJ738" s="58"/>
      <c r="AK738" s="58"/>
      <c r="AL738" s="58"/>
      <c r="AM738" s="58"/>
      <c r="AN738" s="58"/>
      <c r="AO738" s="58"/>
      <c r="AP738" s="58"/>
      <c r="AQ738" s="58"/>
      <c r="AR738" s="58"/>
    </row>
    <row r="739" spans="1:44" ht="15.75" customHeight="1" x14ac:dyDescent="0.25">
      <c r="A739" s="64"/>
      <c r="B739" s="62"/>
      <c r="C739" s="62"/>
      <c r="D739" s="62"/>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c r="AE739" s="58"/>
      <c r="AF739" s="58"/>
      <c r="AG739" s="58"/>
      <c r="AH739" s="58"/>
      <c r="AI739" s="58"/>
      <c r="AJ739" s="58"/>
      <c r="AK739" s="58"/>
      <c r="AL739" s="58"/>
      <c r="AM739" s="58"/>
      <c r="AN739" s="58"/>
      <c r="AO739" s="58"/>
      <c r="AP739" s="58"/>
      <c r="AQ739" s="58"/>
      <c r="AR739" s="58"/>
    </row>
    <row r="740" spans="1:44" ht="15.75" customHeight="1" x14ac:dyDescent="0.25">
      <c r="A740" s="64"/>
      <c r="B740" s="62"/>
      <c r="C740" s="62"/>
      <c r="D740" s="62"/>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c r="AE740" s="58"/>
      <c r="AF740" s="58"/>
      <c r="AG740" s="58"/>
      <c r="AH740" s="58"/>
      <c r="AI740" s="58"/>
      <c r="AJ740" s="58"/>
      <c r="AK740" s="58"/>
      <c r="AL740" s="58"/>
      <c r="AM740" s="58"/>
      <c r="AN740" s="58"/>
      <c r="AO740" s="58"/>
      <c r="AP740" s="58"/>
      <c r="AQ740" s="58"/>
      <c r="AR740" s="58"/>
    </row>
    <row r="741" spans="1:44" ht="15.75" customHeight="1" x14ac:dyDescent="0.25">
      <c r="A741" s="64"/>
      <c r="B741" s="62"/>
      <c r="C741" s="62"/>
      <c r="D741" s="62"/>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c r="AE741" s="58"/>
      <c r="AF741" s="58"/>
      <c r="AG741" s="58"/>
      <c r="AH741" s="58"/>
      <c r="AI741" s="58"/>
      <c r="AJ741" s="58"/>
      <c r="AK741" s="58"/>
      <c r="AL741" s="58"/>
      <c r="AM741" s="58"/>
      <c r="AN741" s="58"/>
      <c r="AO741" s="58"/>
      <c r="AP741" s="58"/>
      <c r="AQ741" s="58"/>
      <c r="AR741" s="58"/>
    </row>
    <row r="742" spans="1:44" ht="15.75" customHeight="1" x14ac:dyDescent="0.25">
      <c r="A742" s="64"/>
      <c r="B742" s="62"/>
      <c r="C742" s="62"/>
      <c r="D742" s="62"/>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c r="AE742" s="58"/>
      <c r="AF742" s="58"/>
      <c r="AG742" s="58"/>
      <c r="AH742" s="58"/>
      <c r="AI742" s="58"/>
      <c r="AJ742" s="58"/>
      <c r="AK742" s="58"/>
      <c r="AL742" s="58"/>
      <c r="AM742" s="58"/>
      <c r="AN742" s="58"/>
      <c r="AO742" s="58"/>
      <c r="AP742" s="58"/>
      <c r="AQ742" s="58"/>
      <c r="AR742" s="58"/>
    </row>
    <row r="743" spans="1:44" ht="15.75" customHeight="1" x14ac:dyDescent="0.25">
      <c r="A743" s="64"/>
      <c r="B743" s="62"/>
      <c r="C743" s="62"/>
      <c r="D743" s="62"/>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c r="AE743" s="58"/>
      <c r="AF743" s="58"/>
      <c r="AG743" s="58"/>
      <c r="AH743" s="58"/>
      <c r="AI743" s="58"/>
      <c r="AJ743" s="58"/>
      <c r="AK743" s="58"/>
      <c r="AL743" s="58"/>
      <c r="AM743" s="58"/>
      <c r="AN743" s="58"/>
      <c r="AO743" s="58"/>
      <c r="AP743" s="58"/>
      <c r="AQ743" s="58"/>
      <c r="AR743" s="58"/>
    </row>
    <row r="744" spans="1:44" ht="15.75" customHeight="1" x14ac:dyDescent="0.25">
      <c r="A744" s="64"/>
      <c r="B744" s="62"/>
      <c r="C744" s="62"/>
      <c r="D744" s="62"/>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c r="AE744" s="58"/>
      <c r="AF744" s="58"/>
      <c r="AG744" s="58"/>
      <c r="AH744" s="58"/>
      <c r="AI744" s="58"/>
      <c r="AJ744" s="58"/>
      <c r="AK744" s="58"/>
      <c r="AL744" s="58"/>
      <c r="AM744" s="58"/>
      <c r="AN744" s="58"/>
      <c r="AO744" s="58"/>
      <c r="AP744" s="58"/>
      <c r="AQ744" s="58"/>
      <c r="AR744" s="58"/>
    </row>
    <row r="745" spans="1:44" ht="15.75" customHeight="1" x14ac:dyDescent="0.25">
      <c r="A745" s="64"/>
      <c r="B745" s="62"/>
      <c r="C745" s="62"/>
      <c r="D745" s="62"/>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c r="AE745" s="58"/>
      <c r="AF745" s="58"/>
      <c r="AG745" s="58"/>
      <c r="AH745" s="58"/>
      <c r="AI745" s="58"/>
      <c r="AJ745" s="58"/>
      <c r="AK745" s="58"/>
      <c r="AL745" s="58"/>
      <c r="AM745" s="58"/>
      <c r="AN745" s="58"/>
      <c r="AO745" s="58"/>
      <c r="AP745" s="58"/>
      <c r="AQ745" s="58"/>
      <c r="AR745" s="58"/>
    </row>
    <row r="746" spans="1:44" ht="15.75" customHeight="1" x14ac:dyDescent="0.25">
      <c r="A746" s="64"/>
      <c r="B746" s="62"/>
      <c r="C746" s="62"/>
      <c r="D746" s="62"/>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c r="AE746" s="58"/>
      <c r="AF746" s="58"/>
      <c r="AG746" s="58"/>
      <c r="AH746" s="58"/>
      <c r="AI746" s="58"/>
      <c r="AJ746" s="58"/>
      <c r="AK746" s="58"/>
      <c r="AL746" s="58"/>
      <c r="AM746" s="58"/>
      <c r="AN746" s="58"/>
      <c r="AO746" s="58"/>
      <c r="AP746" s="58"/>
      <c r="AQ746" s="58"/>
      <c r="AR746" s="58"/>
    </row>
    <row r="747" spans="1:44" ht="15.75" customHeight="1" x14ac:dyDescent="0.25">
      <c r="A747" s="64"/>
      <c r="B747" s="62"/>
      <c r="C747" s="62"/>
      <c r="D747" s="62"/>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c r="AE747" s="58"/>
      <c r="AF747" s="58"/>
      <c r="AG747" s="58"/>
      <c r="AH747" s="58"/>
      <c r="AI747" s="58"/>
      <c r="AJ747" s="58"/>
      <c r="AK747" s="58"/>
      <c r="AL747" s="58"/>
      <c r="AM747" s="58"/>
      <c r="AN747" s="58"/>
      <c r="AO747" s="58"/>
      <c r="AP747" s="58"/>
      <c r="AQ747" s="58"/>
      <c r="AR747" s="58"/>
    </row>
    <row r="748" spans="1:44" ht="15.75" customHeight="1" x14ac:dyDescent="0.25">
      <c r="A748" s="64"/>
      <c r="B748" s="62"/>
      <c r="C748" s="62"/>
      <c r="D748" s="62"/>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c r="AE748" s="58"/>
      <c r="AF748" s="58"/>
      <c r="AG748" s="58"/>
      <c r="AH748" s="58"/>
      <c r="AI748" s="58"/>
      <c r="AJ748" s="58"/>
      <c r="AK748" s="58"/>
      <c r="AL748" s="58"/>
      <c r="AM748" s="58"/>
      <c r="AN748" s="58"/>
      <c r="AO748" s="58"/>
      <c r="AP748" s="58"/>
      <c r="AQ748" s="58"/>
      <c r="AR748" s="58"/>
    </row>
    <row r="749" spans="1:44" ht="15.75" customHeight="1" x14ac:dyDescent="0.25">
      <c r="A749" s="64"/>
      <c r="B749" s="62"/>
      <c r="C749" s="62"/>
      <c r="D749" s="62"/>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c r="AE749" s="58"/>
      <c r="AF749" s="58"/>
      <c r="AG749" s="58"/>
      <c r="AH749" s="58"/>
      <c r="AI749" s="58"/>
      <c r="AJ749" s="58"/>
      <c r="AK749" s="58"/>
      <c r="AL749" s="58"/>
      <c r="AM749" s="58"/>
      <c r="AN749" s="58"/>
      <c r="AO749" s="58"/>
      <c r="AP749" s="58"/>
      <c r="AQ749" s="58"/>
      <c r="AR749" s="58"/>
    </row>
    <row r="750" spans="1:44" ht="15.75" customHeight="1" x14ac:dyDescent="0.25">
      <c r="A750" s="64"/>
      <c r="B750" s="62"/>
      <c r="C750" s="62"/>
      <c r="D750" s="62"/>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c r="AE750" s="58"/>
      <c r="AF750" s="58"/>
      <c r="AG750" s="58"/>
      <c r="AH750" s="58"/>
      <c r="AI750" s="58"/>
      <c r="AJ750" s="58"/>
      <c r="AK750" s="58"/>
      <c r="AL750" s="58"/>
      <c r="AM750" s="58"/>
      <c r="AN750" s="58"/>
      <c r="AO750" s="58"/>
      <c r="AP750" s="58"/>
      <c r="AQ750" s="58"/>
      <c r="AR750" s="58"/>
    </row>
    <row r="751" spans="1:44" ht="15.75" customHeight="1" x14ac:dyDescent="0.25">
      <c r="A751" s="64"/>
      <c r="B751" s="62"/>
      <c r="C751" s="62"/>
      <c r="D751" s="62"/>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c r="AE751" s="58"/>
      <c r="AF751" s="58"/>
      <c r="AG751" s="58"/>
      <c r="AH751" s="58"/>
      <c r="AI751" s="58"/>
      <c r="AJ751" s="58"/>
      <c r="AK751" s="58"/>
      <c r="AL751" s="58"/>
      <c r="AM751" s="58"/>
      <c r="AN751" s="58"/>
      <c r="AO751" s="58"/>
      <c r="AP751" s="58"/>
      <c r="AQ751" s="58"/>
      <c r="AR751" s="58"/>
    </row>
    <row r="752" spans="1:44" ht="15.75" customHeight="1" x14ac:dyDescent="0.25">
      <c r="A752" s="64"/>
      <c r="B752" s="62"/>
      <c r="C752" s="62"/>
      <c r="D752" s="62"/>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c r="AE752" s="58"/>
      <c r="AF752" s="58"/>
      <c r="AG752" s="58"/>
      <c r="AH752" s="58"/>
      <c r="AI752" s="58"/>
      <c r="AJ752" s="58"/>
      <c r="AK752" s="58"/>
      <c r="AL752" s="58"/>
      <c r="AM752" s="58"/>
      <c r="AN752" s="58"/>
      <c r="AO752" s="58"/>
      <c r="AP752" s="58"/>
      <c r="AQ752" s="58"/>
      <c r="AR752" s="58"/>
    </row>
    <row r="753" spans="1:44" ht="15.75" customHeight="1" x14ac:dyDescent="0.25">
      <c r="A753" s="64"/>
      <c r="B753" s="62"/>
      <c r="C753" s="62"/>
      <c r="D753" s="62"/>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c r="AE753" s="58"/>
      <c r="AF753" s="58"/>
      <c r="AG753" s="58"/>
      <c r="AH753" s="58"/>
      <c r="AI753" s="58"/>
      <c r="AJ753" s="58"/>
      <c r="AK753" s="58"/>
      <c r="AL753" s="58"/>
      <c r="AM753" s="58"/>
      <c r="AN753" s="58"/>
      <c r="AO753" s="58"/>
      <c r="AP753" s="58"/>
      <c r="AQ753" s="58"/>
      <c r="AR753" s="58"/>
    </row>
    <row r="754" spans="1:44" ht="15.75" customHeight="1" x14ac:dyDescent="0.25">
      <c r="A754" s="64"/>
      <c r="B754" s="62"/>
      <c r="C754" s="62"/>
      <c r="D754" s="62"/>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c r="AE754" s="58"/>
      <c r="AF754" s="58"/>
      <c r="AG754" s="58"/>
      <c r="AH754" s="58"/>
      <c r="AI754" s="58"/>
      <c r="AJ754" s="58"/>
      <c r="AK754" s="58"/>
      <c r="AL754" s="58"/>
      <c r="AM754" s="58"/>
      <c r="AN754" s="58"/>
      <c r="AO754" s="58"/>
      <c r="AP754" s="58"/>
      <c r="AQ754" s="58"/>
      <c r="AR754" s="58"/>
    </row>
    <row r="755" spans="1:44" ht="15.75" customHeight="1" x14ac:dyDescent="0.25">
      <c r="A755" s="64"/>
      <c r="B755" s="62"/>
      <c r="C755" s="62"/>
      <c r="D755" s="62"/>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c r="AE755" s="58"/>
      <c r="AF755" s="58"/>
      <c r="AG755" s="58"/>
      <c r="AH755" s="58"/>
      <c r="AI755" s="58"/>
      <c r="AJ755" s="58"/>
      <c r="AK755" s="58"/>
      <c r="AL755" s="58"/>
      <c r="AM755" s="58"/>
      <c r="AN755" s="58"/>
      <c r="AO755" s="58"/>
      <c r="AP755" s="58"/>
      <c r="AQ755" s="58"/>
      <c r="AR755" s="58"/>
    </row>
    <row r="756" spans="1:44" ht="15.75" customHeight="1" x14ac:dyDescent="0.25">
      <c r="A756" s="64"/>
      <c r="B756" s="62"/>
      <c r="C756" s="62"/>
      <c r="D756" s="62"/>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c r="AE756" s="58"/>
      <c r="AF756" s="58"/>
      <c r="AG756" s="58"/>
      <c r="AH756" s="58"/>
      <c r="AI756" s="58"/>
      <c r="AJ756" s="58"/>
      <c r="AK756" s="58"/>
      <c r="AL756" s="58"/>
      <c r="AM756" s="58"/>
      <c r="AN756" s="58"/>
      <c r="AO756" s="58"/>
      <c r="AP756" s="58"/>
      <c r="AQ756" s="58"/>
      <c r="AR756" s="58"/>
    </row>
    <row r="757" spans="1:44" ht="15.75" customHeight="1" x14ac:dyDescent="0.25">
      <c r="A757" s="64"/>
      <c r="B757" s="62"/>
      <c r="C757" s="62"/>
      <c r="D757" s="62"/>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c r="AG757" s="58"/>
      <c r="AH757" s="58"/>
      <c r="AI757" s="58"/>
      <c r="AJ757" s="58"/>
      <c r="AK757" s="58"/>
      <c r="AL757" s="58"/>
      <c r="AM757" s="58"/>
      <c r="AN757" s="58"/>
      <c r="AO757" s="58"/>
      <c r="AP757" s="58"/>
      <c r="AQ757" s="58"/>
      <c r="AR757" s="58"/>
    </row>
    <row r="758" spans="1:44" ht="15.75" customHeight="1" x14ac:dyDescent="0.25">
      <c r="A758" s="64"/>
      <c r="B758" s="62"/>
      <c r="C758" s="62"/>
      <c r="D758" s="62"/>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c r="AE758" s="58"/>
      <c r="AF758" s="58"/>
      <c r="AG758" s="58"/>
      <c r="AH758" s="58"/>
      <c r="AI758" s="58"/>
      <c r="AJ758" s="58"/>
      <c r="AK758" s="58"/>
      <c r="AL758" s="58"/>
      <c r="AM758" s="58"/>
      <c r="AN758" s="58"/>
      <c r="AO758" s="58"/>
      <c r="AP758" s="58"/>
      <c r="AQ758" s="58"/>
      <c r="AR758" s="58"/>
    </row>
    <row r="759" spans="1:44" ht="15.75" customHeight="1" x14ac:dyDescent="0.25">
      <c r="A759" s="64"/>
      <c r="B759" s="62"/>
      <c r="C759" s="62"/>
      <c r="D759" s="62"/>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c r="AE759" s="58"/>
      <c r="AF759" s="58"/>
      <c r="AG759" s="58"/>
      <c r="AH759" s="58"/>
      <c r="AI759" s="58"/>
      <c r="AJ759" s="58"/>
      <c r="AK759" s="58"/>
      <c r="AL759" s="58"/>
      <c r="AM759" s="58"/>
      <c r="AN759" s="58"/>
      <c r="AO759" s="58"/>
      <c r="AP759" s="58"/>
      <c r="AQ759" s="58"/>
      <c r="AR759" s="58"/>
    </row>
    <row r="760" spans="1:44" ht="15.75" customHeight="1" x14ac:dyDescent="0.25">
      <c r="A760" s="64"/>
      <c r="B760" s="62"/>
      <c r="C760" s="62"/>
      <c r="D760" s="62"/>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c r="AE760" s="58"/>
      <c r="AF760" s="58"/>
      <c r="AG760" s="58"/>
      <c r="AH760" s="58"/>
      <c r="AI760" s="58"/>
      <c r="AJ760" s="58"/>
      <c r="AK760" s="58"/>
      <c r="AL760" s="58"/>
      <c r="AM760" s="58"/>
      <c r="AN760" s="58"/>
      <c r="AO760" s="58"/>
      <c r="AP760" s="58"/>
      <c r="AQ760" s="58"/>
      <c r="AR760" s="58"/>
    </row>
    <row r="761" spans="1:44" ht="15.75" customHeight="1" x14ac:dyDescent="0.25">
      <c r="A761" s="64"/>
      <c r="B761" s="62"/>
      <c r="C761" s="62"/>
      <c r="D761" s="62"/>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c r="AE761" s="58"/>
      <c r="AF761" s="58"/>
      <c r="AG761" s="58"/>
      <c r="AH761" s="58"/>
      <c r="AI761" s="58"/>
      <c r="AJ761" s="58"/>
      <c r="AK761" s="58"/>
      <c r="AL761" s="58"/>
      <c r="AM761" s="58"/>
      <c r="AN761" s="58"/>
      <c r="AO761" s="58"/>
      <c r="AP761" s="58"/>
      <c r="AQ761" s="58"/>
      <c r="AR761" s="58"/>
    </row>
    <row r="762" spans="1:44" ht="15.75" customHeight="1" x14ac:dyDescent="0.25">
      <c r="A762" s="64"/>
      <c r="B762" s="62"/>
      <c r="C762" s="62"/>
      <c r="D762" s="62"/>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c r="AE762" s="58"/>
      <c r="AF762" s="58"/>
      <c r="AG762" s="58"/>
      <c r="AH762" s="58"/>
      <c r="AI762" s="58"/>
      <c r="AJ762" s="58"/>
      <c r="AK762" s="58"/>
      <c r="AL762" s="58"/>
      <c r="AM762" s="58"/>
      <c r="AN762" s="58"/>
      <c r="AO762" s="58"/>
      <c r="AP762" s="58"/>
      <c r="AQ762" s="58"/>
      <c r="AR762" s="58"/>
    </row>
    <row r="763" spans="1:44" ht="15.75" customHeight="1" x14ac:dyDescent="0.25">
      <c r="A763" s="64"/>
      <c r="B763" s="62"/>
      <c r="C763" s="62"/>
      <c r="D763" s="62"/>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c r="AE763" s="58"/>
      <c r="AF763" s="58"/>
      <c r="AG763" s="58"/>
      <c r="AH763" s="58"/>
      <c r="AI763" s="58"/>
      <c r="AJ763" s="58"/>
      <c r="AK763" s="58"/>
      <c r="AL763" s="58"/>
      <c r="AM763" s="58"/>
      <c r="AN763" s="58"/>
      <c r="AO763" s="58"/>
      <c r="AP763" s="58"/>
      <c r="AQ763" s="58"/>
      <c r="AR763" s="58"/>
    </row>
    <row r="764" spans="1:44" ht="15.75" customHeight="1" x14ac:dyDescent="0.25">
      <c r="A764" s="64"/>
      <c r="B764" s="62"/>
      <c r="C764" s="62"/>
      <c r="D764" s="62"/>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c r="AE764" s="58"/>
      <c r="AF764" s="58"/>
      <c r="AG764" s="58"/>
      <c r="AH764" s="58"/>
      <c r="AI764" s="58"/>
      <c r="AJ764" s="58"/>
      <c r="AK764" s="58"/>
      <c r="AL764" s="58"/>
      <c r="AM764" s="58"/>
      <c r="AN764" s="58"/>
      <c r="AO764" s="58"/>
      <c r="AP764" s="58"/>
      <c r="AQ764" s="58"/>
      <c r="AR764" s="58"/>
    </row>
    <row r="765" spans="1:44" ht="15.75" customHeight="1" x14ac:dyDescent="0.25">
      <c r="A765" s="64"/>
      <c r="B765" s="62"/>
      <c r="C765" s="62"/>
      <c r="D765" s="62"/>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c r="AE765" s="58"/>
      <c r="AF765" s="58"/>
      <c r="AG765" s="58"/>
      <c r="AH765" s="58"/>
      <c r="AI765" s="58"/>
      <c r="AJ765" s="58"/>
      <c r="AK765" s="58"/>
      <c r="AL765" s="58"/>
      <c r="AM765" s="58"/>
      <c r="AN765" s="58"/>
      <c r="AO765" s="58"/>
      <c r="AP765" s="58"/>
      <c r="AQ765" s="58"/>
      <c r="AR765" s="58"/>
    </row>
    <row r="766" spans="1:44" ht="15.75" customHeight="1" x14ac:dyDescent="0.25">
      <c r="A766" s="64"/>
      <c r="B766" s="62"/>
      <c r="C766" s="62"/>
      <c r="D766" s="62"/>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c r="AE766" s="58"/>
      <c r="AF766" s="58"/>
      <c r="AG766" s="58"/>
      <c r="AH766" s="58"/>
      <c r="AI766" s="58"/>
      <c r="AJ766" s="58"/>
      <c r="AK766" s="58"/>
      <c r="AL766" s="58"/>
      <c r="AM766" s="58"/>
      <c r="AN766" s="58"/>
      <c r="AO766" s="58"/>
      <c r="AP766" s="58"/>
      <c r="AQ766" s="58"/>
      <c r="AR766" s="58"/>
    </row>
    <row r="767" spans="1:44" ht="15.75" customHeight="1" x14ac:dyDescent="0.25">
      <c r="A767" s="64"/>
      <c r="B767" s="62"/>
      <c r="C767" s="62"/>
      <c r="D767" s="62"/>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c r="AE767" s="58"/>
      <c r="AF767" s="58"/>
      <c r="AG767" s="58"/>
      <c r="AH767" s="58"/>
      <c r="AI767" s="58"/>
      <c r="AJ767" s="58"/>
      <c r="AK767" s="58"/>
      <c r="AL767" s="58"/>
      <c r="AM767" s="58"/>
      <c r="AN767" s="58"/>
      <c r="AO767" s="58"/>
      <c r="AP767" s="58"/>
      <c r="AQ767" s="58"/>
      <c r="AR767" s="58"/>
    </row>
    <row r="768" spans="1:44" ht="15.75" customHeight="1" x14ac:dyDescent="0.25">
      <c r="A768" s="64"/>
      <c r="B768" s="62"/>
      <c r="C768" s="62"/>
      <c r="D768" s="62"/>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c r="AE768" s="58"/>
      <c r="AF768" s="58"/>
      <c r="AG768" s="58"/>
      <c r="AH768" s="58"/>
      <c r="AI768" s="58"/>
      <c r="AJ768" s="58"/>
      <c r="AK768" s="58"/>
      <c r="AL768" s="58"/>
      <c r="AM768" s="58"/>
      <c r="AN768" s="58"/>
      <c r="AO768" s="58"/>
      <c r="AP768" s="58"/>
      <c r="AQ768" s="58"/>
      <c r="AR768" s="58"/>
    </row>
    <row r="769" spans="1:44" ht="15.75" customHeight="1" x14ac:dyDescent="0.25">
      <c r="A769" s="64"/>
      <c r="B769" s="62"/>
      <c r="C769" s="62"/>
      <c r="D769" s="62"/>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c r="AE769" s="58"/>
      <c r="AF769" s="58"/>
      <c r="AG769" s="58"/>
      <c r="AH769" s="58"/>
      <c r="AI769" s="58"/>
      <c r="AJ769" s="58"/>
      <c r="AK769" s="58"/>
      <c r="AL769" s="58"/>
      <c r="AM769" s="58"/>
      <c r="AN769" s="58"/>
      <c r="AO769" s="58"/>
      <c r="AP769" s="58"/>
      <c r="AQ769" s="58"/>
      <c r="AR769" s="58"/>
    </row>
    <row r="770" spans="1:44" ht="15.75" customHeight="1" x14ac:dyDescent="0.25">
      <c r="A770" s="64"/>
      <c r="B770" s="62"/>
      <c r="C770" s="62"/>
      <c r="D770" s="62"/>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c r="AE770" s="58"/>
      <c r="AF770" s="58"/>
      <c r="AG770" s="58"/>
      <c r="AH770" s="58"/>
      <c r="AI770" s="58"/>
      <c r="AJ770" s="58"/>
      <c r="AK770" s="58"/>
      <c r="AL770" s="58"/>
      <c r="AM770" s="58"/>
      <c r="AN770" s="58"/>
      <c r="AO770" s="58"/>
      <c r="AP770" s="58"/>
      <c r="AQ770" s="58"/>
      <c r="AR770" s="58"/>
    </row>
    <row r="771" spans="1:44" ht="15.75" customHeight="1" x14ac:dyDescent="0.25">
      <c r="A771" s="64"/>
      <c r="B771" s="62"/>
      <c r="C771" s="62"/>
      <c r="D771" s="62"/>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c r="AE771" s="58"/>
      <c r="AF771" s="58"/>
      <c r="AG771" s="58"/>
      <c r="AH771" s="58"/>
      <c r="AI771" s="58"/>
      <c r="AJ771" s="58"/>
      <c r="AK771" s="58"/>
      <c r="AL771" s="58"/>
      <c r="AM771" s="58"/>
      <c r="AN771" s="58"/>
      <c r="AO771" s="58"/>
      <c r="AP771" s="58"/>
      <c r="AQ771" s="58"/>
      <c r="AR771" s="58"/>
    </row>
    <row r="772" spans="1:44" ht="15.75" customHeight="1" x14ac:dyDescent="0.25">
      <c r="A772" s="64"/>
      <c r="B772" s="62"/>
      <c r="C772" s="62"/>
      <c r="D772" s="62"/>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c r="AE772" s="58"/>
      <c r="AF772" s="58"/>
      <c r="AG772" s="58"/>
      <c r="AH772" s="58"/>
      <c r="AI772" s="58"/>
      <c r="AJ772" s="58"/>
      <c r="AK772" s="58"/>
      <c r="AL772" s="58"/>
      <c r="AM772" s="58"/>
      <c r="AN772" s="58"/>
      <c r="AO772" s="58"/>
      <c r="AP772" s="58"/>
      <c r="AQ772" s="58"/>
      <c r="AR772" s="58"/>
    </row>
    <row r="773" spans="1:44" ht="15.75" customHeight="1" x14ac:dyDescent="0.25">
      <c r="A773" s="64"/>
      <c r="B773" s="62"/>
      <c r="C773" s="62"/>
      <c r="D773" s="62"/>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c r="AE773" s="58"/>
      <c r="AF773" s="58"/>
      <c r="AG773" s="58"/>
      <c r="AH773" s="58"/>
      <c r="AI773" s="58"/>
      <c r="AJ773" s="58"/>
      <c r="AK773" s="58"/>
      <c r="AL773" s="58"/>
      <c r="AM773" s="58"/>
      <c r="AN773" s="58"/>
      <c r="AO773" s="58"/>
      <c r="AP773" s="58"/>
      <c r="AQ773" s="58"/>
      <c r="AR773" s="58"/>
    </row>
    <row r="774" spans="1:44" ht="15.75" customHeight="1" x14ac:dyDescent="0.25">
      <c r="A774" s="64"/>
      <c r="B774" s="62"/>
      <c r="C774" s="62"/>
      <c r="D774" s="62"/>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c r="AE774" s="58"/>
      <c r="AF774" s="58"/>
      <c r="AG774" s="58"/>
      <c r="AH774" s="58"/>
      <c r="AI774" s="58"/>
      <c r="AJ774" s="58"/>
      <c r="AK774" s="58"/>
      <c r="AL774" s="58"/>
      <c r="AM774" s="58"/>
      <c r="AN774" s="58"/>
      <c r="AO774" s="58"/>
      <c r="AP774" s="58"/>
      <c r="AQ774" s="58"/>
      <c r="AR774" s="58"/>
    </row>
    <row r="775" spans="1:44" ht="15.75" customHeight="1" x14ac:dyDescent="0.25">
      <c r="A775" s="64"/>
      <c r="B775" s="62"/>
      <c r="C775" s="62"/>
      <c r="D775" s="62"/>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c r="AE775" s="58"/>
      <c r="AF775" s="58"/>
      <c r="AG775" s="58"/>
      <c r="AH775" s="58"/>
      <c r="AI775" s="58"/>
      <c r="AJ775" s="58"/>
      <c r="AK775" s="58"/>
      <c r="AL775" s="58"/>
      <c r="AM775" s="58"/>
      <c r="AN775" s="58"/>
      <c r="AO775" s="58"/>
      <c r="AP775" s="58"/>
      <c r="AQ775" s="58"/>
      <c r="AR775" s="58"/>
    </row>
    <row r="776" spans="1:44" ht="15.75" customHeight="1" x14ac:dyDescent="0.25">
      <c r="A776" s="64"/>
      <c r="B776" s="62"/>
      <c r="C776" s="62"/>
      <c r="D776" s="62"/>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c r="AE776" s="58"/>
      <c r="AF776" s="58"/>
      <c r="AG776" s="58"/>
      <c r="AH776" s="58"/>
      <c r="AI776" s="58"/>
      <c r="AJ776" s="58"/>
      <c r="AK776" s="58"/>
      <c r="AL776" s="58"/>
      <c r="AM776" s="58"/>
      <c r="AN776" s="58"/>
      <c r="AO776" s="58"/>
      <c r="AP776" s="58"/>
      <c r="AQ776" s="58"/>
      <c r="AR776" s="58"/>
    </row>
    <row r="777" spans="1:44" ht="15.75" customHeight="1" x14ac:dyDescent="0.25">
      <c r="A777" s="64"/>
      <c r="B777" s="62"/>
      <c r="C777" s="62"/>
      <c r="D777" s="62"/>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c r="AE777" s="58"/>
      <c r="AF777" s="58"/>
      <c r="AG777" s="58"/>
      <c r="AH777" s="58"/>
      <c r="AI777" s="58"/>
      <c r="AJ777" s="58"/>
      <c r="AK777" s="58"/>
      <c r="AL777" s="58"/>
      <c r="AM777" s="58"/>
      <c r="AN777" s="58"/>
      <c r="AO777" s="58"/>
      <c r="AP777" s="58"/>
      <c r="AQ777" s="58"/>
      <c r="AR777" s="58"/>
    </row>
    <row r="778" spans="1:44" ht="15.75" customHeight="1" x14ac:dyDescent="0.25">
      <c r="A778" s="64"/>
      <c r="B778" s="62"/>
      <c r="C778" s="62"/>
      <c r="D778" s="62"/>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c r="AE778" s="58"/>
      <c r="AF778" s="58"/>
      <c r="AG778" s="58"/>
      <c r="AH778" s="58"/>
      <c r="AI778" s="58"/>
      <c r="AJ778" s="58"/>
      <c r="AK778" s="58"/>
      <c r="AL778" s="58"/>
      <c r="AM778" s="58"/>
      <c r="AN778" s="58"/>
      <c r="AO778" s="58"/>
      <c r="AP778" s="58"/>
      <c r="AQ778" s="58"/>
      <c r="AR778" s="58"/>
    </row>
    <row r="779" spans="1:44" ht="15.75" customHeight="1" x14ac:dyDescent="0.25">
      <c r="A779" s="64"/>
      <c r="B779" s="62"/>
      <c r="C779" s="62"/>
      <c r="D779" s="62"/>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c r="AE779" s="58"/>
      <c r="AF779" s="58"/>
      <c r="AG779" s="58"/>
      <c r="AH779" s="58"/>
      <c r="AI779" s="58"/>
      <c r="AJ779" s="58"/>
      <c r="AK779" s="58"/>
      <c r="AL779" s="58"/>
      <c r="AM779" s="58"/>
      <c r="AN779" s="58"/>
      <c r="AO779" s="58"/>
      <c r="AP779" s="58"/>
      <c r="AQ779" s="58"/>
      <c r="AR779" s="58"/>
    </row>
    <row r="780" spans="1:44" ht="15.75" customHeight="1" x14ac:dyDescent="0.25">
      <c r="A780" s="64"/>
      <c r="B780" s="62"/>
      <c r="C780" s="62"/>
      <c r="D780" s="62"/>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c r="AE780" s="58"/>
      <c r="AF780" s="58"/>
      <c r="AG780" s="58"/>
      <c r="AH780" s="58"/>
      <c r="AI780" s="58"/>
      <c r="AJ780" s="58"/>
      <c r="AK780" s="58"/>
      <c r="AL780" s="58"/>
      <c r="AM780" s="58"/>
      <c r="AN780" s="58"/>
      <c r="AO780" s="58"/>
      <c r="AP780" s="58"/>
      <c r="AQ780" s="58"/>
      <c r="AR780" s="58"/>
    </row>
    <row r="781" spans="1:44" ht="15.75" customHeight="1" x14ac:dyDescent="0.25">
      <c r="A781" s="64"/>
      <c r="B781" s="62"/>
      <c r="C781" s="62"/>
      <c r="D781" s="62"/>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c r="AE781" s="58"/>
      <c r="AF781" s="58"/>
      <c r="AG781" s="58"/>
      <c r="AH781" s="58"/>
      <c r="AI781" s="58"/>
      <c r="AJ781" s="58"/>
      <c r="AK781" s="58"/>
      <c r="AL781" s="58"/>
      <c r="AM781" s="58"/>
      <c r="AN781" s="58"/>
      <c r="AO781" s="58"/>
      <c r="AP781" s="58"/>
      <c r="AQ781" s="58"/>
      <c r="AR781" s="58"/>
    </row>
    <row r="782" spans="1:44" ht="15.75" customHeight="1" x14ac:dyDescent="0.25">
      <c r="A782" s="64"/>
      <c r="B782" s="62"/>
      <c r="C782" s="62"/>
      <c r="D782" s="62"/>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c r="AE782" s="58"/>
      <c r="AF782" s="58"/>
      <c r="AG782" s="58"/>
      <c r="AH782" s="58"/>
      <c r="AI782" s="58"/>
      <c r="AJ782" s="58"/>
      <c r="AK782" s="58"/>
      <c r="AL782" s="58"/>
      <c r="AM782" s="58"/>
      <c r="AN782" s="58"/>
      <c r="AO782" s="58"/>
      <c r="AP782" s="58"/>
      <c r="AQ782" s="58"/>
      <c r="AR782" s="58"/>
    </row>
    <row r="783" spans="1:44" ht="15.75" customHeight="1" x14ac:dyDescent="0.25">
      <c r="A783" s="64"/>
      <c r="B783" s="62"/>
      <c r="C783" s="62"/>
      <c r="D783" s="62"/>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c r="AE783" s="58"/>
      <c r="AF783" s="58"/>
      <c r="AG783" s="58"/>
      <c r="AH783" s="58"/>
      <c r="AI783" s="58"/>
      <c r="AJ783" s="58"/>
      <c r="AK783" s="58"/>
      <c r="AL783" s="58"/>
      <c r="AM783" s="58"/>
      <c r="AN783" s="58"/>
      <c r="AO783" s="58"/>
      <c r="AP783" s="58"/>
      <c r="AQ783" s="58"/>
      <c r="AR783" s="58"/>
    </row>
    <row r="784" spans="1:44" ht="15.75" customHeight="1" x14ac:dyDescent="0.25">
      <c r="A784" s="64"/>
      <c r="B784" s="62"/>
      <c r="C784" s="62"/>
      <c r="D784" s="62"/>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c r="AE784" s="58"/>
      <c r="AF784" s="58"/>
      <c r="AG784" s="58"/>
      <c r="AH784" s="58"/>
      <c r="AI784" s="58"/>
      <c r="AJ784" s="58"/>
      <c r="AK784" s="58"/>
      <c r="AL784" s="58"/>
      <c r="AM784" s="58"/>
      <c r="AN784" s="58"/>
      <c r="AO784" s="58"/>
      <c r="AP784" s="58"/>
      <c r="AQ784" s="58"/>
      <c r="AR784" s="58"/>
    </row>
    <row r="785" spans="1:44" ht="15.75" customHeight="1" x14ac:dyDescent="0.25">
      <c r="A785" s="64"/>
      <c r="B785" s="62"/>
      <c r="C785" s="62"/>
      <c r="D785" s="62"/>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c r="AE785" s="58"/>
      <c r="AF785" s="58"/>
      <c r="AG785" s="58"/>
      <c r="AH785" s="58"/>
      <c r="AI785" s="58"/>
      <c r="AJ785" s="58"/>
      <c r="AK785" s="58"/>
      <c r="AL785" s="58"/>
      <c r="AM785" s="58"/>
      <c r="AN785" s="58"/>
      <c r="AO785" s="58"/>
      <c r="AP785" s="58"/>
      <c r="AQ785" s="58"/>
      <c r="AR785" s="58"/>
    </row>
    <row r="786" spans="1:44" ht="15.75" customHeight="1" x14ac:dyDescent="0.25">
      <c r="A786" s="64"/>
      <c r="B786" s="62"/>
      <c r="C786" s="62"/>
      <c r="D786" s="62"/>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c r="AE786" s="58"/>
      <c r="AF786" s="58"/>
      <c r="AG786" s="58"/>
      <c r="AH786" s="58"/>
      <c r="AI786" s="58"/>
      <c r="AJ786" s="58"/>
      <c r="AK786" s="58"/>
      <c r="AL786" s="58"/>
      <c r="AM786" s="58"/>
      <c r="AN786" s="58"/>
      <c r="AO786" s="58"/>
      <c r="AP786" s="58"/>
      <c r="AQ786" s="58"/>
      <c r="AR786" s="58"/>
    </row>
    <row r="787" spans="1:44" ht="15.75" customHeight="1" x14ac:dyDescent="0.25">
      <c r="A787" s="64"/>
      <c r="B787" s="62"/>
      <c r="C787" s="62"/>
      <c r="D787" s="62"/>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c r="AE787" s="58"/>
      <c r="AF787" s="58"/>
      <c r="AG787" s="58"/>
      <c r="AH787" s="58"/>
      <c r="AI787" s="58"/>
      <c r="AJ787" s="58"/>
      <c r="AK787" s="58"/>
      <c r="AL787" s="58"/>
      <c r="AM787" s="58"/>
      <c r="AN787" s="58"/>
      <c r="AO787" s="58"/>
      <c r="AP787" s="58"/>
      <c r="AQ787" s="58"/>
      <c r="AR787" s="58"/>
    </row>
    <row r="788" spans="1:44" ht="15.75" customHeight="1" x14ac:dyDescent="0.25">
      <c r="A788" s="64"/>
      <c r="B788" s="62"/>
      <c r="C788" s="62"/>
      <c r="D788" s="62"/>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c r="AE788" s="58"/>
      <c r="AF788" s="58"/>
      <c r="AG788" s="58"/>
      <c r="AH788" s="58"/>
      <c r="AI788" s="58"/>
      <c r="AJ788" s="58"/>
      <c r="AK788" s="58"/>
      <c r="AL788" s="58"/>
      <c r="AM788" s="58"/>
      <c r="AN788" s="58"/>
      <c r="AO788" s="58"/>
      <c r="AP788" s="58"/>
      <c r="AQ788" s="58"/>
      <c r="AR788" s="58"/>
    </row>
    <row r="789" spans="1:44" ht="15.75" customHeight="1" x14ac:dyDescent="0.25">
      <c r="A789" s="64"/>
      <c r="B789" s="62"/>
      <c r="C789" s="62"/>
      <c r="D789" s="62"/>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c r="AE789" s="58"/>
      <c r="AF789" s="58"/>
      <c r="AG789" s="58"/>
      <c r="AH789" s="58"/>
      <c r="AI789" s="58"/>
      <c r="AJ789" s="58"/>
      <c r="AK789" s="58"/>
      <c r="AL789" s="58"/>
      <c r="AM789" s="58"/>
      <c r="AN789" s="58"/>
      <c r="AO789" s="58"/>
      <c r="AP789" s="58"/>
      <c r="AQ789" s="58"/>
      <c r="AR789" s="58"/>
    </row>
    <row r="790" spans="1:44" ht="15.75" customHeight="1" x14ac:dyDescent="0.25">
      <c r="A790" s="64"/>
      <c r="B790" s="62"/>
      <c r="C790" s="62"/>
      <c r="D790" s="62"/>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c r="AE790" s="58"/>
      <c r="AF790" s="58"/>
      <c r="AG790" s="58"/>
      <c r="AH790" s="58"/>
      <c r="AI790" s="58"/>
      <c r="AJ790" s="58"/>
      <c r="AK790" s="58"/>
      <c r="AL790" s="58"/>
      <c r="AM790" s="58"/>
      <c r="AN790" s="58"/>
      <c r="AO790" s="58"/>
      <c r="AP790" s="58"/>
      <c r="AQ790" s="58"/>
      <c r="AR790" s="58"/>
    </row>
    <row r="791" spans="1:44" ht="15.75" customHeight="1" x14ac:dyDescent="0.25">
      <c r="A791" s="64"/>
      <c r="B791" s="62"/>
      <c r="C791" s="62"/>
      <c r="D791" s="62"/>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c r="AE791" s="58"/>
      <c r="AF791" s="58"/>
      <c r="AG791" s="58"/>
      <c r="AH791" s="58"/>
      <c r="AI791" s="58"/>
      <c r="AJ791" s="58"/>
      <c r="AK791" s="58"/>
      <c r="AL791" s="58"/>
      <c r="AM791" s="58"/>
      <c r="AN791" s="58"/>
      <c r="AO791" s="58"/>
      <c r="AP791" s="58"/>
      <c r="AQ791" s="58"/>
      <c r="AR791" s="58"/>
    </row>
    <row r="792" spans="1:44" ht="15.75" customHeight="1" x14ac:dyDescent="0.25">
      <c r="A792" s="64"/>
      <c r="B792" s="62"/>
      <c r="C792" s="62"/>
      <c r="D792" s="62"/>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c r="AE792" s="58"/>
      <c r="AF792" s="58"/>
      <c r="AG792" s="58"/>
      <c r="AH792" s="58"/>
      <c r="AI792" s="58"/>
      <c r="AJ792" s="58"/>
      <c r="AK792" s="58"/>
      <c r="AL792" s="58"/>
      <c r="AM792" s="58"/>
      <c r="AN792" s="58"/>
      <c r="AO792" s="58"/>
      <c r="AP792" s="58"/>
      <c r="AQ792" s="58"/>
      <c r="AR792" s="58"/>
    </row>
    <row r="793" spans="1:44" ht="15.75" customHeight="1" x14ac:dyDescent="0.25">
      <c r="A793" s="64"/>
      <c r="B793" s="62"/>
      <c r="C793" s="62"/>
      <c r="D793" s="62"/>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c r="AE793" s="58"/>
      <c r="AF793" s="58"/>
      <c r="AG793" s="58"/>
      <c r="AH793" s="58"/>
      <c r="AI793" s="58"/>
      <c r="AJ793" s="58"/>
      <c r="AK793" s="58"/>
      <c r="AL793" s="58"/>
      <c r="AM793" s="58"/>
      <c r="AN793" s="58"/>
      <c r="AO793" s="58"/>
      <c r="AP793" s="58"/>
      <c r="AQ793" s="58"/>
      <c r="AR793" s="58"/>
    </row>
    <row r="794" spans="1:44" ht="15.75" customHeight="1" x14ac:dyDescent="0.25">
      <c r="A794" s="64"/>
      <c r="B794" s="62"/>
      <c r="C794" s="62"/>
      <c r="D794" s="62"/>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c r="AE794" s="58"/>
      <c r="AF794" s="58"/>
      <c r="AG794" s="58"/>
      <c r="AH794" s="58"/>
      <c r="AI794" s="58"/>
      <c r="AJ794" s="58"/>
      <c r="AK794" s="58"/>
      <c r="AL794" s="58"/>
      <c r="AM794" s="58"/>
      <c r="AN794" s="58"/>
      <c r="AO794" s="58"/>
      <c r="AP794" s="58"/>
      <c r="AQ794" s="58"/>
      <c r="AR794" s="58"/>
    </row>
    <row r="795" spans="1:44" ht="15.75" customHeight="1" x14ac:dyDescent="0.25">
      <c r="A795" s="64"/>
      <c r="B795" s="62"/>
      <c r="C795" s="62"/>
      <c r="D795" s="62"/>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c r="AE795" s="58"/>
      <c r="AF795" s="58"/>
      <c r="AG795" s="58"/>
      <c r="AH795" s="58"/>
      <c r="AI795" s="58"/>
      <c r="AJ795" s="58"/>
      <c r="AK795" s="58"/>
      <c r="AL795" s="58"/>
      <c r="AM795" s="58"/>
      <c r="AN795" s="58"/>
      <c r="AO795" s="58"/>
      <c r="AP795" s="58"/>
      <c r="AQ795" s="58"/>
      <c r="AR795" s="58"/>
    </row>
    <row r="796" spans="1:44" ht="15.75" customHeight="1" x14ac:dyDescent="0.25">
      <c r="A796" s="64"/>
      <c r="B796" s="62"/>
      <c r="C796" s="62"/>
      <c r="D796" s="62"/>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c r="AE796" s="58"/>
      <c r="AF796" s="58"/>
      <c r="AG796" s="58"/>
      <c r="AH796" s="58"/>
      <c r="AI796" s="58"/>
      <c r="AJ796" s="58"/>
      <c r="AK796" s="58"/>
      <c r="AL796" s="58"/>
      <c r="AM796" s="58"/>
      <c r="AN796" s="58"/>
      <c r="AO796" s="58"/>
      <c r="AP796" s="58"/>
      <c r="AQ796" s="58"/>
      <c r="AR796" s="58"/>
    </row>
    <row r="797" spans="1:44" ht="15.75" customHeight="1" x14ac:dyDescent="0.25">
      <c r="A797" s="64"/>
      <c r="B797" s="62"/>
      <c r="C797" s="62"/>
      <c r="D797" s="62"/>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c r="AE797" s="58"/>
      <c r="AF797" s="58"/>
      <c r="AG797" s="58"/>
      <c r="AH797" s="58"/>
      <c r="AI797" s="58"/>
      <c r="AJ797" s="58"/>
      <c r="AK797" s="58"/>
      <c r="AL797" s="58"/>
      <c r="AM797" s="58"/>
      <c r="AN797" s="58"/>
      <c r="AO797" s="58"/>
      <c r="AP797" s="58"/>
      <c r="AQ797" s="58"/>
      <c r="AR797" s="58"/>
    </row>
    <row r="798" spans="1:44" ht="15.75" customHeight="1" x14ac:dyDescent="0.25">
      <c r="A798" s="64"/>
      <c r="B798" s="62"/>
      <c r="C798" s="62"/>
      <c r="D798" s="62"/>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c r="AE798" s="58"/>
      <c r="AF798" s="58"/>
      <c r="AG798" s="58"/>
      <c r="AH798" s="58"/>
      <c r="AI798" s="58"/>
      <c r="AJ798" s="58"/>
      <c r="AK798" s="58"/>
      <c r="AL798" s="58"/>
      <c r="AM798" s="58"/>
      <c r="AN798" s="58"/>
      <c r="AO798" s="58"/>
      <c r="AP798" s="58"/>
      <c r="AQ798" s="58"/>
      <c r="AR798" s="58"/>
    </row>
    <row r="799" spans="1:44" ht="15.75" customHeight="1" x14ac:dyDescent="0.25">
      <c r="A799" s="64"/>
      <c r="B799" s="62"/>
      <c r="C799" s="62"/>
      <c r="D799" s="62"/>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c r="AE799" s="58"/>
      <c r="AF799" s="58"/>
      <c r="AG799" s="58"/>
      <c r="AH799" s="58"/>
      <c r="AI799" s="58"/>
      <c r="AJ799" s="58"/>
      <c r="AK799" s="58"/>
      <c r="AL799" s="58"/>
      <c r="AM799" s="58"/>
      <c r="AN799" s="58"/>
      <c r="AO799" s="58"/>
      <c r="AP799" s="58"/>
      <c r="AQ799" s="58"/>
      <c r="AR799" s="58"/>
    </row>
    <row r="800" spans="1:44" ht="15.75" customHeight="1" x14ac:dyDescent="0.25">
      <c r="A800" s="64"/>
      <c r="B800" s="62"/>
      <c r="C800" s="62"/>
      <c r="D800" s="62"/>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c r="AE800" s="58"/>
      <c r="AF800" s="58"/>
      <c r="AG800" s="58"/>
      <c r="AH800" s="58"/>
      <c r="AI800" s="58"/>
      <c r="AJ800" s="58"/>
      <c r="AK800" s="58"/>
      <c r="AL800" s="58"/>
      <c r="AM800" s="58"/>
      <c r="AN800" s="58"/>
      <c r="AO800" s="58"/>
      <c r="AP800" s="58"/>
      <c r="AQ800" s="58"/>
      <c r="AR800" s="58"/>
    </row>
    <row r="801" spans="1:44" ht="15.75" customHeight="1" x14ac:dyDescent="0.25">
      <c r="A801" s="64"/>
      <c r="B801" s="62"/>
      <c r="C801" s="62"/>
      <c r="D801" s="62"/>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c r="AG801" s="58"/>
      <c r="AH801" s="58"/>
      <c r="AI801" s="58"/>
      <c r="AJ801" s="58"/>
      <c r="AK801" s="58"/>
      <c r="AL801" s="58"/>
      <c r="AM801" s="58"/>
      <c r="AN801" s="58"/>
      <c r="AO801" s="58"/>
      <c r="AP801" s="58"/>
      <c r="AQ801" s="58"/>
      <c r="AR801" s="58"/>
    </row>
    <row r="802" spans="1:44" ht="15.75" customHeight="1" x14ac:dyDescent="0.25">
      <c r="A802" s="64"/>
      <c r="B802" s="62"/>
      <c r="C802" s="62"/>
      <c r="D802" s="62"/>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c r="AE802" s="58"/>
      <c r="AF802" s="58"/>
      <c r="AG802" s="58"/>
      <c r="AH802" s="58"/>
      <c r="AI802" s="58"/>
      <c r="AJ802" s="58"/>
      <c r="AK802" s="58"/>
      <c r="AL802" s="58"/>
      <c r="AM802" s="58"/>
      <c r="AN802" s="58"/>
      <c r="AO802" s="58"/>
      <c r="AP802" s="58"/>
      <c r="AQ802" s="58"/>
      <c r="AR802" s="58"/>
    </row>
    <row r="803" spans="1:44" ht="15.75" customHeight="1" x14ac:dyDescent="0.25">
      <c r="A803" s="64"/>
      <c r="B803" s="62"/>
      <c r="C803" s="62"/>
      <c r="D803" s="62"/>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c r="AE803" s="58"/>
      <c r="AF803" s="58"/>
      <c r="AG803" s="58"/>
      <c r="AH803" s="58"/>
      <c r="AI803" s="58"/>
      <c r="AJ803" s="58"/>
      <c r="AK803" s="58"/>
      <c r="AL803" s="58"/>
      <c r="AM803" s="58"/>
      <c r="AN803" s="58"/>
      <c r="AO803" s="58"/>
      <c r="AP803" s="58"/>
      <c r="AQ803" s="58"/>
      <c r="AR803" s="58"/>
    </row>
    <row r="804" spans="1:44" ht="15.75" customHeight="1" x14ac:dyDescent="0.25">
      <c r="A804" s="64"/>
      <c r="B804" s="62"/>
      <c r="C804" s="62"/>
      <c r="D804" s="62"/>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c r="AE804" s="58"/>
      <c r="AF804" s="58"/>
      <c r="AG804" s="58"/>
      <c r="AH804" s="58"/>
      <c r="AI804" s="58"/>
      <c r="AJ804" s="58"/>
      <c r="AK804" s="58"/>
      <c r="AL804" s="58"/>
      <c r="AM804" s="58"/>
      <c r="AN804" s="58"/>
      <c r="AO804" s="58"/>
      <c r="AP804" s="58"/>
      <c r="AQ804" s="58"/>
      <c r="AR804" s="58"/>
    </row>
    <row r="805" spans="1:44" ht="15.75" customHeight="1" x14ac:dyDescent="0.25">
      <c r="A805" s="64"/>
      <c r="B805" s="62"/>
      <c r="C805" s="62"/>
      <c r="D805" s="62"/>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c r="AE805" s="58"/>
      <c r="AF805" s="58"/>
      <c r="AG805" s="58"/>
      <c r="AH805" s="58"/>
      <c r="AI805" s="58"/>
      <c r="AJ805" s="58"/>
      <c r="AK805" s="58"/>
      <c r="AL805" s="58"/>
      <c r="AM805" s="58"/>
      <c r="AN805" s="58"/>
      <c r="AO805" s="58"/>
      <c r="AP805" s="58"/>
      <c r="AQ805" s="58"/>
      <c r="AR805" s="58"/>
    </row>
    <row r="806" spans="1:44" ht="15.75" customHeight="1" x14ac:dyDescent="0.25">
      <c r="A806" s="64"/>
      <c r="B806" s="62"/>
      <c r="C806" s="62"/>
      <c r="D806" s="62"/>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c r="AE806" s="58"/>
      <c r="AF806" s="58"/>
      <c r="AG806" s="58"/>
      <c r="AH806" s="58"/>
      <c r="AI806" s="58"/>
      <c r="AJ806" s="58"/>
      <c r="AK806" s="58"/>
      <c r="AL806" s="58"/>
      <c r="AM806" s="58"/>
      <c r="AN806" s="58"/>
      <c r="AO806" s="58"/>
      <c r="AP806" s="58"/>
      <c r="AQ806" s="58"/>
      <c r="AR806" s="58"/>
    </row>
    <row r="807" spans="1:44" ht="15.75" customHeight="1" x14ac:dyDescent="0.25">
      <c r="A807" s="64"/>
      <c r="B807" s="62"/>
      <c r="C807" s="62"/>
      <c r="D807" s="62"/>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c r="AE807" s="58"/>
      <c r="AF807" s="58"/>
      <c r="AG807" s="58"/>
      <c r="AH807" s="58"/>
      <c r="AI807" s="58"/>
      <c r="AJ807" s="58"/>
      <c r="AK807" s="58"/>
      <c r="AL807" s="58"/>
      <c r="AM807" s="58"/>
      <c r="AN807" s="58"/>
      <c r="AO807" s="58"/>
      <c r="AP807" s="58"/>
      <c r="AQ807" s="58"/>
      <c r="AR807" s="58"/>
    </row>
    <row r="808" spans="1:44" ht="15.75" customHeight="1" x14ac:dyDescent="0.25">
      <c r="A808" s="64"/>
      <c r="B808" s="62"/>
      <c r="C808" s="62"/>
      <c r="D808" s="62"/>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c r="AG808" s="58"/>
      <c r="AH808" s="58"/>
      <c r="AI808" s="58"/>
      <c r="AJ808" s="58"/>
      <c r="AK808" s="58"/>
      <c r="AL808" s="58"/>
      <c r="AM808" s="58"/>
      <c r="AN808" s="58"/>
      <c r="AO808" s="58"/>
      <c r="AP808" s="58"/>
      <c r="AQ808" s="58"/>
      <c r="AR808" s="58"/>
    </row>
    <row r="809" spans="1:44" ht="15.75" customHeight="1" x14ac:dyDescent="0.25">
      <c r="A809" s="64"/>
      <c r="B809" s="62"/>
      <c r="C809" s="62"/>
      <c r="D809" s="62"/>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c r="AE809" s="58"/>
      <c r="AF809" s="58"/>
      <c r="AG809" s="58"/>
      <c r="AH809" s="58"/>
      <c r="AI809" s="58"/>
      <c r="AJ809" s="58"/>
      <c r="AK809" s="58"/>
      <c r="AL809" s="58"/>
      <c r="AM809" s="58"/>
      <c r="AN809" s="58"/>
      <c r="AO809" s="58"/>
      <c r="AP809" s="58"/>
      <c r="AQ809" s="58"/>
      <c r="AR809" s="58"/>
    </row>
    <row r="810" spans="1:44" ht="15.75" customHeight="1" x14ac:dyDescent="0.25">
      <c r="A810" s="64"/>
      <c r="B810" s="62"/>
      <c r="C810" s="62"/>
      <c r="D810" s="62"/>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c r="AE810" s="58"/>
      <c r="AF810" s="58"/>
      <c r="AG810" s="58"/>
      <c r="AH810" s="58"/>
      <c r="AI810" s="58"/>
      <c r="AJ810" s="58"/>
      <c r="AK810" s="58"/>
      <c r="AL810" s="58"/>
      <c r="AM810" s="58"/>
      <c r="AN810" s="58"/>
      <c r="AO810" s="58"/>
      <c r="AP810" s="58"/>
      <c r="AQ810" s="58"/>
      <c r="AR810" s="58"/>
    </row>
    <row r="811" spans="1:44" ht="15.75" customHeight="1" x14ac:dyDescent="0.25">
      <c r="A811" s="64"/>
      <c r="B811" s="62"/>
      <c r="C811" s="62"/>
      <c r="D811" s="62"/>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c r="AE811" s="58"/>
      <c r="AF811" s="58"/>
      <c r="AG811" s="58"/>
      <c r="AH811" s="58"/>
      <c r="AI811" s="58"/>
      <c r="AJ811" s="58"/>
      <c r="AK811" s="58"/>
      <c r="AL811" s="58"/>
      <c r="AM811" s="58"/>
      <c r="AN811" s="58"/>
      <c r="AO811" s="58"/>
      <c r="AP811" s="58"/>
      <c r="AQ811" s="58"/>
      <c r="AR811" s="58"/>
    </row>
    <row r="812" spans="1:44" ht="15.75" customHeight="1" x14ac:dyDescent="0.25">
      <c r="A812" s="64"/>
      <c r="B812" s="62"/>
      <c r="C812" s="62"/>
      <c r="D812" s="62"/>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c r="AE812" s="58"/>
      <c r="AF812" s="58"/>
      <c r="AG812" s="58"/>
      <c r="AH812" s="58"/>
      <c r="AI812" s="58"/>
      <c r="AJ812" s="58"/>
      <c r="AK812" s="58"/>
      <c r="AL812" s="58"/>
      <c r="AM812" s="58"/>
      <c r="AN812" s="58"/>
      <c r="AO812" s="58"/>
      <c r="AP812" s="58"/>
      <c r="AQ812" s="58"/>
      <c r="AR812" s="58"/>
    </row>
    <row r="813" spans="1:44" ht="15.75" customHeight="1" x14ac:dyDescent="0.25">
      <c r="A813" s="64"/>
      <c r="B813" s="62"/>
      <c r="C813" s="62"/>
      <c r="D813" s="62"/>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c r="AE813" s="58"/>
      <c r="AF813" s="58"/>
      <c r="AG813" s="58"/>
      <c r="AH813" s="58"/>
      <c r="AI813" s="58"/>
      <c r="AJ813" s="58"/>
      <c r="AK813" s="58"/>
      <c r="AL813" s="58"/>
      <c r="AM813" s="58"/>
      <c r="AN813" s="58"/>
      <c r="AO813" s="58"/>
      <c r="AP813" s="58"/>
      <c r="AQ813" s="58"/>
      <c r="AR813" s="58"/>
    </row>
    <row r="814" spans="1:44" ht="15.75" customHeight="1" x14ac:dyDescent="0.25">
      <c r="A814" s="64"/>
      <c r="B814" s="62"/>
      <c r="C814" s="62"/>
      <c r="D814" s="62"/>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c r="AE814" s="58"/>
      <c r="AF814" s="58"/>
      <c r="AG814" s="58"/>
      <c r="AH814" s="58"/>
      <c r="AI814" s="58"/>
      <c r="AJ814" s="58"/>
      <c r="AK814" s="58"/>
      <c r="AL814" s="58"/>
      <c r="AM814" s="58"/>
      <c r="AN814" s="58"/>
      <c r="AO814" s="58"/>
      <c r="AP814" s="58"/>
      <c r="AQ814" s="58"/>
      <c r="AR814" s="58"/>
    </row>
    <row r="815" spans="1:44" ht="15.75" customHeight="1" x14ac:dyDescent="0.25">
      <c r="A815" s="64"/>
      <c r="B815" s="62"/>
      <c r="C815" s="62"/>
      <c r="D815" s="62"/>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c r="AG815" s="58"/>
      <c r="AH815" s="58"/>
      <c r="AI815" s="58"/>
      <c r="AJ815" s="58"/>
      <c r="AK815" s="58"/>
      <c r="AL815" s="58"/>
      <c r="AM815" s="58"/>
      <c r="AN815" s="58"/>
      <c r="AO815" s="58"/>
      <c r="AP815" s="58"/>
      <c r="AQ815" s="58"/>
      <c r="AR815" s="58"/>
    </row>
    <row r="816" spans="1:44" ht="15.75" customHeight="1" x14ac:dyDescent="0.25">
      <c r="A816" s="64"/>
      <c r="B816" s="62"/>
      <c r="C816" s="62"/>
      <c r="D816" s="62"/>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8"/>
      <c r="AI816" s="58"/>
      <c r="AJ816" s="58"/>
      <c r="AK816" s="58"/>
      <c r="AL816" s="58"/>
      <c r="AM816" s="58"/>
      <c r="AN816" s="58"/>
      <c r="AO816" s="58"/>
      <c r="AP816" s="58"/>
      <c r="AQ816" s="58"/>
      <c r="AR816" s="58"/>
    </row>
    <row r="817" spans="1:44" ht="15.75" customHeight="1" x14ac:dyDescent="0.25">
      <c r="A817" s="64"/>
      <c r="B817" s="62"/>
      <c r="C817" s="62"/>
      <c r="D817" s="62"/>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c r="AG817" s="58"/>
      <c r="AH817" s="58"/>
      <c r="AI817" s="58"/>
      <c r="AJ817" s="58"/>
      <c r="AK817" s="58"/>
      <c r="AL817" s="58"/>
      <c r="AM817" s="58"/>
      <c r="AN817" s="58"/>
      <c r="AO817" s="58"/>
      <c r="AP817" s="58"/>
      <c r="AQ817" s="58"/>
      <c r="AR817" s="58"/>
    </row>
    <row r="818" spans="1:44" ht="15.75" customHeight="1" x14ac:dyDescent="0.25">
      <c r="A818" s="64"/>
      <c r="B818" s="62"/>
      <c r="C818" s="62"/>
      <c r="D818" s="62"/>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c r="AG818" s="58"/>
      <c r="AH818" s="58"/>
      <c r="AI818" s="58"/>
      <c r="AJ818" s="58"/>
      <c r="AK818" s="58"/>
      <c r="AL818" s="58"/>
      <c r="AM818" s="58"/>
      <c r="AN818" s="58"/>
      <c r="AO818" s="58"/>
      <c r="AP818" s="58"/>
      <c r="AQ818" s="58"/>
      <c r="AR818" s="58"/>
    </row>
    <row r="819" spans="1:44" ht="15.75" customHeight="1" x14ac:dyDescent="0.25">
      <c r="A819" s="64"/>
      <c r="B819" s="62"/>
      <c r="C819" s="62"/>
      <c r="D819" s="62"/>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c r="AG819" s="58"/>
      <c r="AH819" s="58"/>
      <c r="AI819" s="58"/>
      <c r="AJ819" s="58"/>
      <c r="AK819" s="58"/>
      <c r="AL819" s="58"/>
      <c r="AM819" s="58"/>
      <c r="AN819" s="58"/>
      <c r="AO819" s="58"/>
      <c r="AP819" s="58"/>
      <c r="AQ819" s="58"/>
      <c r="AR819" s="58"/>
    </row>
    <row r="820" spans="1:44" ht="15.75" customHeight="1" x14ac:dyDescent="0.25">
      <c r="A820" s="64"/>
      <c r="B820" s="62"/>
      <c r="C820" s="62"/>
      <c r="D820" s="62"/>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c r="AE820" s="58"/>
      <c r="AF820" s="58"/>
      <c r="AG820" s="58"/>
      <c r="AH820" s="58"/>
      <c r="AI820" s="58"/>
      <c r="AJ820" s="58"/>
      <c r="AK820" s="58"/>
      <c r="AL820" s="58"/>
      <c r="AM820" s="58"/>
      <c r="AN820" s="58"/>
      <c r="AO820" s="58"/>
      <c r="AP820" s="58"/>
      <c r="AQ820" s="58"/>
      <c r="AR820" s="58"/>
    </row>
    <row r="821" spans="1:44" ht="15.75" customHeight="1" x14ac:dyDescent="0.25">
      <c r="A821" s="64"/>
      <c r="B821" s="62"/>
      <c r="C821" s="62"/>
      <c r="D821" s="62"/>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c r="AE821" s="58"/>
      <c r="AF821" s="58"/>
      <c r="AG821" s="58"/>
      <c r="AH821" s="58"/>
      <c r="AI821" s="58"/>
      <c r="AJ821" s="58"/>
      <c r="AK821" s="58"/>
      <c r="AL821" s="58"/>
      <c r="AM821" s="58"/>
      <c r="AN821" s="58"/>
      <c r="AO821" s="58"/>
      <c r="AP821" s="58"/>
      <c r="AQ821" s="58"/>
      <c r="AR821" s="58"/>
    </row>
    <row r="822" spans="1:44" ht="15.75" customHeight="1" x14ac:dyDescent="0.25">
      <c r="A822" s="64"/>
      <c r="B822" s="62"/>
      <c r="C822" s="62"/>
      <c r="D822" s="62"/>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c r="AE822" s="58"/>
      <c r="AF822" s="58"/>
      <c r="AG822" s="58"/>
      <c r="AH822" s="58"/>
      <c r="AI822" s="58"/>
      <c r="AJ822" s="58"/>
      <c r="AK822" s="58"/>
      <c r="AL822" s="58"/>
      <c r="AM822" s="58"/>
      <c r="AN822" s="58"/>
      <c r="AO822" s="58"/>
      <c r="AP822" s="58"/>
      <c r="AQ822" s="58"/>
      <c r="AR822" s="58"/>
    </row>
    <row r="823" spans="1:44" ht="15.75" customHeight="1" x14ac:dyDescent="0.25">
      <c r="A823" s="64"/>
      <c r="B823" s="62"/>
      <c r="C823" s="62"/>
      <c r="D823" s="62"/>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c r="AE823" s="58"/>
      <c r="AF823" s="58"/>
      <c r="AG823" s="58"/>
      <c r="AH823" s="58"/>
      <c r="AI823" s="58"/>
      <c r="AJ823" s="58"/>
      <c r="AK823" s="58"/>
      <c r="AL823" s="58"/>
      <c r="AM823" s="58"/>
      <c r="AN823" s="58"/>
      <c r="AO823" s="58"/>
      <c r="AP823" s="58"/>
      <c r="AQ823" s="58"/>
      <c r="AR823" s="58"/>
    </row>
    <row r="824" spans="1:44" ht="15.75" customHeight="1" x14ac:dyDescent="0.25">
      <c r="A824" s="64"/>
      <c r="B824" s="62"/>
      <c r="C824" s="62"/>
      <c r="D824" s="62"/>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c r="AE824" s="58"/>
      <c r="AF824" s="58"/>
      <c r="AG824" s="58"/>
      <c r="AH824" s="58"/>
      <c r="AI824" s="58"/>
      <c r="AJ824" s="58"/>
      <c r="AK824" s="58"/>
      <c r="AL824" s="58"/>
      <c r="AM824" s="58"/>
      <c r="AN824" s="58"/>
      <c r="AO824" s="58"/>
      <c r="AP824" s="58"/>
      <c r="AQ824" s="58"/>
      <c r="AR824" s="58"/>
    </row>
    <row r="825" spans="1:44" ht="15.75" customHeight="1" x14ac:dyDescent="0.25">
      <c r="A825" s="64"/>
      <c r="B825" s="62"/>
      <c r="C825" s="62"/>
      <c r="D825" s="62"/>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c r="AE825" s="58"/>
      <c r="AF825" s="58"/>
      <c r="AG825" s="58"/>
      <c r="AH825" s="58"/>
      <c r="AI825" s="58"/>
      <c r="AJ825" s="58"/>
      <c r="AK825" s="58"/>
      <c r="AL825" s="58"/>
      <c r="AM825" s="58"/>
      <c r="AN825" s="58"/>
      <c r="AO825" s="58"/>
      <c r="AP825" s="58"/>
      <c r="AQ825" s="58"/>
      <c r="AR825" s="58"/>
    </row>
    <row r="826" spans="1:44" ht="15.75" customHeight="1" x14ac:dyDescent="0.25">
      <c r="A826" s="64"/>
      <c r="B826" s="62"/>
      <c r="C826" s="62"/>
      <c r="D826" s="62"/>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c r="AE826" s="58"/>
      <c r="AF826" s="58"/>
      <c r="AG826" s="58"/>
      <c r="AH826" s="58"/>
      <c r="AI826" s="58"/>
      <c r="AJ826" s="58"/>
      <c r="AK826" s="58"/>
      <c r="AL826" s="58"/>
      <c r="AM826" s="58"/>
      <c r="AN826" s="58"/>
      <c r="AO826" s="58"/>
      <c r="AP826" s="58"/>
      <c r="AQ826" s="58"/>
      <c r="AR826" s="58"/>
    </row>
    <row r="827" spans="1:44" ht="15.75" customHeight="1" x14ac:dyDescent="0.25">
      <c r="A827" s="64"/>
      <c r="B827" s="62"/>
      <c r="C827" s="62"/>
      <c r="D827" s="62"/>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c r="AE827" s="58"/>
      <c r="AF827" s="58"/>
      <c r="AG827" s="58"/>
      <c r="AH827" s="58"/>
      <c r="AI827" s="58"/>
      <c r="AJ827" s="58"/>
      <c r="AK827" s="58"/>
      <c r="AL827" s="58"/>
      <c r="AM827" s="58"/>
      <c r="AN827" s="58"/>
      <c r="AO827" s="58"/>
      <c r="AP827" s="58"/>
      <c r="AQ827" s="58"/>
      <c r="AR827" s="58"/>
    </row>
    <row r="828" spans="1:44" ht="15.75" customHeight="1" x14ac:dyDescent="0.25">
      <c r="A828" s="64"/>
      <c r="B828" s="62"/>
      <c r="C828" s="62"/>
      <c r="D828" s="62"/>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c r="AE828" s="58"/>
      <c r="AF828" s="58"/>
      <c r="AG828" s="58"/>
      <c r="AH828" s="58"/>
      <c r="AI828" s="58"/>
      <c r="AJ828" s="58"/>
      <c r="AK828" s="58"/>
      <c r="AL828" s="58"/>
      <c r="AM828" s="58"/>
      <c r="AN828" s="58"/>
      <c r="AO828" s="58"/>
      <c r="AP828" s="58"/>
      <c r="AQ828" s="58"/>
      <c r="AR828" s="58"/>
    </row>
    <row r="829" spans="1:44" ht="15.75" customHeight="1" x14ac:dyDescent="0.25">
      <c r="A829" s="64"/>
      <c r="B829" s="62"/>
      <c r="C829" s="62"/>
      <c r="D829" s="62"/>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c r="AE829" s="58"/>
      <c r="AF829" s="58"/>
      <c r="AG829" s="58"/>
      <c r="AH829" s="58"/>
      <c r="AI829" s="58"/>
      <c r="AJ829" s="58"/>
      <c r="AK829" s="58"/>
      <c r="AL829" s="58"/>
      <c r="AM829" s="58"/>
      <c r="AN829" s="58"/>
      <c r="AO829" s="58"/>
      <c r="AP829" s="58"/>
      <c r="AQ829" s="58"/>
      <c r="AR829" s="58"/>
    </row>
    <row r="830" spans="1:44" ht="15.75" customHeight="1" x14ac:dyDescent="0.25">
      <c r="A830" s="64"/>
      <c r="B830" s="62"/>
      <c r="C830" s="62"/>
      <c r="D830" s="62"/>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c r="AE830" s="58"/>
      <c r="AF830" s="58"/>
      <c r="AG830" s="58"/>
      <c r="AH830" s="58"/>
      <c r="AI830" s="58"/>
      <c r="AJ830" s="58"/>
      <c r="AK830" s="58"/>
      <c r="AL830" s="58"/>
      <c r="AM830" s="58"/>
      <c r="AN830" s="58"/>
      <c r="AO830" s="58"/>
      <c r="AP830" s="58"/>
      <c r="AQ830" s="58"/>
      <c r="AR830" s="58"/>
    </row>
    <row r="831" spans="1:44" ht="15.75" customHeight="1" x14ac:dyDescent="0.25">
      <c r="A831" s="64"/>
      <c r="B831" s="62"/>
      <c r="C831" s="62"/>
      <c r="D831" s="62"/>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c r="AE831" s="58"/>
      <c r="AF831" s="58"/>
      <c r="AG831" s="58"/>
      <c r="AH831" s="58"/>
      <c r="AI831" s="58"/>
      <c r="AJ831" s="58"/>
      <c r="AK831" s="58"/>
      <c r="AL831" s="58"/>
      <c r="AM831" s="58"/>
      <c r="AN831" s="58"/>
      <c r="AO831" s="58"/>
      <c r="AP831" s="58"/>
      <c r="AQ831" s="58"/>
      <c r="AR831" s="58"/>
    </row>
    <row r="832" spans="1:44" ht="15.75" customHeight="1" x14ac:dyDescent="0.25">
      <c r="A832" s="64"/>
      <c r="B832" s="62"/>
      <c r="C832" s="62"/>
      <c r="D832" s="62"/>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c r="AE832" s="58"/>
      <c r="AF832" s="58"/>
      <c r="AG832" s="58"/>
      <c r="AH832" s="58"/>
      <c r="AI832" s="58"/>
      <c r="AJ832" s="58"/>
      <c r="AK832" s="58"/>
      <c r="AL832" s="58"/>
      <c r="AM832" s="58"/>
      <c r="AN832" s="58"/>
      <c r="AO832" s="58"/>
      <c r="AP832" s="58"/>
      <c r="AQ832" s="58"/>
      <c r="AR832" s="58"/>
    </row>
    <row r="833" spans="1:44" ht="15.75" customHeight="1" x14ac:dyDescent="0.25">
      <c r="A833" s="64"/>
      <c r="B833" s="62"/>
      <c r="C833" s="62"/>
      <c r="D833" s="62"/>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c r="AE833" s="58"/>
      <c r="AF833" s="58"/>
      <c r="AG833" s="58"/>
      <c r="AH833" s="58"/>
      <c r="AI833" s="58"/>
      <c r="AJ833" s="58"/>
      <c r="AK833" s="58"/>
      <c r="AL833" s="58"/>
      <c r="AM833" s="58"/>
      <c r="AN833" s="58"/>
      <c r="AO833" s="58"/>
      <c r="AP833" s="58"/>
      <c r="AQ833" s="58"/>
      <c r="AR833" s="58"/>
    </row>
    <row r="834" spans="1:44" ht="15.75" customHeight="1" x14ac:dyDescent="0.25">
      <c r="A834" s="64"/>
      <c r="B834" s="62"/>
      <c r="C834" s="62"/>
      <c r="D834" s="62"/>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c r="AE834" s="58"/>
      <c r="AF834" s="58"/>
      <c r="AG834" s="58"/>
      <c r="AH834" s="58"/>
      <c r="AI834" s="58"/>
      <c r="AJ834" s="58"/>
      <c r="AK834" s="58"/>
      <c r="AL834" s="58"/>
      <c r="AM834" s="58"/>
      <c r="AN834" s="58"/>
      <c r="AO834" s="58"/>
      <c r="AP834" s="58"/>
      <c r="AQ834" s="58"/>
      <c r="AR834" s="58"/>
    </row>
    <row r="835" spans="1:44" ht="15.75" customHeight="1" x14ac:dyDescent="0.25">
      <c r="A835" s="64"/>
      <c r="B835" s="62"/>
      <c r="C835" s="62"/>
      <c r="D835" s="62"/>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c r="AE835" s="58"/>
      <c r="AF835" s="58"/>
      <c r="AG835" s="58"/>
      <c r="AH835" s="58"/>
      <c r="AI835" s="58"/>
      <c r="AJ835" s="58"/>
      <c r="AK835" s="58"/>
      <c r="AL835" s="58"/>
      <c r="AM835" s="58"/>
      <c r="AN835" s="58"/>
      <c r="AO835" s="58"/>
      <c r="AP835" s="58"/>
      <c r="AQ835" s="58"/>
      <c r="AR835" s="58"/>
    </row>
    <row r="836" spans="1:44" ht="15.75" customHeight="1" x14ac:dyDescent="0.25">
      <c r="A836" s="64"/>
      <c r="B836" s="62"/>
      <c r="C836" s="62"/>
      <c r="D836" s="62"/>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c r="AE836" s="58"/>
      <c r="AF836" s="58"/>
      <c r="AG836" s="58"/>
      <c r="AH836" s="58"/>
      <c r="AI836" s="58"/>
      <c r="AJ836" s="58"/>
      <c r="AK836" s="58"/>
      <c r="AL836" s="58"/>
      <c r="AM836" s="58"/>
      <c r="AN836" s="58"/>
      <c r="AO836" s="58"/>
      <c r="AP836" s="58"/>
      <c r="AQ836" s="58"/>
      <c r="AR836" s="58"/>
    </row>
    <row r="837" spans="1:44" ht="15.75" customHeight="1" x14ac:dyDescent="0.25">
      <c r="A837" s="64"/>
      <c r="B837" s="62"/>
      <c r="C837" s="62"/>
      <c r="D837" s="62"/>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c r="AG837" s="58"/>
      <c r="AH837" s="58"/>
      <c r="AI837" s="58"/>
      <c r="AJ837" s="58"/>
      <c r="AK837" s="58"/>
      <c r="AL837" s="58"/>
      <c r="AM837" s="58"/>
      <c r="AN837" s="58"/>
      <c r="AO837" s="58"/>
      <c r="AP837" s="58"/>
      <c r="AQ837" s="58"/>
      <c r="AR837" s="58"/>
    </row>
    <row r="838" spans="1:44" ht="15.75" customHeight="1" x14ac:dyDescent="0.25">
      <c r="A838" s="64"/>
      <c r="B838" s="62"/>
      <c r="C838" s="62"/>
      <c r="D838" s="62"/>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c r="AE838" s="58"/>
      <c r="AF838" s="58"/>
      <c r="AG838" s="58"/>
      <c r="AH838" s="58"/>
      <c r="AI838" s="58"/>
      <c r="AJ838" s="58"/>
      <c r="AK838" s="58"/>
      <c r="AL838" s="58"/>
      <c r="AM838" s="58"/>
      <c r="AN838" s="58"/>
      <c r="AO838" s="58"/>
      <c r="AP838" s="58"/>
      <c r="AQ838" s="58"/>
      <c r="AR838" s="58"/>
    </row>
    <row r="839" spans="1:44" ht="15.75" customHeight="1" x14ac:dyDescent="0.25">
      <c r="A839" s="64"/>
      <c r="B839" s="62"/>
      <c r="C839" s="62"/>
      <c r="D839" s="62"/>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c r="AE839" s="58"/>
      <c r="AF839" s="58"/>
      <c r="AG839" s="58"/>
      <c r="AH839" s="58"/>
      <c r="AI839" s="58"/>
      <c r="AJ839" s="58"/>
      <c r="AK839" s="58"/>
      <c r="AL839" s="58"/>
      <c r="AM839" s="58"/>
      <c r="AN839" s="58"/>
      <c r="AO839" s="58"/>
      <c r="AP839" s="58"/>
      <c r="AQ839" s="58"/>
      <c r="AR839" s="58"/>
    </row>
    <row r="840" spans="1:44" ht="15.75" customHeight="1" x14ac:dyDescent="0.25">
      <c r="A840" s="64"/>
      <c r="B840" s="62"/>
      <c r="C840" s="62"/>
      <c r="D840" s="62"/>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c r="AE840" s="58"/>
      <c r="AF840" s="58"/>
      <c r="AG840" s="58"/>
      <c r="AH840" s="58"/>
      <c r="AI840" s="58"/>
      <c r="AJ840" s="58"/>
      <c r="AK840" s="58"/>
      <c r="AL840" s="58"/>
      <c r="AM840" s="58"/>
      <c r="AN840" s="58"/>
      <c r="AO840" s="58"/>
      <c r="AP840" s="58"/>
      <c r="AQ840" s="58"/>
      <c r="AR840" s="58"/>
    </row>
    <row r="841" spans="1:44" ht="15.75" customHeight="1" x14ac:dyDescent="0.25">
      <c r="A841" s="64"/>
      <c r="B841" s="62"/>
      <c r="C841" s="62"/>
      <c r="D841" s="62"/>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c r="AE841" s="58"/>
      <c r="AF841" s="58"/>
      <c r="AG841" s="58"/>
      <c r="AH841" s="58"/>
      <c r="AI841" s="58"/>
      <c r="AJ841" s="58"/>
      <c r="AK841" s="58"/>
      <c r="AL841" s="58"/>
      <c r="AM841" s="58"/>
      <c r="AN841" s="58"/>
      <c r="AO841" s="58"/>
      <c r="AP841" s="58"/>
      <c r="AQ841" s="58"/>
      <c r="AR841" s="58"/>
    </row>
    <row r="842" spans="1:44" ht="15.75" customHeight="1" x14ac:dyDescent="0.25">
      <c r="A842" s="64"/>
      <c r="B842" s="62"/>
      <c r="C842" s="62"/>
      <c r="D842" s="62"/>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c r="AE842" s="58"/>
      <c r="AF842" s="58"/>
      <c r="AG842" s="58"/>
      <c r="AH842" s="58"/>
      <c r="AI842" s="58"/>
      <c r="AJ842" s="58"/>
      <c r="AK842" s="58"/>
      <c r="AL842" s="58"/>
      <c r="AM842" s="58"/>
      <c r="AN842" s="58"/>
      <c r="AO842" s="58"/>
      <c r="AP842" s="58"/>
      <c r="AQ842" s="58"/>
      <c r="AR842" s="58"/>
    </row>
    <row r="843" spans="1:44" ht="15.75" customHeight="1" x14ac:dyDescent="0.25">
      <c r="A843" s="64"/>
      <c r="B843" s="62"/>
      <c r="C843" s="62"/>
      <c r="D843" s="62"/>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c r="AE843" s="58"/>
      <c r="AF843" s="58"/>
      <c r="AG843" s="58"/>
      <c r="AH843" s="58"/>
      <c r="AI843" s="58"/>
      <c r="AJ843" s="58"/>
      <c r="AK843" s="58"/>
      <c r="AL843" s="58"/>
      <c r="AM843" s="58"/>
      <c r="AN843" s="58"/>
      <c r="AO843" s="58"/>
      <c r="AP843" s="58"/>
      <c r="AQ843" s="58"/>
      <c r="AR843" s="58"/>
    </row>
    <row r="844" spans="1:44" ht="15.75" customHeight="1" x14ac:dyDescent="0.25">
      <c r="A844" s="64"/>
      <c r="B844" s="62"/>
      <c r="C844" s="62"/>
      <c r="D844" s="62"/>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c r="AE844" s="58"/>
      <c r="AF844" s="58"/>
      <c r="AG844" s="58"/>
      <c r="AH844" s="58"/>
      <c r="AI844" s="58"/>
      <c r="AJ844" s="58"/>
      <c r="AK844" s="58"/>
      <c r="AL844" s="58"/>
      <c r="AM844" s="58"/>
      <c r="AN844" s="58"/>
      <c r="AO844" s="58"/>
      <c r="AP844" s="58"/>
      <c r="AQ844" s="58"/>
      <c r="AR844" s="58"/>
    </row>
    <row r="845" spans="1:44" ht="15.75" customHeight="1" x14ac:dyDescent="0.25">
      <c r="A845" s="64"/>
      <c r="B845" s="62"/>
      <c r="C845" s="62"/>
      <c r="D845" s="62"/>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c r="AE845" s="58"/>
      <c r="AF845" s="58"/>
      <c r="AG845" s="58"/>
      <c r="AH845" s="58"/>
      <c r="AI845" s="58"/>
      <c r="AJ845" s="58"/>
      <c r="AK845" s="58"/>
      <c r="AL845" s="58"/>
      <c r="AM845" s="58"/>
      <c r="AN845" s="58"/>
      <c r="AO845" s="58"/>
      <c r="AP845" s="58"/>
      <c r="AQ845" s="58"/>
      <c r="AR845" s="58"/>
    </row>
    <row r="846" spans="1:44" ht="15.75" customHeight="1" x14ac:dyDescent="0.25">
      <c r="A846" s="64"/>
      <c r="B846" s="62"/>
      <c r="C846" s="62"/>
      <c r="D846" s="62"/>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c r="AE846" s="58"/>
      <c r="AF846" s="58"/>
      <c r="AG846" s="58"/>
      <c r="AH846" s="58"/>
      <c r="AI846" s="58"/>
      <c r="AJ846" s="58"/>
      <c r="AK846" s="58"/>
      <c r="AL846" s="58"/>
      <c r="AM846" s="58"/>
      <c r="AN846" s="58"/>
      <c r="AO846" s="58"/>
      <c r="AP846" s="58"/>
      <c r="AQ846" s="58"/>
      <c r="AR846" s="58"/>
    </row>
    <row r="847" spans="1:44" ht="15.75" customHeight="1" x14ac:dyDescent="0.25">
      <c r="A847" s="64"/>
      <c r="B847" s="62"/>
      <c r="C847" s="62"/>
      <c r="D847" s="62"/>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c r="AE847" s="58"/>
      <c r="AF847" s="58"/>
      <c r="AG847" s="58"/>
      <c r="AH847" s="58"/>
      <c r="AI847" s="58"/>
      <c r="AJ847" s="58"/>
      <c r="AK847" s="58"/>
      <c r="AL847" s="58"/>
      <c r="AM847" s="58"/>
      <c r="AN847" s="58"/>
      <c r="AO847" s="58"/>
      <c r="AP847" s="58"/>
      <c r="AQ847" s="58"/>
      <c r="AR847" s="58"/>
    </row>
    <row r="848" spans="1:44" ht="15.75" customHeight="1" x14ac:dyDescent="0.25">
      <c r="A848" s="64"/>
      <c r="B848" s="62"/>
      <c r="C848" s="62"/>
      <c r="D848" s="62"/>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c r="AE848" s="58"/>
      <c r="AF848" s="58"/>
      <c r="AG848" s="58"/>
      <c r="AH848" s="58"/>
      <c r="AI848" s="58"/>
      <c r="AJ848" s="58"/>
      <c r="AK848" s="58"/>
      <c r="AL848" s="58"/>
      <c r="AM848" s="58"/>
      <c r="AN848" s="58"/>
      <c r="AO848" s="58"/>
      <c r="AP848" s="58"/>
      <c r="AQ848" s="58"/>
      <c r="AR848" s="58"/>
    </row>
    <row r="849" spans="1:44" ht="15.75" customHeight="1" x14ac:dyDescent="0.25">
      <c r="A849" s="64"/>
      <c r="B849" s="62"/>
      <c r="C849" s="62"/>
      <c r="D849" s="62"/>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c r="AE849" s="58"/>
      <c r="AF849" s="58"/>
      <c r="AG849" s="58"/>
      <c r="AH849" s="58"/>
      <c r="AI849" s="58"/>
      <c r="AJ849" s="58"/>
      <c r="AK849" s="58"/>
      <c r="AL849" s="58"/>
      <c r="AM849" s="58"/>
      <c r="AN849" s="58"/>
      <c r="AO849" s="58"/>
      <c r="AP849" s="58"/>
      <c r="AQ849" s="58"/>
      <c r="AR849" s="58"/>
    </row>
    <row r="850" spans="1:44" ht="15.75" customHeight="1" x14ac:dyDescent="0.25">
      <c r="A850" s="64"/>
      <c r="B850" s="62"/>
      <c r="C850" s="62"/>
      <c r="D850" s="62"/>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c r="AE850" s="58"/>
      <c r="AF850" s="58"/>
      <c r="AG850" s="58"/>
      <c r="AH850" s="58"/>
      <c r="AI850" s="58"/>
      <c r="AJ850" s="58"/>
      <c r="AK850" s="58"/>
      <c r="AL850" s="58"/>
      <c r="AM850" s="58"/>
      <c r="AN850" s="58"/>
      <c r="AO850" s="58"/>
      <c r="AP850" s="58"/>
      <c r="AQ850" s="58"/>
      <c r="AR850" s="58"/>
    </row>
    <row r="851" spans="1:44" ht="15.75" customHeight="1" x14ac:dyDescent="0.25">
      <c r="A851" s="64"/>
      <c r="B851" s="62"/>
      <c r="C851" s="62"/>
      <c r="D851" s="62"/>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c r="AE851" s="58"/>
      <c r="AF851" s="58"/>
      <c r="AG851" s="58"/>
      <c r="AH851" s="58"/>
      <c r="AI851" s="58"/>
      <c r="AJ851" s="58"/>
      <c r="AK851" s="58"/>
      <c r="AL851" s="58"/>
      <c r="AM851" s="58"/>
      <c r="AN851" s="58"/>
      <c r="AO851" s="58"/>
      <c r="AP851" s="58"/>
      <c r="AQ851" s="58"/>
      <c r="AR851" s="58"/>
    </row>
    <row r="852" spans="1:44" ht="15.75" customHeight="1" x14ac:dyDescent="0.25">
      <c r="A852" s="64"/>
      <c r="B852" s="62"/>
      <c r="C852" s="62"/>
      <c r="D852" s="62"/>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c r="AE852" s="58"/>
      <c r="AF852" s="58"/>
      <c r="AG852" s="58"/>
      <c r="AH852" s="58"/>
      <c r="AI852" s="58"/>
      <c r="AJ852" s="58"/>
      <c r="AK852" s="58"/>
      <c r="AL852" s="58"/>
      <c r="AM852" s="58"/>
      <c r="AN852" s="58"/>
      <c r="AO852" s="58"/>
      <c r="AP852" s="58"/>
      <c r="AQ852" s="58"/>
      <c r="AR852" s="58"/>
    </row>
    <row r="853" spans="1:44" ht="15.75" customHeight="1" x14ac:dyDescent="0.25">
      <c r="A853" s="64"/>
      <c r="B853" s="62"/>
      <c r="C853" s="62"/>
      <c r="D853" s="62"/>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c r="AE853" s="58"/>
      <c r="AF853" s="58"/>
      <c r="AG853" s="58"/>
      <c r="AH853" s="58"/>
      <c r="AI853" s="58"/>
      <c r="AJ853" s="58"/>
      <c r="AK853" s="58"/>
      <c r="AL853" s="58"/>
      <c r="AM853" s="58"/>
      <c r="AN853" s="58"/>
      <c r="AO853" s="58"/>
      <c r="AP853" s="58"/>
      <c r="AQ853" s="58"/>
      <c r="AR853" s="58"/>
    </row>
    <row r="854" spans="1:44" ht="15.75" customHeight="1" x14ac:dyDescent="0.25">
      <c r="A854" s="64"/>
      <c r="B854" s="62"/>
      <c r="C854" s="62"/>
      <c r="D854" s="62"/>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c r="AE854" s="58"/>
      <c r="AF854" s="58"/>
      <c r="AG854" s="58"/>
      <c r="AH854" s="58"/>
      <c r="AI854" s="58"/>
      <c r="AJ854" s="58"/>
      <c r="AK854" s="58"/>
      <c r="AL854" s="58"/>
      <c r="AM854" s="58"/>
      <c r="AN854" s="58"/>
      <c r="AO854" s="58"/>
      <c r="AP854" s="58"/>
      <c r="AQ854" s="58"/>
      <c r="AR854" s="58"/>
    </row>
    <row r="855" spans="1:44" ht="15.75" customHeight="1" x14ac:dyDescent="0.25">
      <c r="A855" s="64"/>
      <c r="B855" s="62"/>
      <c r="C855" s="62"/>
      <c r="D855" s="62"/>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c r="AE855" s="58"/>
      <c r="AF855" s="58"/>
      <c r="AG855" s="58"/>
      <c r="AH855" s="58"/>
      <c r="AI855" s="58"/>
      <c r="AJ855" s="58"/>
      <c r="AK855" s="58"/>
      <c r="AL855" s="58"/>
      <c r="AM855" s="58"/>
      <c r="AN855" s="58"/>
      <c r="AO855" s="58"/>
      <c r="AP855" s="58"/>
      <c r="AQ855" s="58"/>
      <c r="AR855" s="58"/>
    </row>
    <row r="856" spans="1:44" ht="15.75" customHeight="1" x14ac:dyDescent="0.25">
      <c r="A856" s="64"/>
      <c r="B856" s="62"/>
      <c r="C856" s="62"/>
      <c r="D856" s="62"/>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c r="AE856" s="58"/>
      <c r="AF856" s="58"/>
      <c r="AG856" s="58"/>
      <c r="AH856" s="58"/>
      <c r="AI856" s="58"/>
      <c r="AJ856" s="58"/>
      <c r="AK856" s="58"/>
      <c r="AL856" s="58"/>
      <c r="AM856" s="58"/>
      <c r="AN856" s="58"/>
      <c r="AO856" s="58"/>
      <c r="AP856" s="58"/>
      <c r="AQ856" s="58"/>
      <c r="AR856" s="58"/>
    </row>
    <row r="857" spans="1:44" ht="15.75" customHeight="1" x14ac:dyDescent="0.25">
      <c r="A857" s="64"/>
      <c r="B857" s="62"/>
      <c r="C857" s="62"/>
      <c r="D857" s="62"/>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c r="AE857" s="58"/>
      <c r="AF857" s="58"/>
      <c r="AG857" s="58"/>
      <c r="AH857" s="58"/>
      <c r="AI857" s="58"/>
      <c r="AJ857" s="58"/>
      <c r="AK857" s="58"/>
      <c r="AL857" s="58"/>
      <c r="AM857" s="58"/>
      <c r="AN857" s="58"/>
      <c r="AO857" s="58"/>
      <c r="AP857" s="58"/>
      <c r="AQ857" s="58"/>
      <c r="AR857" s="58"/>
    </row>
    <row r="858" spans="1:44" ht="15.75" customHeight="1" x14ac:dyDescent="0.25">
      <c r="A858" s="64"/>
      <c r="B858" s="62"/>
      <c r="C858" s="62"/>
      <c r="D858" s="62"/>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c r="AE858" s="58"/>
      <c r="AF858" s="58"/>
      <c r="AG858" s="58"/>
      <c r="AH858" s="58"/>
      <c r="AI858" s="58"/>
      <c r="AJ858" s="58"/>
      <c r="AK858" s="58"/>
      <c r="AL858" s="58"/>
      <c r="AM858" s="58"/>
      <c r="AN858" s="58"/>
      <c r="AO858" s="58"/>
      <c r="AP858" s="58"/>
      <c r="AQ858" s="58"/>
      <c r="AR858" s="58"/>
    </row>
    <row r="859" spans="1:44" ht="15.75" customHeight="1" x14ac:dyDescent="0.25">
      <c r="A859" s="64"/>
      <c r="B859" s="62"/>
      <c r="C859" s="62"/>
      <c r="D859" s="62"/>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c r="AE859" s="58"/>
      <c r="AF859" s="58"/>
      <c r="AG859" s="58"/>
      <c r="AH859" s="58"/>
      <c r="AI859" s="58"/>
      <c r="AJ859" s="58"/>
      <c r="AK859" s="58"/>
      <c r="AL859" s="58"/>
      <c r="AM859" s="58"/>
      <c r="AN859" s="58"/>
      <c r="AO859" s="58"/>
      <c r="AP859" s="58"/>
      <c r="AQ859" s="58"/>
      <c r="AR859" s="58"/>
    </row>
    <row r="860" spans="1:44" ht="15.75" customHeight="1" x14ac:dyDescent="0.25">
      <c r="A860" s="64"/>
      <c r="B860" s="62"/>
      <c r="C860" s="62"/>
      <c r="D860" s="62"/>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c r="AE860" s="58"/>
      <c r="AF860" s="58"/>
      <c r="AG860" s="58"/>
      <c r="AH860" s="58"/>
      <c r="AI860" s="58"/>
      <c r="AJ860" s="58"/>
      <c r="AK860" s="58"/>
      <c r="AL860" s="58"/>
      <c r="AM860" s="58"/>
      <c r="AN860" s="58"/>
      <c r="AO860" s="58"/>
      <c r="AP860" s="58"/>
      <c r="AQ860" s="58"/>
      <c r="AR860" s="58"/>
    </row>
    <row r="861" spans="1:44" ht="15.75" customHeight="1" x14ac:dyDescent="0.25">
      <c r="A861" s="64"/>
      <c r="B861" s="62"/>
      <c r="C861" s="62"/>
      <c r="D861" s="62"/>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c r="AE861" s="58"/>
      <c r="AF861" s="58"/>
      <c r="AG861" s="58"/>
      <c r="AH861" s="58"/>
      <c r="AI861" s="58"/>
      <c r="AJ861" s="58"/>
      <c r="AK861" s="58"/>
      <c r="AL861" s="58"/>
      <c r="AM861" s="58"/>
      <c r="AN861" s="58"/>
      <c r="AO861" s="58"/>
      <c r="AP861" s="58"/>
      <c r="AQ861" s="58"/>
      <c r="AR861" s="58"/>
    </row>
    <row r="862" spans="1:44" ht="15.75" customHeight="1" x14ac:dyDescent="0.25">
      <c r="A862" s="64"/>
      <c r="B862" s="62"/>
      <c r="C862" s="62"/>
      <c r="D862" s="62"/>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c r="AE862" s="58"/>
      <c r="AF862" s="58"/>
      <c r="AG862" s="58"/>
      <c r="AH862" s="58"/>
      <c r="AI862" s="58"/>
      <c r="AJ862" s="58"/>
      <c r="AK862" s="58"/>
      <c r="AL862" s="58"/>
      <c r="AM862" s="58"/>
      <c r="AN862" s="58"/>
      <c r="AO862" s="58"/>
      <c r="AP862" s="58"/>
      <c r="AQ862" s="58"/>
      <c r="AR862" s="58"/>
    </row>
    <row r="863" spans="1:44" ht="15.75" customHeight="1" x14ac:dyDescent="0.25">
      <c r="A863" s="64"/>
      <c r="B863" s="62"/>
      <c r="C863" s="62"/>
      <c r="D863" s="62"/>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c r="AE863" s="58"/>
      <c r="AF863" s="58"/>
      <c r="AG863" s="58"/>
      <c r="AH863" s="58"/>
      <c r="AI863" s="58"/>
      <c r="AJ863" s="58"/>
      <c r="AK863" s="58"/>
      <c r="AL863" s="58"/>
      <c r="AM863" s="58"/>
      <c r="AN863" s="58"/>
      <c r="AO863" s="58"/>
      <c r="AP863" s="58"/>
      <c r="AQ863" s="58"/>
      <c r="AR863" s="58"/>
    </row>
    <row r="864" spans="1:44" ht="15.75" customHeight="1" x14ac:dyDescent="0.25">
      <c r="A864" s="64"/>
      <c r="B864" s="62"/>
      <c r="C864" s="62"/>
      <c r="D864" s="62"/>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c r="AE864" s="58"/>
      <c r="AF864" s="58"/>
      <c r="AG864" s="58"/>
      <c r="AH864" s="58"/>
      <c r="AI864" s="58"/>
      <c r="AJ864" s="58"/>
      <c r="AK864" s="58"/>
      <c r="AL864" s="58"/>
      <c r="AM864" s="58"/>
      <c r="AN864" s="58"/>
      <c r="AO864" s="58"/>
      <c r="AP864" s="58"/>
      <c r="AQ864" s="58"/>
      <c r="AR864" s="58"/>
    </row>
    <row r="865" spans="1:44" ht="15.75" customHeight="1" x14ac:dyDescent="0.25">
      <c r="A865" s="64"/>
      <c r="B865" s="62"/>
      <c r="C865" s="62"/>
      <c r="D865" s="62"/>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c r="AE865" s="58"/>
      <c r="AF865" s="58"/>
      <c r="AG865" s="58"/>
      <c r="AH865" s="58"/>
      <c r="AI865" s="58"/>
      <c r="AJ865" s="58"/>
      <c r="AK865" s="58"/>
      <c r="AL865" s="58"/>
      <c r="AM865" s="58"/>
      <c r="AN865" s="58"/>
      <c r="AO865" s="58"/>
      <c r="AP865" s="58"/>
      <c r="AQ865" s="58"/>
      <c r="AR865" s="58"/>
    </row>
    <row r="866" spans="1:44" ht="15.75" customHeight="1" x14ac:dyDescent="0.25">
      <c r="A866" s="64"/>
      <c r="B866" s="62"/>
      <c r="C866" s="62"/>
      <c r="D866" s="62"/>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c r="AE866" s="58"/>
      <c r="AF866" s="58"/>
      <c r="AG866" s="58"/>
      <c r="AH866" s="58"/>
      <c r="AI866" s="58"/>
      <c r="AJ866" s="58"/>
      <c r="AK866" s="58"/>
      <c r="AL866" s="58"/>
      <c r="AM866" s="58"/>
      <c r="AN866" s="58"/>
      <c r="AO866" s="58"/>
      <c r="AP866" s="58"/>
      <c r="AQ866" s="58"/>
      <c r="AR866" s="58"/>
    </row>
    <row r="867" spans="1:44" ht="15.75" customHeight="1" x14ac:dyDescent="0.25">
      <c r="A867" s="64"/>
      <c r="B867" s="62"/>
      <c r="C867" s="62"/>
      <c r="D867" s="62"/>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c r="AE867" s="58"/>
      <c r="AF867" s="58"/>
      <c r="AG867" s="58"/>
      <c r="AH867" s="58"/>
      <c r="AI867" s="58"/>
      <c r="AJ867" s="58"/>
      <c r="AK867" s="58"/>
      <c r="AL867" s="58"/>
      <c r="AM867" s="58"/>
      <c r="AN867" s="58"/>
      <c r="AO867" s="58"/>
      <c r="AP867" s="58"/>
      <c r="AQ867" s="58"/>
      <c r="AR867" s="58"/>
    </row>
    <row r="868" spans="1:44" ht="15.75" customHeight="1" x14ac:dyDescent="0.25">
      <c r="A868" s="64"/>
      <c r="B868" s="62"/>
      <c r="C868" s="62"/>
      <c r="D868" s="62"/>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c r="AE868" s="58"/>
      <c r="AF868" s="58"/>
      <c r="AG868" s="58"/>
      <c r="AH868" s="58"/>
      <c r="AI868" s="58"/>
      <c r="AJ868" s="58"/>
      <c r="AK868" s="58"/>
      <c r="AL868" s="58"/>
      <c r="AM868" s="58"/>
      <c r="AN868" s="58"/>
      <c r="AO868" s="58"/>
      <c r="AP868" s="58"/>
      <c r="AQ868" s="58"/>
      <c r="AR868" s="58"/>
    </row>
    <row r="869" spans="1:44" ht="15.75" customHeight="1" x14ac:dyDescent="0.25">
      <c r="A869" s="64"/>
      <c r="B869" s="62"/>
      <c r="C869" s="62"/>
      <c r="D869" s="62"/>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c r="AE869" s="58"/>
      <c r="AF869" s="58"/>
      <c r="AG869" s="58"/>
      <c r="AH869" s="58"/>
      <c r="AI869" s="58"/>
      <c r="AJ869" s="58"/>
      <c r="AK869" s="58"/>
      <c r="AL869" s="58"/>
      <c r="AM869" s="58"/>
      <c r="AN869" s="58"/>
      <c r="AO869" s="58"/>
      <c r="AP869" s="58"/>
      <c r="AQ869" s="58"/>
      <c r="AR869" s="58"/>
    </row>
    <row r="870" spans="1:44" ht="15.75" customHeight="1" x14ac:dyDescent="0.25">
      <c r="A870" s="64"/>
      <c r="B870" s="62"/>
      <c r="C870" s="62"/>
      <c r="D870" s="62"/>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c r="AE870" s="58"/>
      <c r="AF870" s="58"/>
      <c r="AG870" s="58"/>
      <c r="AH870" s="58"/>
      <c r="AI870" s="58"/>
      <c r="AJ870" s="58"/>
      <c r="AK870" s="58"/>
      <c r="AL870" s="58"/>
      <c r="AM870" s="58"/>
      <c r="AN870" s="58"/>
      <c r="AO870" s="58"/>
      <c r="AP870" s="58"/>
      <c r="AQ870" s="58"/>
      <c r="AR870" s="58"/>
    </row>
    <row r="871" spans="1:44" ht="15.75" customHeight="1" x14ac:dyDescent="0.25">
      <c r="A871" s="64"/>
      <c r="B871" s="62"/>
      <c r="C871" s="62"/>
      <c r="D871" s="62"/>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c r="AE871" s="58"/>
      <c r="AF871" s="58"/>
      <c r="AG871" s="58"/>
      <c r="AH871" s="58"/>
      <c r="AI871" s="58"/>
      <c r="AJ871" s="58"/>
      <c r="AK871" s="58"/>
      <c r="AL871" s="58"/>
      <c r="AM871" s="58"/>
      <c r="AN871" s="58"/>
      <c r="AO871" s="58"/>
      <c r="AP871" s="58"/>
      <c r="AQ871" s="58"/>
      <c r="AR871" s="58"/>
    </row>
    <row r="872" spans="1:44" ht="15.75" customHeight="1" x14ac:dyDescent="0.25">
      <c r="A872" s="64"/>
      <c r="B872" s="62"/>
      <c r="C872" s="62"/>
      <c r="D872" s="62"/>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c r="AE872" s="58"/>
      <c r="AF872" s="58"/>
      <c r="AG872" s="58"/>
      <c r="AH872" s="58"/>
      <c r="AI872" s="58"/>
      <c r="AJ872" s="58"/>
      <c r="AK872" s="58"/>
      <c r="AL872" s="58"/>
      <c r="AM872" s="58"/>
      <c r="AN872" s="58"/>
      <c r="AO872" s="58"/>
      <c r="AP872" s="58"/>
      <c r="AQ872" s="58"/>
      <c r="AR872" s="58"/>
    </row>
    <row r="873" spans="1:44" ht="15.75" customHeight="1" x14ac:dyDescent="0.25">
      <c r="A873" s="64"/>
      <c r="B873" s="62"/>
      <c r="C873" s="62"/>
      <c r="D873" s="62"/>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c r="AE873" s="58"/>
      <c r="AF873" s="58"/>
      <c r="AG873" s="58"/>
      <c r="AH873" s="58"/>
      <c r="AI873" s="58"/>
      <c r="AJ873" s="58"/>
      <c r="AK873" s="58"/>
      <c r="AL873" s="58"/>
      <c r="AM873" s="58"/>
      <c r="AN873" s="58"/>
      <c r="AO873" s="58"/>
      <c r="AP873" s="58"/>
      <c r="AQ873" s="58"/>
      <c r="AR873" s="58"/>
    </row>
    <row r="874" spans="1:44" ht="15.75" customHeight="1" x14ac:dyDescent="0.25">
      <c r="A874" s="64"/>
      <c r="B874" s="62"/>
      <c r="C874" s="62"/>
      <c r="D874" s="62"/>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c r="AE874" s="58"/>
      <c r="AF874" s="58"/>
      <c r="AG874" s="58"/>
      <c r="AH874" s="58"/>
      <c r="AI874" s="58"/>
      <c r="AJ874" s="58"/>
      <c r="AK874" s="58"/>
      <c r="AL874" s="58"/>
      <c r="AM874" s="58"/>
      <c r="AN874" s="58"/>
      <c r="AO874" s="58"/>
      <c r="AP874" s="58"/>
      <c r="AQ874" s="58"/>
      <c r="AR874" s="58"/>
    </row>
    <row r="875" spans="1:44" ht="15.75" customHeight="1" x14ac:dyDescent="0.25">
      <c r="A875" s="64"/>
      <c r="B875" s="62"/>
      <c r="C875" s="62"/>
      <c r="D875" s="62"/>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c r="AE875" s="58"/>
      <c r="AF875" s="58"/>
      <c r="AG875" s="58"/>
      <c r="AH875" s="58"/>
      <c r="AI875" s="58"/>
      <c r="AJ875" s="58"/>
      <c r="AK875" s="58"/>
      <c r="AL875" s="58"/>
      <c r="AM875" s="58"/>
      <c r="AN875" s="58"/>
      <c r="AO875" s="58"/>
      <c r="AP875" s="58"/>
      <c r="AQ875" s="58"/>
      <c r="AR875" s="58"/>
    </row>
    <row r="876" spans="1:44" ht="15.75" customHeight="1" x14ac:dyDescent="0.25">
      <c r="A876" s="64"/>
      <c r="B876" s="62"/>
      <c r="C876" s="62"/>
      <c r="D876" s="62"/>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c r="AE876" s="58"/>
      <c r="AF876" s="58"/>
      <c r="AG876" s="58"/>
      <c r="AH876" s="58"/>
      <c r="AI876" s="58"/>
      <c r="AJ876" s="58"/>
      <c r="AK876" s="58"/>
      <c r="AL876" s="58"/>
      <c r="AM876" s="58"/>
      <c r="AN876" s="58"/>
      <c r="AO876" s="58"/>
      <c r="AP876" s="58"/>
      <c r="AQ876" s="58"/>
      <c r="AR876" s="58"/>
    </row>
    <row r="877" spans="1:44" ht="15.75" customHeight="1" x14ac:dyDescent="0.25">
      <c r="A877" s="64"/>
      <c r="B877" s="62"/>
      <c r="C877" s="62"/>
      <c r="D877" s="62"/>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c r="AE877" s="58"/>
      <c r="AF877" s="58"/>
      <c r="AG877" s="58"/>
      <c r="AH877" s="58"/>
      <c r="AI877" s="58"/>
      <c r="AJ877" s="58"/>
      <c r="AK877" s="58"/>
      <c r="AL877" s="58"/>
      <c r="AM877" s="58"/>
      <c r="AN877" s="58"/>
      <c r="AO877" s="58"/>
      <c r="AP877" s="58"/>
      <c r="AQ877" s="58"/>
      <c r="AR877" s="58"/>
    </row>
    <row r="878" spans="1:44" ht="15.75" customHeight="1" x14ac:dyDescent="0.25">
      <c r="A878" s="64"/>
      <c r="B878" s="62"/>
      <c r="C878" s="62"/>
      <c r="D878" s="62"/>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c r="AE878" s="58"/>
      <c r="AF878" s="58"/>
      <c r="AG878" s="58"/>
      <c r="AH878" s="58"/>
      <c r="AI878" s="58"/>
      <c r="AJ878" s="58"/>
      <c r="AK878" s="58"/>
      <c r="AL878" s="58"/>
      <c r="AM878" s="58"/>
      <c r="AN878" s="58"/>
      <c r="AO878" s="58"/>
      <c r="AP878" s="58"/>
      <c r="AQ878" s="58"/>
      <c r="AR878" s="58"/>
    </row>
    <row r="879" spans="1:44" ht="15.75" customHeight="1" x14ac:dyDescent="0.25">
      <c r="A879" s="64"/>
      <c r="B879" s="62"/>
      <c r="C879" s="62"/>
      <c r="D879" s="62"/>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c r="AE879" s="58"/>
      <c r="AF879" s="58"/>
      <c r="AG879" s="58"/>
      <c r="AH879" s="58"/>
      <c r="AI879" s="58"/>
      <c r="AJ879" s="58"/>
      <c r="AK879" s="58"/>
      <c r="AL879" s="58"/>
      <c r="AM879" s="58"/>
      <c r="AN879" s="58"/>
      <c r="AO879" s="58"/>
      <c r="AP879" s="58"/>
      <c r="AQ879" s="58"/>
      <c r="AR879" s="58"/>
    </row>
    <row r="880" spans="1:44" ht="15.75" customHeight="1" x14ac:dyDescent="0.25">
      <c r="A880" s="64"/>
      <c r="B880" s="62"/>
      <c r="C880" s="62"/>
      <c r="D880" s="62"/>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c r="AE880" s="58"/>
      <c r="AF880" s="58"/>
      <c r="AG880" s="58"/>
      <c r="AH880" s="58"/>
      <c r="AI880" s="58"/>
      <c r="AJ880" s="58"/>
      <c r="AK880" s="58"/>
      <c r="AL880" s="58"/>
      <c r="AM880" s="58"/>
      <c r="AN880" s="58"/>
      <c r="AO880" s="58"/>
      <c r="AP880" s="58"/>
      <c r="AQ880" s="58"/>
      <c r="AR880" s="58"/>
    </row>
    <row r="881" spans="1:44" ht="15.75" customHeight="1" x14ac:dyDescent="0.25">
      <c r="A881" s="64"/>
      <c r="B881" s="62"/>
      <c r="C881" s="62"/>
      <c r="D881" s="62"/>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c r="AE881" s="58"/>
      <c r="AF881" s="58"/>
      <c r="AG881" s="58"/>
      <c r="AH881" s="58"/>
      <c r="AI881" s="58"/>
      <c r="AJ881" s="58"/>
      <c r="AK881" s="58"/>
      <c r="AL881" s="58"/>
      <c r="AM881" s="58"/>
      <c r="AN881" s="58"/>
      <c r="AO881" s="58"/>
      <c r="AP881" s="58"/>
      <c r="AQ881" s="58"/>
      <c r="AR881" s="58"/>
    </row>
    <row r="882" spans="1:44" ht="15.75" customHeight="1" x14ac:dyDescent="0.25">
      <c r="A882" s="64"/>
      <c r="B882" s="62"/>
      <c r="C882" s="62"/>
      <c r="D882" s="62"/>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c r="AE882" s="58"/>
      <c r="AF882" s="58"/>
      <c r="AG882" s="58"/>
      <c r="AH882" s="58"/>
      <c r="AI882" s="58"/>
      <c r="AJ882" s="58"/>
      <c r="AK882" s="58"/>
      <c r="AL882" s="58"/>
      <c r="AM882" s="58"/>
      <c r="AN882" s="58"/>
      <c r="AO882" s="58"/>
      <c r="AP882" s="58"/>
      <c r="AQ882" s="58"/>
      <c r="AR882" s="58"/>
    </row>
    <row r="883" spans="1:44" ht="15.75" customHeight="1" x14ac:dyDescent="0.25">
      <c r="A883" s="64"/>
      <c r="B883" s="62"/>
      <c r="C883" s="62"/>
      <c r="D883" s="62"/>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c r="AE883" s="58"/>
      <c r="AF883" s="58"/>
      <c r="AG883" s="58"/>
      <c r="AH883" s="58"/>
      <c r="AI883" s="58"/>
      <c r="AJ883" s="58"/>
      <c r="AK883" s="58"/>
      <c r="AL883" s="58"/>
      <c r="AM883" s="58"/>
      <c r="AN883" s="58"/>
      <c r="AO883" s="58"/>
      <c r="AP883" s="58"/>
      <c r="AQ883" s="58"/>
      <c r="AR883" s="58"/>
    </row>
    <row r="884" spans="1:44" ht="15.75" customHeight="1" x14ac:dyDescent="0.25">
      <c r="A884" s="64"/>
      <c r="B884" s="62"/>
      <c r="C884" s="62"/>
      <c r="D884" s="62"/>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c r="AE884" s="58"/>
      <c r="AF884" s="58"/>
      <c r="AG884" s="58"/>
      <c r="AH884" s="58"/>
      <c r="AI884" s="58"/>
      <c r="AJ884" s="58"/>
      <c r="AK884" s="58"/>
      <c r="AL884" s="58"/>
      <c r="AM884" s="58"/>
      <c r="AN884" s="58"/>
      <c r="AO884" s="58"/>
      <c r="AP884" s="58"/>
      <c r="AQ884" s="58"/>
      <c r="AR884" s="58"/>
    </row>
    <row r="885" spans="1:44" ht="15.75" customHeight="1" x14ac:dyDescent="0.25">
      <c r="A885" s="64"/>
      <c r="B885" s="62"/>
      <c r="C885" s="62"/>
      <c r="D885" s="62"/>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c r="AE885" s="58"/>
      <c r="AF885" s="58"/>
      <c r="AG885" s="58"/>
      <c r="AH885" s="58"/>
      <c r="AI885" s="58"/>
      <c r="AJ885" s="58"/>
      <c r="AK885" s="58"/>
      <c r="AL885" s="58"/>
      <c r="AM885" s="58"/>
      <c r="AN885" s="58"/>
      <c r="AO885" s="58"/>
      <c r="AP885" s="58"/>
      <c r="AQ885" s="58"/>
      <c r="AR885" s="58"/>
    </row>
    <row r="886" spans="1:44" ht="15.75" customHeight="1" x14ac:dyDescent="0.25">
      <c r="A886" s="64"/>
      <c r="B886" s="62"/>
      <c r="C886" s="62"/>
      <c r="D886" s="62"/>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c r="AE886" s="58"/>
      <c r="AF886" s="58"/>
      <c r="AG886" s="58"/>
      <c r="AH886" s="58"/>
      <c r="AI886" s="58"/>
      <c r="AJ886" s="58"/>
      <c r="AK886" s="58"/>
      <c r="AL886" s="58"/>
      <c r="AM886" s="58"/>
      <c r="AN886" s="58"/>
      <c r="AO886" s="58"/>
      <c r="AP886" s="58"/>
      <c r="AQ886" s="58"/>
      <c r="AR886" s="58"/>
    </row>
    <row r="887" spans="1:44" ht="15.75" customHeight="1" x14ac:dyDescent="0.25">
      <c r="A887" s="64"/>
      <c r="B887" s="62"/>
      <c r="C887" s="62"/>
      <c r="D887" s="62"/>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c r="AE887" s="58"/>
      <c r="AF887" s="58"/>
      <c r="AG887" s="58"/>
      <c r="AH887" s="58"/>
      <c r="AI887" s="58"/>
      <c r="AJ887" s="58"/>
      <c r="AK887" s="58"/>
      <c r="AL887" s="58"/>
      <c r="AM887" s="58"/>
      <c r="AN887" s="58"/>
      <c r="AO887" s="58"/>
      <c r="AP887" s="58"/>
      <c r="AQ887" s="58"/>
      <c r="AR887" s="58"/>
    </row>
    <row r="888" spans="1:44" ht="15.75" customHeight="1" x14ac:dyDescent="0.25">
      <c r="A888" s="64"/>
      <c r="B888" s="62"/>
      <c r="C888" s="62"/>
      <c r="D888" s="62"/>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c r="AE888" s="58"/>
      <c r="AF888" s="58"/>
      <c r="AG888" s="58"/>
      <c r="AH888" s="58"/>
      <c r="AI888" s="58"/>
      <c r="AJ888" s="58"/>
      <c r="AK888" s="58"/>
      <c r="AL888" s="58"/>
      <c r="AM888" s="58"/>
      <c r="AN888" s="58"/>
      <c r="AO888" s="58"/>
      <c r="AP888" s="58"/>
      <c r="AQ888" s="58"/>
      <c r="AR888" s="58"/>
    </row>
    <row r="889" spans="1:44" ht="15.75" customHeight="1" x14ac:dyDescent="0.25">
      <c r="A889" s="64"/>
      <c r="B889" s="62"/>
      <c r="C889" s="62"/>
      <c r="D889" s="62"/>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c r="AE889" s="58"/>
      <c r="AF889" s="58"/>
      <c r="AG889" s="58"/>
      <c r="AH889" s="58"/>
      <c r="AI889" s="58"/>
      <c r="AJ889" s="58"/>
      <c r="AK889" s="58"/>
      <c r="AL889" s="58"/>
      <c r="AM889" s="58"/>
      <c r="AN889" s="58"/>
      <c r="AO889" s="58"/>
      <c r="AP889" s="58"/>
      <c r="AQ889" s="58"/>
      <c r="AR889" s="58"/>
    </row>
    <row r="890" spans="1:44" ht="15.75" customHeight="1" x14ac:dyDescent="0.25">
      <c r="A890" s="64"/>
      <c r="B890" s="62"/>
      <c r="C890" s="62"/>
      <c r="D890" s="62"/>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c r="AE890" s="58"/>
      <c r="AF890" s="58"/>
      <c r="AG890" s="58"/>
      <c r="AH890" s="58"/>
      <c r="AI890" s="58"/>
      <c r="AJ890" s="58"/>
      <c r="AK890" s="58"/>
      <c r="AL890" s="58"/>
      <c r="AM890" s="58"/>
      <c r="AN890" s="58"/>
      <c r="AO890" s="58"/>
      <c r="AP890" s="58"/>
      <c r="AQ890" s="58"/>
      <c r="AR890" s="58"/>
    </row>
    <row r="891" spans="1:44" ht="15.75" customHeight="1" x14ac:dyDescent="0.25">
      <c r="A891" s="64"/>
      <c r="B891" s="62"/>
      <c r="C891" s="62"/>
      <c r="D891" s="62"/>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c r="AE891" s="58"/>
      <c r="AF891" s="58"/>
      <c r="AG891" s="58"/>
      <c r="AH891" s="58"/>
      <c r="AI891" s="58"/>
      <c r="AJ891" s="58"/>
      <c r="AK891" s="58"/>
      <c r="AL891" s="58"/>
      <c r="AM891" s="58"/>
      <c r="AN891" s="58"/>
      <c r="AO891" s="58"/>
      <c r="AP891" s="58"/>
      <c r="AQ891" s="58"/>
      <c r="AR891" s="58"/>
    </row>
    <row r="892" spans="1:44" ht="15.75" customHeight="1" x14ac:dyDescent="0.25">
      <c r="A892" s="64"/>
      <c r="B892" s="62"/>
      <c r="C892" s="62"/>
      <c r="D892" s="62"/>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c r="AE892" s="58"/>
      <c r="AF892" s="58"/>
      <c r="AG892" s="58"/>
      <c r="AH892" s="58"/>
      <c r="AI892" s="58"/>
      <c r="AJ892" s="58"/>
      <c r="AK892" s="58"/>
      <c r="AL892" s="58"/>
      <c r="AM892" s="58"/>
      <c r="AN892" s="58"/>
      <c r="AO892" s="58"/>
      <c r="AP892" s="58"/>
      <c r="AQ892" s="58"/>
      <c r="AR892" s="58"/>
    </row>
    <row r="893" spans="1:44" ht="15.75" customHeight="1" x14ac:dyDescent="0.25">
      <c r="A893" s="64"/>
      <c r="B893" s="62"/>
      <c r="C893" s="62"/>
      <c r="D893" s="62"/>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c r="AE893" s="58"/>
      <c r="AF893" s="58"/>
      <c r="AG893" s="58"/>
      <c r="AH893" s="58"/>
      <c r="AI893" s="58"/>
      <c r="AJ893" s="58"/>
      <c r="AK893" s="58"/>
      <c r="AL893" s="58"/>
      <c r="AM893" s="58"/>
      <c r="AN893" s="58"/>
      <c r="AO893" s="58"/>
      <c r="AP893" s="58"/>
      <c r="AQ893" s="58"/>
      <c r="AR893" s="58"/>
    </row>
    <row r="894" spans="1:44" ht="15.75" customHeight="1" x14ac:dyDescent="0.25">
      <c r="A894" s="64"/>
      <c r="B894" s="62"/>
      <c r="C894" s="62"/>
      <c r="D894" s="62"/>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c r="AE894" s="58"/>
      <c r="AF894" s="58"/>
      <c r="AG894" s="58"/>
      <c r="AH894" s="58"/>
      <c r="AI894" s="58"/>
      <c r="AJ894" s="58"/>
      <c r="AK894" s="58"/>
      <c r="AL894" s="58"/>
      <c r="AM894" s="58"/>
      <c r="AN894" s="58"/>
      <c r="AO894" s="58"/>
      <c r="AP894" s="58"/>
      <c r="AQ894" s="58"/>
      <c r="AR894" s="58"/>
    </row>
    <row r="895" spans="1:44" ht="15.75" customHeight="1" x14ac:dyDescent="0.25">
      <c r="A895" s="64"/>
      <c r="B895" s="62"/>
      <c r="C895" s="62"/>
      <c r="D895" s="62"/>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c r="AE895" s="58"/>
      <c r="AF895" s="58"/>
      <c r="AG895" s="58"/>
      <c r="AH895" s="58"/>
      <c r="AI895" s="58"/>
      <c r="AJ895" s="58"/>
      <c r="AK895" s="58"/>
      <c r="AL895" s="58"/>
      <c r="AM895" s="58"/>
      <c r="AN895" s="58"/>
      <c r="AO895" s="58"/>
      <c r="AP895" s="58"/>
      <c r="AQ895" s="58"/>
      <c r="AR895" s="58"/>
    </row>
    <row r="896" spans="1:44" ht="15.75" customHeight="1" x14ac:dyDescent="0.25">
      <c r="A896" s="64"/>
      <c r="B896" s="62"/>
      <c r="C896" s="62"/>
      <c r="D896" s="62"/>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c r="AE896" s="58"/>
      <c r="AF896" s="58"/>
      <c r="AG896" s="58"/>
      <c r="AH896" s="58"/>
      <c r="AI896" s="58"/>
      <c r="AJ896" s="58"/>
      <c r="AK896" s="58"/>
      <c r="AL896" s="58"/>
      <c r="AM896" s="58"/>
      <c r="AN896" s="58"/>
      <c r="AO896" s="58"/>
      <c r="AP896" s="58"/>
      <c r="AQ896" s="58"/>
      <c r="AR896" s="58"/>
    </row>
    <row r="897" spans="1:44" ht="15.75" customHeight="1" x14ac:dyDescent="0.25">
      <c r="A897" s="64"/>
      <c r="B897" s="62"/>
      <c r="C897" s="62"/>
      <c r="D897" s="62"/>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c r="AE897" s="58"/>
      <c r="AF897" s="58"/>
      <c r="AG897" s="58"/>
      <c r="AH897" s="58"/>
      <c r="AI897" s="58"/>
      <c r="AJ897" s="58"/>
      <c r="AK897" s="58"/>
      <c r="AL897" s="58"/>
      <c r="AM897" s="58"/>
      <c r="AN897" s="58"/>
      <c r="AO897" s="58"/>
      <c r="AP897" s="58"/>
      <c r="AQ897" s="58"/>
      <c r="AR897" s="58"/>
    </row>
    <row r="898" spans="1:44" ht="15.75" customHeight="1" x14ac:dyDescent="0.25">
      <c r="A898" s="64"/>
      <c r="B898" s="62"/>
      <c r="C898" s="62"/>
      <c r="D898" s="62"/>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c r="AE898" s="58"/>
      <c r="AF898" s="58"/>
      <c r="AG898" s="58"/>
      <c r="AH898" s="58"/>
      <c r="AI898" s="58"/>
      <c r="AJ898" s="58"/>
      <c r="AK898" s="58"/>
      <c r="AL898" s="58"/>
      <c r="AM898" s="58"/>
      <c r="AN898" s="58"/>
      <c r="AO898" s="58"/>
      <c r="AP898" s="58"/>
      <c r="AQ898" s="58"/>
      <c r="AR898" s="58"/>
    </row>
    <row r="899" spans="1:44" ht="15.75" customHeight="1" x14ac:dyDescent="0.25">
      <c r="A899" s="64"/>
      <c r="B899" s="62"/>
      <c r="C899" s="62"/>
      <c r="D899" s="62"/>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c r="AE899" s="58"/>
      <c r="AF899" s="58"/>
      <c r="AG899" s="58"/>
      <c r="AH899" s="58"/>
      <c r="AI899" s="58"/>
      <c r="AJ899" s="58"/>
      <c r="AK899" s="58"/>
      <c r="AL899" s="58"/>
      <c r="AM899" s="58"/>
      <c r="AN899" s="58"/>
      <c r="AO899" s="58"/>
      <c r="AP899" s="58"/>
      <c r="AQ899" s="58"/>
      <c r="AR899" s="58"/>
    </row>
    <row r="900" spans="1:44" ht="15.75" customHeight="1" x14ac:dyDescent="0.25">
      <c r="A900" s="64"/>
      <c r="B900" s="62"/>
      <c r="C900" s="62"/>
      <c r="D900" s="62"/>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c r="AE900" s="58"/>
      <c r="AF900" s="58"/>
      <c r="AG900" s="58"/>
      <c r="AH900" s="58"/>
      <c r="AI900" s="58"/>
      <c r="AJ900" s="58"/>
      <c r="AK900" s="58"/>
      <c r="AL900" s="58"/>
      <c r="AM900" s="58"/>
      <c r="AN900" s="58"/>
      <c r="AO900" s="58"/>
      <c r="AP900" s="58"/>
      <c r="AQ900" s="58"/>
      <c r="AR900" s="58"/>
    </row>
    <row r="901" spans="1:44" ht="15.75" customHeight="1" x14ac:dyDescent="0.25">
      <c r="A901" s="64"/>
      <c r="B901" s="62"/>
      <c r="C901" s="62"/>
      <c r="D901" s="62"/>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c r="AE901" s="58"/>
      <c r="AF901" s="58"/>
      <c r="AG901" s="58"/>
      <c r="AH901" s="58"/>
      <c r="AI901" s="58"/>
      <c r="AJ901" s="58"/>
      <c r="AK901" s="58"/>
      <c r="AL901" s="58"/>
      <c r="AM901" s="58"/>
      <c r="AN901" s="58"/>
      <c r="AO901" s="58"/>
      <c r="AP901" s="58"/>
      <c r="AQ901" s="58"/>
      <c r="AR901" s="58"/>
    </row>
    <row r="902" spans="1:44" ht="15.75" customHeight="1" x14ac:dyDescent="0.25">
      <c r="A902" s="64"/>
      <c r="B902" s="62"/>
      <c r="C902" s="62"/>
      <c r="D902" s="62"/>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c r="AE902" s="58"/>
      <c r="AF902" s="58"/>
      <c r="AG902" s="58"/>
      <c r="AH902" s="58"/>
      <c r="AI902" s="58"/>
      <c r="AJ902" s="58"/>
      <c r="AK902" s="58"/>
      <c r="AL902" s="58"/>
      <c r="AM902" s="58"/>
      <c r="AN902" s="58"/>
      <c r="AO902" s="58"/>
      <c r="AP902" s="58"/>
      <c r="AQ902" s="58"/>
      <c r="AR902" s="58"/>
    </row>
    <row r="903" spans="1:44" ht="15.75" customHeight="1" x14ac:dyDescent="0.25">
      <c r="A903" s="64"/>
      <c r="B903" s="62"/>
      <c r="C903" s="62"/>
      <c r="D903" s="62"/>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c r="AE903" s="58"/>
      <c r="AF903" s="58"/>
      <c r="AG903" s="58"/>
      <c r="AH903" s="58"/>
      <c r="AI903" s="58"/>
      <c r="AJ903" s="58"/>
      <c r="AK903" s="58"/>
      <c r="AL903" s="58"/>
      <c r="AM903" s="58"/>
      <c r="AN903" s="58"/>
      <c r="AO903" s="58"/>
      <c r="AP903" s="58"/>
      <c r="AQ903" s="58"/>
      <c r="AR903" s="58"/>
    </row>
    <row r="904" spans="1:44" ht="15.75" customHeight="1" x14ac:dyDescent="0.25">
      <c r="A904" s="64"/>
      <c r="B904" s="62"/>
      <c r="C904" s="62"/>
      <c r="D904" s="62"/>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c r="AE904" s="58"/>
      <c r="AF904" s="58"/>
      <c r="AG904" s="58"/>
      <c r="AH904" s="58"/>
      <c r="AI904" s="58"/>
      <c r="AJ904" s="58"/>
      <c r="AK904" s="58"/>
      <c r="AL904" s="58"/>
      <c r="AM904" s="58"/>
      <c r="AN904" s="58"/>
      <c r="AO904" s="58"/>
      <c r="AP904" s="58"/>
      <c r="AQ904" s="58"/>
      <c r="AR904" s="58"/>
    </row>
    <row r="905" spans="1:44" ht="15.75" customHeight="1" x14ac:dyDescent="0.25">
      <c r="A905" s="64"/>
      <c r="B905" s="62"/>
      <c r="C905" s="62"/>
      <c r="D905" s="62"/>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c r="AE905" s="58"/>
      <c r="AF905" s="58"/>
      <c r="AG905" s="58"/>
      <c r="AH905" s="58"/>
      <c r="AI905" s="58"/>
      <c r="AJ905" s="58"/>
      <c r="AK905" s="58"/>
      <c r="AL905" s="58"/>
      <c r="AM905" s="58"/>
      <c r="AN905" s="58"/>
      <c r="AO905" s="58"/>
      <c r="AP905" s="58"/>
      <c r="AQ905" s="58"/>
      <c r="AR905" s="58"/>
    </row>
    <row r="906" spans="1:44" ht="15.75" customHeight="1" x14ac:dyDescent="0.25">
      <c r="A906" s="64"/>
      <c r="B906" s="62"/>
      <c r="C906" s="62"/>
      <c r="D906" s="62"/>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c r="AE906" s="58"/>
      <c r="AF906" s="58"/>
      <c r="AG906" s="58"/>
      <c r="AH906" s="58"/>
      <c r="AI906" s="58"/>
      <c r="AJ906" s="58"/>
      <c r="AK906" s="58"/>
      <c r="AL906" s="58"/>
      <c r="AM906" s="58"/>
      <c r="AN906" s="58"/>
      <c r="AO906" s="58"/>
      <c r="AP906" s="58"/>
      <c r="AQ906" s="58"/>
      <c r="AR906" s="58"/>
    </row>
    <row r="907" spans="1:44" ht="15.75" customHeight="1" x14ac:dyDescent="0.25">
      <c r="A907" s="64"/>
      <c r="B907" s="62"/>
      <c r="C907" s="62"/>
      <c r="D907" s="62"/>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c r="AE907" s="58"/>
      <c r="AF907" s="58"/>
      <c r="AG907" s="58"/>
      <c r="AH907" s="58"/>
      <c r="AI907" s="58"/>
      <c r="AJ907" s="58"/>
      <c r="AK907" s="58"/>
      <c r="AL907" s="58"/>
      <c r="AM907" s="58"/>
      <c r="AN907" s="58"/>
      <c r="AO907" s="58"/>
      <c r="AP907" s="58"/>
      <c r="AQ907" s="58"/>
      <c r="AR907" s="58"/>
    </row>
    <row r="908" spans="1:44" ht="15.75" customHeight="1" x14ac:dyDescent="0.25">
      <c r="A908" s="64"/>
      <c r="B908" s="62"/>
      <c r="C908" s="62"/>
      <c r="D908" s="62"/>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c r="AE908" s="58"/>
      <c r="AF908" s="58"/>
      <c r="AG908" s="58"/>
      <c r="AH908" s="58"/>
      <c r="AI908" s="58"/>
      <c r="AJ908" s="58"/>
      <c r="AK908" s="58"/>
      <c r="AL908" s="58"/>
      <c r="AM908" s="58"/>
      <c r="AN908" s="58"/>
      <c r="AO908" s="58"/>
      <c r="AP908" s="58"/>
      <c r="AQ908" s="58"/>
      <c r="AR908" s="58"/>
    </row>
    <row r="909" spans="1:44" ht="15.75" customHeight="1" x14ac:dyDescent="0.25">
      <c r="A909" s="64"/>
      <c r="B909" s="62"/>
      <c r="C909" s="62"/>
      <c r="D909" s="62"/>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c r="AE909" s="58"/>
      <c r="AF909" s="58"/>
      <c r="AG909" s="58"/>
      <c r="AH909" s="58"/>
      <c r="AI909" s="58"/>
      <c r="AJ909" s="58"/>
      <c r="AK909" s="58"/>
      <c r="AL909" s="58"/>
      <c r="AM909" s="58"/>
      <c r="AN909" s="58"/>
      <c r="AO909" s="58"/>
      <c r="AP909" s="58"/>
      <c r="AQ909" s="58"/>
      <c r="AR909" s="58"/>
    </row>
    <row r="910" spans="1:44" ht="15.75" customHeight="1" x14ac:dyDescent="0.25">
      <c r="A910" s="64"/>
      <c r="B910" s="62"/>
      <c r="C910" s="62"/>
      <c r="D910" s="62"/>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c r="AE910" s="58"/>
      <c r="AF910" s="58"/>
      <c r="AG910" s="58"/>
      <c r="AH910" s="58"/>
      <c r="AI910" s="58"/>
      <c r="AJ910" s="58"/>
      <c r="AK910" s="58"/>
      <c r="AL910" s="58"/>
      <c r="AM910" s="58"/>
      <c r="AN910" s="58"/>
      <c r="AO910" s="58"/>
      <c r="AP910" s="58"/>
      <c r="AQ910" s="58"/>
      <c r="AR910" s="58"/>
    </row>
    <row r="911" spans="1:44" ht="15.75" customHeight="1" x14ac:dyDescent="0.25">
      <c r="A911" s="64"/>
      <c r="B911" s="62"/>
      <c r="C911" s="62"/>
      <c r="D911" s="62"/>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c r="AE911" s="58"/>
      <c r="AF911" s="58"/>
      <c r="AG911" s="58"/>
      <c r="AH911" s="58"/>
      <c r="AI911" s="58"/>
      <c r="AJ911" s="58"/>
      <c r="AK911" s="58"/>
      <c r="AL911" s="58"/>
      <c r="AM911" s="58"/>
      <c r="AN911" s="58"/>
      <c r="AO911" s="58"/>
      <c r="AP911" s="58"/>
      <c r="AQ911" s="58"/>
      <c r="AR911" s="58"/>
    </row>
    <row r="912" spans="1:44" ht="15.75" customHeight="1" x14ac:dyDescent="0.25">
      <c r="A912" s="64"/>
      <c r="B912" s="62"/>
      <c r="C912" s="62"/>
      <c r="D912" s="62"/>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c r="AE912" s="58"/>
      <c r="AF912" s="58"/>
      <c r="AG912" s="58"/>
      <c r="AH912" s="58"/>
      <c r="AI912" s="58"/>
      <c r="AJ912" s="58"/>
      <c r="AK912" s="58"/>
      <c r="AL912" s="58"/>
      <c r="AM912" s="58"/>
      <c r="AN912" s="58"/>
      <c r="AO912" s="58"/>
      <c r="AP912" s="58"/>
      <c r="AQ912" s="58"/>
      <c r="AR912" s="58"/>
    </row>
    <row r="913" spans="1:44" ht="15.75" customHeight="1" x14ac:dyDescent="0.25">
      <c r="A913" s="64"/>
      <c r="B913" s="62"/>
      <c r="C913" s="62"/>
      <c r="D913" s="62"/>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c r="AE913" s="58"/>
      <c r="AF913" s="58"/>
      <c r="AG913" s="58"/>
      <c r="AH913" s="58"/>
      <c r="AI913" s="58"/>
      <c r="AJ913" s="58"/>
      <c r="AK913" s="58"/>
      <c r="AL913" s="58"/>
      <c r="AM913" s="58"/>
      <c r="AN913" s="58"/>
      <c r="AO913" s="58"/>
      <c r="AP913" s="58"/>
      <c r="AQ913" s="58"/>
      <c r="AR913" s="58"/>
    </row>
    <row r="914" spans="1:44" ht="15.75" customHeight="1" x14ac:dyDescent="0.25">
      <c r="A914" s="64"/>
      <c r="B914" s="62"/>
      <c r="C914" s="62"/>
      <c r="D914" s="62"/>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c r="AE914" s="58"/>
      <c r="AF914" s="58"/>
      <c r="AG914" s="58"/>
      <c r="AH914" s="58"/>
      <c r="AI914" s="58"/>
      <c r="AJ914" s="58"/>
      <c r="AK914" s="58"/>
      <c r="AL914" s="58"/>
      <c r="AM914" s="58"/>
      <c r="AN914" s="58"/>
      <c r="AO914" s="58"/>
      <c r="AP914" s="58"/>
      <c r="AQ914" s="58"/>
      <c r="AR914" s="58"/>
    </row>
    <row r="915" spans="1:44" ht="15.75" customHeight="1" x14ac:dyDescent="0.25">
      <c r="A915" s="64"/>
      <c r="B915" s="62"/>
      <c r="C915" s="62"/>
      <c r="D915" s="62"/>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c r="AE915" s="58"/>
      <c r="AF915" s="58"/>
      <c r="AG915" s="58"/>
      <c r="AH915" s="58"/>
      <c r="AI915" s="58"/>
      <c r="AJ915" s="58"/>
      <c r="AK915" s="58"/>
      <c r="AL915" s="58"/>
      <c r="AM915" s="58"/>
      <c r="AN915" s="58"/>
      <c r="AO915" s="58"/>
      <c r="AP915" s="58"/>
      <c r="AQ915" s="58"/>
      <c r="AR915" s="58"/>
    </row>
    <row r="916" spans="1:44" ht="15.75" customHeight="1" x14ac:dyDescent="0.25">
      <c r="A916" s="64"/>
      <c r="B916" s="62"/>
      <c r="C916" s="62"/>
      <c r="D916" s="62"/>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c r="AE916" s="58"/>
      <c r="AF916" s="58"/>
      <c r="AG916" s="58"/>
      <c r="AH916" s="58"/>
      <c r="AI916" s="58"/>
      <c r="AJ916" s="58"/>
      <c r="AK916" s="58"/>
      <c r="AL916" s="58"/>
      <c r="AM916" s="58"/>
      <c r="AN916" s="58"/>
      <c r="AO916" s="58"/>
      <c r="AP916" s="58"/>
      <c r="AQ916" s="58"/>
      <c r="AR916" s="58"/>
    </row>
    <row r="917" spans="1:44" ht="15.75" customHeight="1" x14ac:dyDescent="0.25">
      <c r="A917" s="64"/>
      <c r="B917" s="62"/>
      <c r="C917" s="62"/>
      <c r="D917" s="62"/>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c r="AE917" s="58"/>
      <c r="AF917" s="58"/>
      <c r="AG917" s="58"/>
      <c r="AH917" s="58"/>
      <c r="AI917" s="58"/>
      <c r="AJ917" s="58"/>
      <c r="AK917" s="58"/>
      <c r="AL917" s="58"/>
      <c r="AM917" s="58"/>
      <c r="AN917" s="58"/>
      <c r="AO917" s="58"/>
      <c r="AP917" s="58"/>
      <c r="AQ917" s="58"/>
      <c r="AR917" s="58"/>
    </row>
    <row r="918" spans="1:44" ht="15.75" customHeight="1" x14ac:dyDescent="0.25">
      <c r="A918" s="64"/>
      <c r="B918" s="62"/>
      <c r="C918" s="62"/>
      <c r="D918" s="62"/>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c r="AE918" s="58"/>
      <c r="AF918" s="58"/>
      <c r="AG918" s="58"/>
      <c r="AH918" s="58"/>
      <c r="AI918" s="58"/>
      <c r="AJ918" s="58"/>
      <c r="AK918" s="58"/>
      <c r="AL918" s="58"/>
      <c r="AM918" s="58"/>
      <c r="AN918" s="58"/>
      <c r="AO918" s="58"/>
      <c r="AP918" s="58"/>
      <c r="AQ918" s="58"/>
      <c r="AR918" s="58"/>
    </row>
    <row r="919" spans="1:44" ht="15.75" customHeight="1" x14ac:dyDescent="0.25">
      <c r="A919" s="64"/>
      <c r="B919" s="62"/>
      <c r="C919" s="62"/>
      <c r="D919" s="62"/>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c r="AE919" s="58"/>
      <c r="AF919" s="58"/>
      <c r="AG919" s="58"/>
      <c r="AH919" s="58"/>
      <c r="AI919" s="58"/>
      <c r="AJ919" s="58"/>
      <c r="AK919" s="58"/>
      <c r="AL919" s="58"/>
      <c r="AM919" s="58"/>
      <c r="AN919" s="58"/>
      <c r="AO919" s="58"/>
      <c r="AP919" s="58"/>
      <c r="AQ919" s="58"/>
      <c r="AR919" s="58"/>
    </row>
    <row r="920" spans="1:44" ht="15.75" customHeight="1" x14ac:dyDescent="0.25">
      <c r="A920" s="64"/>
      <c r="B920" s="62"/>
      <c r="C920" s="62"/>
      <c r="D920" s="62"/>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c r="AE920" s="58"/>
      <c r="AF920" s="58"/>
      <c r="AG920" s="58"/>
      <c r="AH920" s="58"/>
      <c r="AI920" s="58"/>
      <c r="AJ920" s="58"/>
      <c r="AK920" s="58"/>
      <c r="AL920" s="58"/>
      <c r="AM920" s="58"/>
      <c r="AN920" s="58"/>
      <c r="AO920" s="58"/>
      <c r="AP920" s="58"/>
      <c r="AQ920" s="58"/>
      <c r="AR920" s="58"/>
    </row>
    <row r="921" spans="1:44" ht="15.75" customHeight="1" x14ac:dyDescent="0.25">
      <c r="A921" s="64"/>
      <c r="B921" s="62"/>
      <c r="C921" s="62"/>
      <c r="D921" s="62"/>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c r="AE921" s="58"/>
      <c r="AF921" s="58"/>
      <c r="AG921" s="58"/>
      <c r="AH921" s="58"/>
      <c r="AI921" s="58"/>
      <c r="AJ921" s="58"/>
      <c r="AK921" s="58"/>
      <c r="AL921" s="58"/>
      <c r="AM921" s="58"/>
      <c r="AN921" s="58"/>
      <c r="AO921" s="58"/>
      <c r="AP921" s="58"/>
      <c r="AQ921" s="58"/>
      <c r="AR921" s="58"/>
    </row>
    <row r="922" spans="1:44" ht="15.75" customHeight="1" x14ac:dyDescent="0.25">
      <c r="A922" s="64"/>
      <c r="B922" s="62"/>
      <c r="C922" s="62"/>
      <c r="D922" s="62"/>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c r="AE922" s="58"/>
      <c r="AF922" s="58"/>
      <c r="AG922" s="58"/>
      <c r="AH922" s="58"/>
      <c r="AI922" s="58"/>
      <c r="AJ922" s="58"/>
      <c r="AK922" s="58"/>
      <c r="AL922" s="58"/>
      <c r="AM922" s="58"/>
      <c r="AN922" s="58"/>
      <c r="AO922" s="58"/>
      <c r="AP922" s="58"/>
      <c r="AQ922" s="58"/>
      <c r="AR922" s="58"/>
    </row>
    <row r="923" spans="1:44" ht="15.75" customHeight="1" x14ac:dyDescent="0.25">
      <c r="A923" s="64"/>
      <c r="B923" s="62"/>
      <c r="C923" s="62"/>
      <c r="D923" s="62"/>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c r="AE923" s="58"/>
      <c r="AF923" s="58"/>
      <c r="AG923" s="58"/>
      <c r="AH923" s="58"/>
      <c r="AI923" s="58"/>
      <c r="AJ923" s="58"/>
      <c r="AK923" s="58"/>
      <c r="AL923" s="58"/>
      <c r="AM923" s="58"/>
      <c r="AN923" s="58"/>
      <c r="AO923" s="58"/>
      <c r="AP923" s="58"/>
      <c r="AQ923" s="58"/>
      <c r="AR923" s="58"/>
    </row>
    <row r="924" spans="1:44" ht="15.75" customHeight="1" x14ac:dyDescent="0.25">
      <c r="A924" s="64"/>
      <c r="B924" s="62"/>
      <c r="C924" s="62"/>
      <c r="D924" s="62"/>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c r="AE924" s="58"/>
      <c r="AF924" s="58"/>
      <c r="AG924" s="58"/>
      <c r="AH924" s="58"/>
      <c r="AI924" s="58"/>
      <c r="AJ924" s="58"/>
      <c r="AK924" s="58"/>
      <c r="AL924" s="58"/>
      <c r="AM924" s="58"/>
      <c r="AN924" s="58"/>
      <c r="AO924" s="58"/>
      <c r="AP924" s="58"/>
      <c r="AQ924" s="58"/>
      <c r="AR924" s="58"/>
    </row>
    <row r="925" spans="1:44" ht="15.75" customHeight="1" x14ac:dyDescent="0.25">
      <c r="A925" s="64"/>
      <c r="B925" s="62"/>
      <c r="C925" s="62"/>
      <c r="D925" s="62"/>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c r="AE925" s="58"/>
      <c r="AF925" s="58"/>
      <c r="AG925" s="58"/>
      <c r="AH925" s="58"/>
      <c r="AI925" s="58"/>
      <c r="AJ925" s="58"/>
      <c r="AK925" s="58"/>
      <c r="AL925" s="58"/>
      <c r="AM925" s="58"/>
      <c r="AN925" s="58"/>
      <c r="AO925" s="58"/>
      <c r="AP925" s="58"/>
      <c r="AQ925" s="58"/>
      <c r="AR925" s="58"/>
    </row>
    <row r="926" spans="1:44" ht="15.75" customHeight="1" x14ac:dyDescent="0.25">
      <c r="A926" s="64"/>
      <c r="B926" s="62"/>
      <c r="C926" s="62"/>
      <c r="D926" s="62"/>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c r="AE926" s="58"/>
      <c r="AF926" s="58"/>
      <c r="AG926" s="58"/>
      <c r="AH926" s="58"/>
      <c r="AI926" s="58"/>
      <c r="AJ926" s="58"/>
      <c r="AK926" s="58"/>
      <c r="AL926" s="58"/>
      <c r="AM926" s="58"/>
      <c r="AN926" s="58"/>
      <c r="AO926" s="58"/>
      <c r="AP926" s="58"/>
      <c r="AQ926" s="58"/>
      <c r="AR926" s="58"/>
    </row>
    <row r="927" spans="1:44" ht="15.75" customHeight="1" x14ac:dyDescent="0.25">
      <c r="A927" s="64"/>
      <c r="B927" s="62"/>
      <c r="C927" s="62"/>
      <c r="D927" s="62"/>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c r="AE927" s="58"/>
      <c r="AF927" s="58"/>
      <c r="AG927" s="58"/>
      <c r="AH927" s="58"/>
      <c r="AI927" s="58"/>
      <c r="AJ927" s="58"/>
      <c r="AK927" s="58"/>
      <c r="AL927" s="58"/>
      <c r="AM927" s="58"/>
      <c r="AN927" s="58"/>
      <c r="AO927" s="58"/>
      <c r="AP927" s="58"/>
      <c r="AQ927" s="58"/>
      <c r="AR927" s="58"/>
    </row>
    <row r="928" spans="1:44" ht="15.75" customHeight="1" x14ac:dyDescent="0.25">
      <c r="A928" s="64"/>
      <c r="B928" s="62"/>
      <c r="C928" s="62"/>
      <c r="D928" s="62"/>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c r="AE928" s="58"/>
      <c r="AF928" s="58"/>
      <c r="AG928" s="58"/>
      <c r="AH928" s="58"/>
      <c r="AI928" s="58"/>
      <c r="AJ928" s="58"/>
      <c r="AK928" s="58"/>
      <c r="AL928" s="58"/>
      <c r="AM928" s="58"/>
      <c r="AN928" s="58"/>
      <c r="AO928" s="58"/>
      <c r="AP928" s="58"/>
      <c r="AQ928" s="58"/>
      <c r="AR928" s="58"/>
    </row>
    <row r="929" spans="1:44" ht="15.75" customHeight="1" x14ac:dyDescent="0.25">
      <c r="A929" s="64"/>
      <c r="B929" s="62"/>
      <c r="C929" s="62"/>
      <c r="D929" s="62"/>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c r="AE929" s="58"/>
      <c r="AF929" s="58"/>
      <c r="AG929" s="58"/>
      <c r="AH929" s="58"/>
      <c r="AI929" s="58"/>
      <c r="AJ929" s="58"/>
      <c r="AK929" s="58"/>
      <c r="AL929" s="58"/>
      <c r="AM929" s="58"/>
      <c r="AN929" s="58"/>
      <c r="AO929" s="58"/>
      <c r="AP929" s="58"/>
      <c r="AQ929" s="58"/>
      <c r="AR929" s="58"/>
    </row>
    <row r="930" spans="1:44" ht="15.75" customHeight="1" x14ac:dyDescent="0.25">
      <c r="A930" s="64"/>
      <c r="B930" s="62"/>
      <c r="C930" s="62"/>
      <c r="D930" s="62"/>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c r="AE930" s="58"/>
      <c r="AF930" s="58"/>
      <c r="AG930" s="58"/>
      <c r="AH930" s="58"/>
      <c r="AI930" s="58"/>
      <c r="AJ930" s="58"/>
      <c r="AK930" s="58"/>
      <c r="AL930" s="58"/>
      <c r="AM930" s="58"/>
      <c r="AN930" s="58"/>
      <c r="AO930" s="58"/>
      <c r="AP930" s="58"/>
      <c r="AQ930" s="58"/>
      <c r="AR930" s="58"/>
    </row>
    <row r="931" spans="1:44" ht="15.75" customHeight="1" x14ac:dyDescent="0.25">
      <c r="A931" s="64"/>
      <c r="B931" s="62"/>
      <c r="C931" s="62"/>
      <c r="D931" s="62"/>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c r="AE931" s="58"/>
      <c r="AF931" s="58"/>
      <c r="AG931" s="58"/>
      <c r="AH931" s="58"/>
      <c r="AI931" s="58"/>
      <c r="AJ931" s="58"/>
      <c r="AK931" s="58"/>
      <c r="AL931" s="58"/>
      <c r="AM931" s="58"/>
      <c r="AN931" s="58"/>
      <c r="AO931" s="58"/>
      <c r="AP931" s="58"/>
      <c r="AQ931" s="58"/>
      <c r="AR931" s="58"/>
    </row>
    <row r="932" spans="1:44" ht="15.75" customHeight="1" x14ac:dyDescent="0.25">
      <c r="A932" s="64"/>
      <c r="B932" s="62"/>
      <c r="C932" s="62"/>
      <c r="D932" s="62"/>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c r="AE932" s="58"/>
      <c r="AF932" s="58"/>
      <c r="AG932" s="58"/>
      <c r="AH932" s="58"/>
      <c r="AI932" s="58"/>
      <c r="AJ932" s="58"/>
      <c r="AK932" s="58"/>
      <c r="AL932" s="58"/>
      <c r="AM932" s="58"/>
      <c r="AN932" s="58"/>
      <c r="AO932" s="58"/>
      <c r="AP932" s="58"/>
      <c r="AQ932" s="58"/>
      <c r="AR932" s="58"/>
    </row>
    <row r="933" spans="1:44" ht="15.75" customHeight="1" x14ac:dyDescent="0.25">
      <c r="A933" s="64"/>
      <c r="B933" s="62"/>
      <c r="C933" s="62"/>
      <c r="D933" s="62"/>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c r="AE933" s="58"/>
      <c r="AF933" s="58"/>
      <c r="AG933" s="58"/>
      <c r="AH933" s="58"/>
      <c r="AI933" s="58"/>
      <c r="AJ933" s="58"/>
      <c r="AK933" s="58"/>
      <c r="AL933" s="58"/>
      <c r="AM933" s="58"/>
      <c r="AN933" s="58"/>
      <c r="AO933" s="58"/>
      <c r="AP933" s="58"/>
      <c r="AQ933" s="58"/>
      <c r="AR933" s="58"/>
    </row>
    <row r="934" spans="1:44" ht="15.75" customHeight="1" x14ac:dyDescent="0.25">
      <c r="A934" s="64"/>
      <c r="B934" s="62"/>
      <c r="C934" s="62"/>
      <c r="D934" s="62"/>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c r="AE934" s="58"/>
      <c r="AF934" s="58"/>
      <c r="AG934" s="58"/>
      <c r="AH934" s="58"/>
      <c r="AI934" s="58"/>
      <c r="AJ934" s="58"/>
      <c r="AK934" s="58"/>
      <c r="AL934" s="58"/>
      <c r="AM934" s="58"/>
      <c r="AN934" s="58"/>
      <c r="AO934" s="58"/>
      <c r="AP934" s="58"/>
      <c r="AQ934" s="58"/>
      <c r="AR934" s="58"/>
    </row>
    <row r="935" spans="1:44" ht="15.75" customHeight="1" x14ac:dyDescent="0.25">
      <c r="A935" s="64"/>
      <c r="B935" s="62"/>
      <c r="C935" s="62"/>
      <c r="D935" s="62"/>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c r="AE935" s="58"/>
      <c r="AF935" s="58"/>
      <c r="AG935" s="58"/>
      <c r="AH935" s="58"/>
      <c r="AI935" s="58"/>
      <c r="AJ935" s="58"/>
      <c r="AK935" s="58"/>
      <c r="AL935" s="58"/>
      <c r="AM935" s="58"/>
      <c r="AN935" s="58"/>
      <c r="AO935" s="58"/>
      <c r="AP935" s="58"/>
      <c r="AQ935" s="58"/>
      <c r="AR935" s="58"/>
    </row>
    <row r="936" spans="1:44" ht="15.75" customHeight="1" x14ac:dyDescent="0.25">
      <c r="A936" s="64"/>
      <c r="B936" s="62"/>
      <c r="C936" s="62"/>
      <c r="D936" s="62"/>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c r="AE936" s="58"/>
      <c r="AF936" s="58"/>
      <c r="AG936" s="58"/>
      <c r="AH936" s="58"/>
      <c r="AI936" s="58"/>
      <c r="AJ936" s="58"/>
      <c r="AK936" s="58"/>
      <c r="AL936" s="58"/>
      <c r="AM936" s="58"/>
      <c r="AN936" s="58"/>
      <c r="AO936" s="58"/>
      <c r="AP936" s="58"/>
      <c r="AQ936" s="58"/>
      <c r="AR936" s="58"/>
    </row>
    <row r="937" spans="1:44" ht="15.75" customHeight="1" x14ac:dyDescent="0.25">
      <c r="A937" s="64"/>
      <c r="B937" s="62"/>
      <c r="C937" s="62"/>
      <c r="D937" s="62"/>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c r="AE937" s="58"/>
      <c r="AF937" s="58"/>
      <c r="AG937" s="58"/>
      <c r="AH937" s="58"/>
      <c r="AI937" s="58"/>
      <c r="AJ937" s="58"/>
      <c r="AK937" s="58"/>
      <c r="AL937" s="58"/>
      <c r="AM937" s="58"/>
      <c r="AN937" s="58"/>
      <c r="AO937" s="58"/>
      <c r="AP937" s="58"/>
      <c r="AQ937" s="58"/>
      <c r="AR937" s="58"/>
    </row>
    <row r="938" spans="1:44" ht="15.75" customHeight="1" x14ac:dyDescent="0.25">
      <c r="A938" s="64"/>
      <c r="B938" s="62"/>
      <c r="C938" s="62"/>
      <c r="D938" s="62"/>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c r="AE938" s="58"/>
      <c r="AF938" s="58"/>
      <c r="AG938" s="58"/>
      <c r="AH938" s="58"/>
      <c r="AI938" s="58"/>
      <c r="AJ938" s="58"/>
      <c r="AK938" s="58"/>
      <c r="AL938" s="58"/>
      <c r="AM938" s="58"/>
      <c r="AN938" s="58"/>
      <c r="AO938" s="58"/>
      <c r="AP938" s="58"/>
      <c r="AQ938" s="58"/>
      <c r="AR938" s="58"/>
    </row>
    <row r="939" spans="1:44" ht="15.75" customHeight="1" x14ac:dyDescent="0.25">
      <c r="A939" s="64"/>
      <c r="B939" s="62"/>
      <c r="C939" s="62"/>
      <c r="D939" s="62"/>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c r="AE939" s="58"/>
      <c r="AF939" s="58"/>
      <c r="AG939" s="58"/>
      <c r="AH939" s="58"/>
      <c r="AI939" s="58"/>
      <c r="AJ939" s="58"/>
      <c r="AK939" s="58"/>
      <c r="AL939" s="58"/>
      <c r="AM939" s="58"/>
      <c r="AN939" s="58"/>
      <c r="AO939" s="58"/>
      <c r="AP939" s="58"/>
      <c r="AQ939" s="58"/>
      <c r="AR939" s="58"/>
    </row>
    <row r="940" spans="1:44" ht="15.75" customHeight="1" x14ac:dyDescent="0.25">
      <c r="A940" s="64"/>
      <c r="B940" s="62"/>
      <c r="C940" s="62"/>
      <c r="D940" s="62"/>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c r="AE940" s="58"/>
      <c r="AF940" s="58"/>
      <c r="AG940" s="58"/>
      <c r="AH940" s="58"/>
      <c r="AI940" s="58"/>
      <c r="AJ940" s="58"/>
      <c r="AK940" s="58"/>
      <c r="AL940" s="58"/>
      <c r="AM940" s="58"/>
      <c r="AN940" s="58"/>
      <c r="AO940" s="58"/>
      <c r="AP940" s="58"/>
      <c r="AQ940" s="58"/>
      <c r="AR940" s="58"/>
    </row>
    <row r="941" spans="1:44" ht="15.75" customHeight="1" x14ac:dyDescent="0.25">
      <c r="A941" s="64"/>
      <c r="B941" s="62"/>
      <c r="C941" s="62"/>
      <c r="D941" s="62"/>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c r="AE941" s="58"/>
      <c r="AF941" s="58"/>
      <c r="AG941" s="58"/>
      <c r="AH941" s="58"/>
      <c r="AI941" s="58"/>
      <c r="AJ941" s="58"/>
      <c r="AK941" s="58"/>
      <c r="AL941" s="58"/>
      <c r="AM941" s="58"/>
      <c r="AN941" s="58"/>
      <c r="AO941" s="58"/>
      <c r="AP941" s="58"/>
      <c r="AQ941" s="58"/>
      <c r="AR941" s="58"/>
    </row>
    <row r="942" spans="1:44" ht="15.75" customHeight="1" x14ac:dyDescent="0.25">
      <c r="A942" s="64"/>
      <c r="B942" s="62"/>
      <c r="C942" s="62"/>
      <c r="D942" s="62"/>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c r="AE942" s="58"/>
      <c r="AF942" s="58"/>
      <c r="AG942" s="58"/>
      <c r="AH942" s="58"/>
      <c r="AI942" s="58"/>
      <c r="AJ942" s="58"/>
      <c r="AK942" s="58"/>
      <c r="AL942" s="58"/>
      <c r="AM942" s="58"/>
      <c r="AN942" s="58"/>
      <c r="AO942" s="58"/>
      <c r="AP942" s="58"/>
      <c r="AQ942" s="58"/>
      <c r="AR942" s="58"/>
    </row>
    <row r="943" spans="1:44" ht="15.75" customHeight="1" x14ac:dyDescent="0.25">
      <c r="A943" s="64"/>
      <c r="B943" s="62"/>
      <c r="C943" s="62"/>
      <c r="D943" s="62"/>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c r="AE943" s="58"/>
      <c r="AF943" s="58"/>
      <c r="AG943" s="58"/>
      <c r="AH943" s="58"/>
      <c r="AI943" s="58"/>
      <c r="AJ943" s="58"/>
      <c r="AK943" s="58"/>
      <c r="AL943" s="58"/>
      <c r="AM943" s="58"/>
      <c r="AN943" s="58"/>
      <c r="AO943" s="58"/>
      <c r="AP943" s="58"/>
      <c r="AQ943" s="58"/>
      <c r="AR943" s="58"/>
    </row>
    <row r="944" spans="1:44" ht="15.75" customHeight="1" x14ac:dyDescent="0.25">
      <c r="A944" s="64"/>
      <c r="B944" s="62"/>
      <c r="C944" s="62"/>
      <c r="D944" s="62"/>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c r="AE944" s="58"/>
      <c r="AF944" s="58"/>
      <c r="AG944" s="58"/>
      <c r="AH944" s="58"/>
      <c r="AI944" s="58"/>
      <c r="AJ944" s="58"/>
      <c r="AK944" s="58"/>
      <c r="AL944" s="58"/>
      <c r="AM944" s="58"/>
      <c r="AN944" s="58"/>
      <c r="AO944" s="58"/>
      <c r="AP944" s="58"/>
      <c r="AQ944" s="58"/>
      <c r="AR944" s="58"/>
    </row>
    <row r="945" spans="1:44" ht="15.75" customHeight="1" x14ac:dyDescent="0.25">
      <c r="A945" s="64"/>
      <c r="B945" s="62"/>
      <c r="C945" s="62"/>
      <c r="D945" s="62"/>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c r="AE945" s="58"/>
      <c r="AF945" s="58"/>
      <c r="AG945" s="58"/>
      <c r="AH945" s="58"/>
      <c r="AI945" s="58"/>
      <c r="AJ945" s="58"/>
      <c r="AK945" s="58"/>
      <c r="AL945" s="58"/>
      <c r="AM945" s="58"/>
      <c r="AN945" s="58"/>
      <c r="AO945" s="58"/>
      <c r="AP945" s="58"/>
      <c r="AQ945" s="58"/>
      <c r="AR945" s="58"/>
    </row>
    <row r="946" spans="1:44" ht="15.75" customHeight="1" x14ac:dyDescent="0.25">
      <c r="A946" s="64"/>
      <c r="B946" s="62"/>
      <c r="C946" s="62"/>
      <c r="D946" s="62"/>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c r="AE946" s="58"/>
      <c r="AF946" s="58"/>
      <c r="AG946" s="58"/>
      <c r="AH946" s="58"/>
      <c r="AI946" s="58"/>
      <c r="AJ946" s="58"/>
      <c r="AK946" s="58"/>
      <c r="AL946" s="58"/>
      <c r="AM946" s="58"/>
      <c r="AN946" s="58"/>
      <c r="AO946" s="58"/>
      <c r="AP946" s="58"/>
      <c r="AQ946" s="58"/>
      <c r="AR946" s="58"/>
    </row>
    <row r="947" spans="1:44" ht="15.75" customHeight="1" x14ac:dyDescent="0.25">
      <c r="A947" s="64"/>
      <c r="B947" s="62"/>
      <c r="C947" s="62"/>
      <c r="D947" s="62"/>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c r="AE947" s="58"/>
      <c r="AF947" s="58"/>
      <c r="AG947" s="58"/>
      <c r="AH947" s="58"/>
      <c r="AI947" s="58"/>
      <c r="AJ947" s="58"/>
      <c r="AK947" s="58"/>
      <c r="AL947" s="58"/>
      <c r="AM947" s="58"/>
      <c r="AN947" s="58"/>
      <c r="AO947" s="58"/>
      <c r="AP947" s="58"/>
      <c r="AQ947" s="58"/>
      <c r="AR947" s="58"/>
    </row>
    <row r="948" spans="1:44" ht="15.75" customHeight="1" x14ac:dyDescent="0.25">
      <c r="A948" s="64"/>
      <c r="B948" s="62"/>
      <c r="C948" s="62"/>
      <c r="D948" s="62"/>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c r="AE948" s="58"/>
      <c r="AF948" s="58"/>
      <c r="AG948" s="58"/>
      <c r="AH948" s="58"/>
      <c r="AI948" s="58"/>
      <c r="AJ948" s="58"/>
      <c r="AK948" s="58"/>
      <c r="AL948" s="58"/>
      <c r="AM948" s="58"/>
      <c r="AN948" s="58"/>
      <c r="AO948" s="58"/>
      <c r="AP948" s="58"/>
      <c r="AQ948" s="58"/>
      <c r="AR948" s="58"/>
    </row>
    <row r="949" spans="1:44" ht="15.75" customHeight="1" x14ac:dyDescent="0.25">
      <c r="A949" s="64"/>
      <c r="B949" s="62"/>
      <c r="C949" s="62"/>
      <c r="D949" s="62"/>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c r="AE949" s="58"/>
      <c r="AF949" s="58"/>
      <c r="AG949" s="58"/>
      <c r="AH949" s="58"/>
      <c r="AI949" s="58"/>
      <c r="AJ949" s="58"/>
      <c r="AK949" s="58"/>
      <c r="AL949" s="58"/>
      <c r="AM949" s="58"/>
      <c r="AN949" s="58"/>
      <c r="AO949" s="58"/>
      <c r="AP949" s="58"/>
      <c r="AQ949" s="58"/>
      <c r="AR949" s="58"/>
    </row>
    <row r="950" spans="1:44" ht="15.75" customHeight="1" x14ac:dyDescent="0.25">
      <c r="A950" s="64"/>
      <c r="B950" s="62"/>
      <c r="C950" s="62"/>
      <c r="D950" s="62"/>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c r="AE950" s="58"/>
      <c r="AF950" s="58"/>
      <c r="AG950" s="58"/>
      <c r="AH950" s="58"/>
      <c r="AI950" s="58"/>
      <c r="AJ950" s="58"/>
      <c r="AK950" s="58"/>
      <c r="AL950" s="58"/>
      <c r="AM950" s="58"/>
      <c r="AN950" s="58"/>
      <c r="AO950" s="58"/>
      <c r="AP950" s="58"/>
      <c r="AQ950" s="58"/>
      <c r="AR950" s="58"/>
    </row>
    <row r="951" spans="1:44" ht="15.75" customHeight="1" x14ac:dyDescent="0.25">
      <c r="A951" s="64"/>
      <c r="B951" s="62"/>
      <c r="C951" s="62"/>
      <c r="D951" s="62"/>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c r="AE951" s="58"/>
      <c r="AF951" s="58"/>
      <c r="AG951" s="58"/>
      <c r="AH951" s="58"/>
      <c r="AI951" s="58"/>
      <c r="AJ951" s="58"/>
      <c r="AK951" s="58"/>
      <c r="AL951" s="58"/>
      <c r="AM951" s="58"/>
      <c r="AN951" s="58"/>
      <c r="AO951" s="58"/>
      <c r="AP951" s="58"/>
      <c r="AQ951" s="58"/>
      <c r="AR951" s="58"/>
    </row>
    <row r="952" spans="1:44" ht="15.75" customHeight="1" x14ac:dyDescent="0.25">
      <c r="A952" s="64"/>
      <c r="B952" s="62"/>
      <c r="C952" s="62"/>
      <c r="D952" s="62"/>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c r="AE952" s="58"/>
      <c r="AF952" s="58"/>
      <c r="AG952" s="58"/>
      <c r="AH952" s="58"/>
      <c r="AI952" s="58"/>
      <c r="AJ952" s="58"/>
      <c r="AK952" s="58"/>
      <c r="AL952" s="58"/>
      <c r="AM952" s="58"/>
      <c r="AN952" s="58"/>
      <c r="AO952" s="58"/>
      <c r="AP952" s="58"/>
      <c r="AQ952" s="58"/>
      <c r="AR952" s="58"/>
    </row>
    <row r="953" spans="1:44" ht="15.75" customHeight="1" x14ac:dyDescent="0.25">
      <c r="A953" s="64"/>
      <c r="B953" s="62"/>
      <c r="C953" s="62"/>
      <c r="D953" s="62"/>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c r="AE953" s="58"/>
      <c r="AF953" s="58"/>
      <c r="AG953" s="58"/>
      <c r="AH953" s="58"/>
      <c r="AI953" s="58"/>
      <c r="AJ953" s="58"/>
      <c r="AK953" s="58"/>
      <c r="AL953" s="58"/>
      <c r="AM953" s="58"/>
      <c r="AN953" s="58"/>
      <c r="AO953" s="58"/>
      <c r="AP953" s="58"/>
      <c r="AQ953" s="58"/>
      <c r="AR953" s="58"/>
    </row>
    <row r="954" spans="1:44" ht="15.75" customHeight="1" x14ac:dyDescent="0.25">
      <c r="A954" s="64"/>
      <c r="B954" s="62"/>
      <c r="C954" s="62"/>
      <c r="D954" s="62"/>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c r="AE954" s="58"/>
      <c r="AF954" s="58"/>
      <c r="AG954" s="58"/>
      <c r="AH954" s="58"/>
      <c r="AI954" s="58"/>
      <c r="AJ954" s="58"/>
      <c r="AK954" s="58"/>
      <c r="AL954" s="58"/>
      <c r="AM954" s="58"/>
      <c r="AN954" s="58"/>
      <c r="AO954" s="58"/>
      <c r="AP954" s="58"/>
      <c r="AQ954" s="58"/>
      <c r="AR954" s="58"/>
    </row>
    <row r="955" spans="1:44" ht="15.75" customHeight="1" x14ac:dyDescent="0.25">
      <c r="A955" s="64"/>
      <c r="B955" s="62"/>
      <c r="C955" s="62"/>
      <c r="D955" s="62"/>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c r="AE955" s="58"/>
      <c r="AF955" s="58"/>
      <c r="AG955" s="58"/>
      <c r="AH955" s="58"/>
      <c r="AI955" s="58"/>
      <c r="AJ955" s="58"/>
      <c r="AK955" s="58"/>
      <c r="AL955" s="58"/>
      <c r="AM955" s="58"/>
      <c r="AN955" s="58"/>
      <c r="AO955" s="58"/>
      <c r="AP955" s="58"/>
      <c r="AQ955" s="58"/>
      <c r="AR955" s="58"/>
    </row>
    <row r="956" spans="1:44" ht="15.75" customHeight="1" x14ac:dyDescent="0.25">
      <c r="A956" s="64"/>
      <c r="B956" s="62"/>
      <c r="C956" s="62"/>
      <c r="D956" s="62"/>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c r="AE956" s="58"/>
      <c r="AF956" s="58"/>
      <c r="AG956" s="58"/>
      <c r="AH956" s="58"/>
      <c r="AI956" s="58"/>
      <c r="AJ956" s="58"/>
      <c r="AK956" s="58"/>
      <c r="AL956" s="58"/>
      <c r="AM956" s="58"/>
      <c r="AN956" s="58"/>
      <c r="AO956" s="58"/>
      <c r="AP956" s="58"/>
      <c r="AQ956" s="58"/>
      <c r="AR956" s="58"/>
    </row>
    <row r="957" spans="1:44" ht="15.75" customHeight="1" x14ac:dyDescent="0.25">
      <c r="A957" s="64"/>
      <c r="B957" s="62"/>
      <c r="C957" s="62"/>
      <c r="D957" s="62"/>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c r="AE957" s="58"/>
      <c r="AF957" s="58"/>
      <c r="AG957" s="58"/>
      <c r="AH957" s="58"/>
      <c r="AI957" s="58"/>
      <c r="AJ957" s="58"/>
      <c r="AK957" s="58"/>
      <c r="AL957" s="58"/>
      <c r="AM957" s="58"/>
      <c r="AN957" s="58"/>
      <c r="AO957" s="58"/>
      <c r="AP957" s="58"/>
      <c r="AQ957" s="58"/>
      <c r="AR957" s="58"/>
    </row>
    <row r="958" spans="1:44" ht="15.75" customHeight="1" x14ac:dyDescent="0.25">
      <c r="A958" s="64"/>
      <c r="B958" s="62"/>
      <c r="C958" s="62"/>
      <c r="D958" s="62"/>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c r="AE958" s="58"/>
      <c r="AF958" s="58"/>
      <c r="AG958" s="58"/>
      <c r="AH958" s="58"/>
      <c r="AI958" s="58"/>
      <c r="AJ958" s="58"/>
      <c r="AK958" s="58"/>
      <c r="AL958" s="58"/>
      <c r="AM958" s="58"/>
      <c r="AN958" s="58"/>
      <c r="AO958" s="58"/>
      <c r="AP958" s="58"/>
      <c r="AQ958" s="58"/>
      <c r="AR958" s="58"/>
    </row>
    <row r="959" spans="1:44" ht="15.75" customHeight="1" x14ac:dyDescent="0.25">
      <c r="A959" s="64"/>
      <c r="B959" s="62"/>
      <c r="C959" s="62"/>
      <c r="D959" s="62"/>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c r="AE959" s="58"/>
      <c r="AF959" s="58"/>
      <c r="AG959" s="58"/>
      <c r="AH959" s="58"/>
      <c r="AI959" s="58"/>
      <c r="AJ959" s="58"/>
      <c r="AK959" s="58"/>
      <c r="AL959" s="58"/>
      <c r="AM959" s="58"/>
      <c r="AN959" s="58"/>
      <c r="AO959" s="58"/>
      <c r="AP959" s="58"/>
      <c r="AQ959" s="58"/>
      <c r="AR959" s="58"/>
    </row>
    <row r="960" spans="1:44" ht="15.75" customHeight="1" x14ac:dyDescent="0.25">
      <c r="A960" s="64"/>
      <c r="B960" s="62"/>
      <c r="C960" s="62"/>
      <c r="D960" s="62"/>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c r="AE960" s="58"/>
      <c r="AF960" s="58"/>
      <c r="AG960" s="58"/>
      <c r="AH960" s="58"/>
      <c r="AI960" s="58"/>
      <c r="AJ960" s="58"/>
      <c r="AK960" s="58"/>
      <c r="AL960" s="58"/>
      <c r="AM960" s="58"/>
      <c r="AN960" s="58"/>
      <c r="AO960" s="58"/>
      <c r="AP960" s="58"/>
      <c r="AQ960" s="58"/>
      <c r="AR960" s="58"/>
    </row>
    <row r="961" spans="1:44" ht="15.75" customHeight="1" x14ac:dyDescent="0.25">
      <c r="A961" s="64"/>
      <c r="B961" s="62"/>
      <c r="C961" s="62"/>
      <c r="D961" s="62"/>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c r="AE961" s="58"/>
      <c r="AF961" s="58"/>
      <c r="AG961" s="58"/>
      <c r="AH961" s="58"/>
      <c r="AI961" s="58"/>
      <c r="AJ961" s="58"/>
      <c r="AK961" s="58"/>
      <c r="AL961" s="58"/>
      <c r="AM961" s="58"/>
      <c r="AN961" s="58"/>
      <c r="AO961" s="58"/>
      <c r="AP961" s="58"/>
      <c r="AQ961" s="58"/>
      <c r="AR961" s="58"/>
    </row>
    <row r="962" spans="1:44" ht="15.75" customHeight="1" x14ac:dyDescent="0.25">
      <c r="A962" s="64"/>
      <c r="B962" s="62"/>
      <c r="C962" s="62"/>
      <c r="D962" s="62"/>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c r="AE962" s="58"/>
      <c r="AF962" s="58"/>
      <c r="AG962" s="58"/>
      <c r="AH962" s="58"/>
      <c r="AI962" s="58"/>
      <c r="AJ962" s="58"/>
      <c r="AK962" s="58"/>
      <c r="AL962" s="58"/>
      <c r="AM962" s="58"/>
      <c r="AN962" s="58"/>
      <c r="AO962" s="58"/>
      <c r="AP962" s="58"/>
      <c r="AQ962" s="58"/>
      <c r="AR962" s="58"/>
    </row>
    <row r="963" spans="1:44" ht="15.75" customHeight="1" x14ac:dyDescent="0.25">
      <c r="A963" s="64"/>
      <c r="B963" s="62"/>
      <c r="C963" s="62"/>
      <c r="D963" s="62"/>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c r="AE963" s="58"/>
      <c r="AF963" s="58"/>
      <c r="AG963" s="58"/>
      <c r="AH963" s="58"/>
      <c r="AI963" s="58"/>
      <c r="AJ963" s="58"/>
      <c r="AK963" s="58"/>
      <c r="AL963" s="58"/>
      <c r="AM963" s="58"/>
      <c r="AN963" s="58"/>
      <c r="AO963" s="58"/>
      <c r="AP963" s="58"/>
      <c r="AQ963" s="58"/>
      <c r="AR963" s="58"/>
    </row>
    <row r="964" spans="1:44" ht="15.75" customHeight="1" x14ac:dyDescent="0.25">
      <c r="A964" s="64"/>
      <c r="B964" s="62"/>
      <c r="C964" s="62"/>
      <c r="D964" s="62"/>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c r="AE964" s="58"/>
      <c r="AF964" s="58"/>
      <c r="AG964" s="58"/>
      <c r="AH964" s="58"/>
      <c r="AI964" s="58"/>
      <c r="AJ964" s="58"/>
      <c r="AK964" s="58"/>
      <c r="AL964" s="58"/>
      <c r="AM964" s="58"/>
      <c r="AN964" s="58"/>
      <c r="AO964" s="58"/>
      <c r="AP964" s="58"/>
      <c r="AQ964" s="58"/>
      <c r="AR964" s="58"/>
    </row>
    <row r="965" spans="1:44" ht="15.75" customHeight="1" x14ac:dyDescent="0.25">
      <c r="A965" s="64"/>
      <c r="B965" s="62"/>
      <c r="C965" s="62"/>
      <c r="D965" s="62"/>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c r="AE965" s="58"/>
      <c r="AF965" s="58"/>
      <c r="AG965" s="58"/>
      <c r="AH965" s="58"/>
      <c r="AI965" s="58"/>
      <c r="AJ965" s="58"/>
      <c r="AK965" s="58"/>
      <c r="AL965" s="58"/>
      <c r="AM965" s="58"/>
      <c r="AN965" s="58"/>
      <c r="AO965" s="58"/>
      <c r="AP965" s="58"/>
      <c r="AQ965" s="58"/>
      <c r="AR965" s="58"/>
    </row>
    <row r="966" spans="1:44" ht="15.75" customHeight="1" x14ac:dyDescent="0.25">
      <c r="A966" s="64"/>
      <c r="B966" s="62"/>
      <c r="C966" s="62"/>
      <c r="D966" s="62"/>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c r="AE966" s="58"/>
      <c r="AF966" s="58"/>
      <c r="AG966" s="58"/>
      <c r="AH966" s="58"/>
      <c r="AI966" s="58"/>
      <c r="AJ966" s="58"/>
      <c r="AK966" s="58"/>
      <c r="AL966" s="58"/>
      <c r="AM966" s="58"/>
      <c r="AN966" s="58"/>
      <c r="AO966" s="58"/>
      <c r="AP966" s="58"/>
      <c r="AQ966" s="58"/>
      <c r="AR966" s="58"/>
    </row>
    <row r="967" spans="1:44" ht="15.75" customHeight="1" x14ac:dyDescent="0.25">
      <c r="A967" s="64"/>
      <c r="B967" s="62"/>
      <c r="C967" s="62"/>
      <c r="D967" s="62"/>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c r="AE967" s="58"/>
      <c r="AF967" s="58"/>
      <c r="AG967" s="58"/>
      <c r="AH967" s="58"/>
      <c r="AI967" s="58"/>
      <c r="AJ967" s="58"/>
      <c r="AK967" s="58"/>
      <c r="AL967" s="58"/>
      <c r="AM967" s="58"/>
      <c r="AN967" s="58"/>
      <c r="AO967" s="58"/>
      <c r="AP967" s="58"/>
      <c r="AQ967" s="58"/>
      <c r="AR967" s="58"/>
    </row>
    <row r="968" spans="1:44" ht="15.75" customHeight="1" x14ac:dyDescent="0.25">
      <c r="A968" s="64"/>
      <c r="B968" s="62"/>
      <c r="C968" s="62"/>
      <c r="D968" s="62"/>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c r="AE968" s="58"/>
      <c r="AF968" s="58"/>
      <c r="AG968" s="58"/>
      <c r="AH968" s="58"/>
      <c r="AI968" s="58"/>
      <c r="AJ968" s="58"/>
      <c r="AK968" s="58"/>
      <c r="AL968" s="58"/>
      <c r="AM968" s="58"/>
      <c r="AN968" s="58"/>
      <c r="AO968" s="58"/>
      <c r="AP968" s="58"/>
      <c r="AQ968" s="58"/>
      <c r="AR968" s="58"/>
    </row>
    <row r="969" spans="1:44" ht="15.75" customHeight="1" x14ac:dyDescent="0.25">
      <c r="A969" s="64"/>
      <c r="B969" s="62"/>
      <c r="C969" s="62"/>
      <c r="D969" s="62"/>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c r="AE969" s="58"/>
      <c r="AF969" s="58"/>
      <c r="AG969" s="58"/>
      <c r="AH969" s="58"/>
      <c r="AI969" s="58"/>
      <c r="AJ969" s="58"/>
      <c r="AK969" s="58"/>
      <c r="AL969" s="58"/>
      <c r="AM969" s="58"/>
      <c r="AN969" s="58"/>
      <c r="AO969" s="58"/>
      <c r="AP969" s="58"/>
      <c r="AQ969" s="58"/>
      <c r="AR969" s="58"/>
    </row>
    <row r="970" spans="1:44" ht="15.75" customHeight="1" x14ac:dyDescent="0.25">
      <c r="A970" s="64"/>
      <c r="B970" s="62"/>
      <c r="C970" s="62"/>
      <c r="D970" s="62"/>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c r="AE970" s="58"/>
      <c r="AF970" s="58"/>
      <c r="AG970" s="58"/>
      <c r="AH970" s="58"/>
      <c r="AI970" s="58"/>
      <c r="AJ970" s="58"/>
      <c r="AK970" s="58"/>
      <c r="AL970" s="58"/>
      <c r="AM970" s="58"/>
      <c r="AN970" s="58"/>
      <c r="AO970" s="58"/>
      <c r="AP970" s="58"/>
      <c r="AQ970" s="58"/>
      <c r="AR970" s="58"/>
    </row>
    <row r="971" spans="1:44" ht="15.75" customHeight="1" x14ac:dyDescent="0.25">
      <c r="A971" s="64"/>
      <c r="B971" s="62"/>
      <c r="C971" s="62"/>
      <c r="D971" s="62"/>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c r="AE971" s="58"/>
      <c r="AF971" s="58"/>
      <c r="AG971" s="58"/>
      <c r="AH971" s="58"/>
      <c r="AI971" s="58"/>
      <c r="AJ971" s="58"/>
      <c r="AK971" s="58"/>
      <c r="AL971" s="58"/>
      <c r="AM971" s="58"/>
      <c r="AN971" s="58"/>
      <c r="AO971" s="58"/>
      <c r="AP971" s="58"/>
      <c r="AQ971" s="58"/>
      <c r="AR971" s="58"/>
    </row>
    <row r="972" spans="1:44" ht="15.75" customHeight="1" x14ac:dyDescent="0.25">
      <c r="A972" s="64"/>
      <c r="B972" s="62"/>
      <c r="C972" s="62"/>
      <c r="D972" s="62"/>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c r="AE972" s="58"/>
      <c r="AF972" s="58"/>
      <c r="AG972" s="58"/>
      <c r="AH972" s="58"/>
      <c r="AI972" s="58"/>
      <c r="AJ972" s="58"/>
      <c r="AK972" s="58"/>
      <c r="AL972" s="58"/>
      <c r="AM972" s="58"/>
      <c r="AN972" s="58"/>
      <c r="AO972" s="58"/>
      <c r="AP972" s="58"/>
      <c r="AQ972" s="58"/>
      <c r="AR972" s="58"/>
    </row>
    <row r="973" spans="1:44" ht="15.75" customHeight="1" x14ac:dyDescent="0.25">
      <c r="A973" s="64"/>
      <c r="B973" s="62"/>
      <c r="C973" s="62"/>
      <c r="D973" s="62"/>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c r="AE973" s="58"/>
      <c r="AF973" s="58"/>
      <c r="AG973" s="58"/>
      <c r="AH973" s="58"/>
      <c r="AI973" s="58"/>
      <c r="AJ973" s="58"/>
      <c r="AK973" s="58"/>
      <c r="AL973" s="58"/>
      <c r="AM973" s="58"/>
      <c r="AN973" s="58"/>
      <c r="AO973" s="58"/>
      <c r="AP973" s="58"/>
      <c r="AQ973" s="58"/>
      <c r="AR973" s="58"/>
    </row>
    <row r="974" spans="1:44" ht="15.75" customHeight="1" x14ac:dyDescent="0.25">
      <c r="A974" s="64"/>
      <c r="B974" s="62"/>
      <c r="C974" s="62"/>
      <c r="D974" s="62"/>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c r="AE974" s="58"/>
      <c r="AF974" s="58"/>
      <c r="AG974" s="58"/>
      <c r="AH974" s="58"/>
      <c r="AI974" s="58"/>
      <c r="AJ974" s="58"/>
      <c r="AK974" s="58"/>
      <c r="AL974" s="58"/>
      <c r="AM974" s="58"/>
      <c r="AN974" s="58"/>
      <c r="AO974" s="58"/>
      <c r="AP974" s="58"/>
      <c r="AQ974" s="58"/>
      <c r="AR974" s="58"/>
    </row>
    <row r="975" spans="1:44" ht="15.75" customHeight="1" x14ac:dyDescent="0.25">
      <c r="A975" s="64"/>
      <c r="B975" s="62"/>
      <c r="C975" s="62"/>
      <c r="D975" s="62"/>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c r="AE975" s="58"/>
      <c r="AF975" s="58"/>
      <c r="AG975" s="58"/>
      <c r="AH975" s="58"/>
      <c r="AI975" s="58"/>
      <c r="AJ975" s="58"/>
      <c r="AK975" s="58"/>
      <c r="AL975" s="58"/>
      <c r="AM975" s="58"/>
      <c r="AN975" s="58"/>
      <c r="AO975" s="58"/>
      <c r="AP975" s="58"/>
      <c r="AQ975" s="58"/>
      <c r="AR975" s="58"/>
    </row>
    <row r="976" spans="1:44" ht="15.75" customHeight="1" x14ac:dyDescent="0.25">
      <c r="A976" s="64"/>
      <c r="B976" s="62"/>
      <c r="C976" s="62"/>
      <c r="D976" s="62"/>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c r="AE976" s="58"/>
      <c r="AF976" s="58"/>
      <c r="AG976" s="58"/>
      <c r="AH976" s="58"/>
      <c r="AI976" s="58"/>
      <c r="AJ976" s="58"/>
      <c r="AK976" s="58"/>
      <c r="AL976" s="58"/>
      <c r="AM976" s="58"/>
      <c r="AN976" s="58"/>
      <c r="AO976" s="58"/>
      <c r="AP976" s="58"/>
      <c r="AQ976" s="58"/>
      <c r="AR976" s="58"/>
    </row>
    <row r="977" spans="1:44" ht="15.75" customHeight="1" x14ac:dyDescent="0.25">
      <c r="A977" s="64"/>
      <c r="B977" s="62"/>
      <c r="C977" s="62"/>
      <c r="D977" s="62"/>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c r="AE977" s="58"/>
      <c r="AF977" s="58"/>
      <c r="AG977" s="58"/>
      <c r="AH977" s="58"/>
      <c r="AI977" s="58"/>
      <c r="AJ977" s="58"/>
      <c r="AK977" s="58"/>
      <c r="AL977" s="58"/>
      <c r="AM977" s="58"/>
      <c r="AN977" s="58"/>
      <c r="AO977" s="58"/>
      <c r="AP977" s="58"/>
      <c r="AQ977" s="58"/>
      <c r="AR977" s="58"/>
    </row>
    <row r="978" spans="1:44" ht="15.75" customHeight="1" x14ac:dyDescent="0.25">
      <c r="A978" s="64"/>
      <c r="B978" s="62"/>
      <c r="C978" s="62"/>
      <c r="D978" s="62"/>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c r="AE978" s="58"/>
      <c r="AF978" s="58"/>
      <c r="AG978" s="58"/>
      <c r="AH978" s="58"/>
      <c r="AI978" s="58"/>
      <c r="AJ978" s="58"/>
      <c r="AK978" s="58"/>
      <c r="AL978" s="58"/>
      <c r="AM978" s="58"/>
      <c r="AN978" s="58"/>
      <c r="AO978" s="58"/>
      <c r="AP978" s="58"/>
      <c r="AQ978" s="58"/>
      <c r="AR978" s="58"/>
    </row>
    <row r="979" spans="1:44" ht="15.75" customHeight="1" x14ac:dyDescent="0.25">
      <c r="A979" s="64"/>
      <c r="B979" s="62"/>
      <c r="C979" s="62"/>
      <c r="D979" s="62"/>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c r="AE979" s="58"/>
      <c r="AF979" s="58"/>
      <c r="AG979" s="58"/>
      <c r="AH979" s="58"/>
      <c r="AI979" s="58"/>
      <c r="AJ979" s="58"/>
      <c r="AK979" s="58"/>
      <c r="AL979" s="58"/>
      <c r="AM979" s="58"/>
      <c r="AN979" s="58"/>
      <c r="AO979" s="58"/>
      <c r="AP979" s="58"/>
      <c r="AQ979" s="58"/>
      <c r="AR979" s="58"/>
    </row>
    <row r="980" spans="1:44" ht="15.75" customHeight="1" x14ac:dyDescent="0.25">
      <c r="A980" s="64"/>
      <c r="B980" s="62"/>
      <c r="C980" s="62"/>
      <c r="D980" s="62"/>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c r="AE980" s="58"/>
      <c r="AF980" s="58"/>
      <c r="AG980" s="58"/>
      <c r="AH980" s="58"/>
      <c r="AI980" s="58"/>
      <c r="AJ980" s="58"/>
      <c r="AK980" s="58"/>
      <c r="AL980" s="58"/>
      <c r="AM980" s="58"/>
      <c r="AN980" s="58"/>
      <c r="AO980" s="58"/>
      <c r="AP980" s="58"/>
      <c r="AQ980" s="58"/>
      <c r="AR980" s="58"/>
    </row>
    <row r="981" spans="1:44" ht="15.75" customHeight="1" x14ac:dyDescent="0.25">
      <c r="A981" s="64"/>
      <c r="B981" s="62"/>
      <c r="C981" s="62"/>
      <c r="D981" s="62"/>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c r="AE981" s="58"/>
      <c r="AF981" s="58"/>
      <c r="AG981" s="58"/>
      <c r="AH981" s="58"/>
      <c r="AI981" s="58"/>
      <c r="AJ981" s="58"/>
      <c r="AK981" s="58"/>
      <c r="AL981" s="58"/>
      <c r="AM981" s="58"/>
      <c r="AN981" s="58"/>
      <c r="AO981" s="58"/>
      <c r="AP981" s="58"/>
      <c r="AQ981" s="58"/>
      <c r="AR981" s="58"/>
    </row>
    <row r="982" spans="1:44" ht="15.75" customHeight="1" x14ac:dyDescent="0.25">
      <c r="A982" s="64"/>
      <c r="B982" s="62"/>
      <c r="C982" s="62"/>
      <c r="D982" s="62"/>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c r="AE982" s="58"/>
      <c r="AF982" s="58"/>
      <c r="AG982" s="58"/>
      <c r="AH982" s="58"/>
      <c r="AI982" s="58"/>
      <c r="AJ982" s="58"/>
      <c r="AK982" s="58"/>
      <c r="AL982" s="58"/>
      <c r="AM982" s="58"/>
      <c r="AN982" s="58"/>
      <c r="AO982" s="58"/>
      <c r="AP982" s="58"/>
      <c r="AQ982" s="58"/>
      <c r="AR982" s="58"/>
    </row>
    <row r="983" spans="1:44" ht="15.75" customHeight="1" x14ac:dyDescent="0.25">
      <c r="A983" s="64"/>
      <c r="B983" s="62"/>
      <c r="C983" s="62"/>
      <c r="D983" s="62"/>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c r="AE983" s="58"/>
      <c r="AF983" s="58"/>
      <c r="AG983" s="58"/>
      <c r="AH983" s="58"/>
      <c r="AI983" s="58"/>
      <c r="AJ983" s="58"/>
      <c r="AK983" s="58"/>
      <c r="AL983" s="58"/>
      <c r="AM983" s="58"/>
      <c r="AN983" s="58"/>
      <c r="AO983" s="58"/>
      <c r="AP983" s="58"/>
      <c r="AQ983" s="58"/>
      <c r="AR983" s="58"/>
    </row>
    <row r="984" spans="1:44" ht="15.75" customHeight="1" x14ac:dyDescent="0.25">
      <c r="A984" s="64"/>
      <c r="B984" s="62"/>
      <c r="C984" s="62"/>
      <c r="D984" s="62"/>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c r="AE984" s="58"/>
      <c r="AF984" s="58"/>
      <c r="AG984" s="58"/>
      <c r="AH984" s="58"/>
      <c r="AI984" s="58"/>
      <c r="AJ984" s="58"/>
      <c r="AK984" s="58"/>
      <c r="AL984" s="58"/>
      <c r="AM984" s="58"/>
      <c r="AN984" s="58"/>
      <c r="AO984" s="58"/>
      <c r="AP984" s="58"/>
      <c r="AQ984" s="58"/>
      <c r="AR984" s="58"/>
    </row>
    <row r="985" spans="1:44" ht="15.75" customHeight="1" x14ac:dyDescent="0.25">
      <c r="A985" s="64"/>
      <c r="B985" s="62"/>
      <c r="C985" s="62"/>
      <c r="D985" s="62"/>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c r="AE985" s="58"/>
      <c r="AF985" s="58"/>
      <c r="AG985" s="58"/>
      <c r="AH985" s="58"/>
      <c r="AI985" s="58"/>
      <c r="AJ985" s="58"/>
      <c r="AK985" s="58"/>
      <c r="AL985" s="58"/>
      <c r="AM985" s="58"/>
      <c r="AN985" s="58"/>
      <c r="AO985" s="58"/>
      <c r="AP985" s="58"/>
      <c r="AQ985" s="58"/>
      <c r="AR985" s="58"/>
    </row>
    <row r="986" spans="1:44" ht="15.75" customHeight="1" x14ac:dyDescent="0.25">
      <c r="A986" s="64"/>
      <c r="B986" s="62"/>
      <c r="C986" s="62"/>
      <c r="D986" s="62"/>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c r="AE986" s="58"/>
      <c r="AF986" s="58"/>
      <c r="AG986" s="58"/>
      <c r="AH986" s="58"/>
      <c r="AI986" s="58"/>
      <c r="AJ986" s="58"/>
      <c r="AK986" s="58"/>
      <c r="AL986" s="58"/>
      <c r="AM986" s="58"/>
      <c r="AN986" s="58"/>
      <c r="AO986" s="58"/>
      <c r="AP986" s="58"/>
      <c r="AQ986" s="58"/>
      <c r="AR986" s="58"/>
    </row>
    <row r="987" spans="1:44" ht="15.75" customHeight="1" x14ac:dyDescent="0.25">
      <c r="A987" s="64"/>
      <c r="B987" s="62"/>
      <c r="C987" s="62"/>
      <c r="D987" s="62"/>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c r="AE987" s="58"/>
      <c r="AF987" s="58"/>
      <c r="AG987" s="58"/>
      <c r="AH987" s="58"/>
      <c r="AI987" s="58"/>
      <c r="AJ987" s="58"/>
      <c r="AK987" s="58"/>
      <c r="AL987" s="58"/>
      <c r="AM987" s="58"/>
      <c r="AN987" s="58"/>
      <c r="AO987" s="58"/>
      <c r="AP987" s="58"/>
      <c r="AQ987" s="58"/>
      <c r="AR987" s="58"/>
    </row>
    <row r="988" spans="1:44" ht="15.75" customHeight="1" x14ac:dyDescent="0.25">
      <c r="A988" s="64"/>
      <c r="B988" s="62"/>
      <c r="C988" s="62"/>
      <c r="D988" s="62"/>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c r="AE988" s="58"/>
      <c r="AF988" s="58"/>
      <c r="AG988" s="58"/>
      <c r="AH988" s="58"/>
      <c r="AI988" s="58"/>
      <c r="AJ988" s="58"/>
      <c r="AK988" s="58"/>
      <c r="AL988" s="58"/>
      <c r="AM988" s="58"/>
      <c r="AN988" s="58"/>
      <c r="AO988" s="58"/>
      <c r="AP988" s="58"/>
      <c r="AQ988" s="58"/>
      <c r="AR988" s="58"/>
    </row>
    <row r="989" spans="1:44" ht="15.75" customHeight="1" x14ac:dyDescent="0.25">
      <c r="A989" s="64"/>
      <c r="B989" s="62"/>
      <c r="C989" s="62"/>
      <c r="D989" s="62"/>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c r="AE989" s="58"/>
      <c r="AF989" s="58"/>
      <c r="AG989" s="58"/>
      <c r="AH989" s="58"/>
      <c r="AI989" s="58"/>
      <c r="AJ989" s="58"/>
      <c r="AK989" s="58"/>
      <c r="AL989" s="58"/>
      <c r="AM989" s="58"/>
      <c r="AN989" s="58"/>
      <c r="AO989" s="58"/>
      <c r="AP989" s="58"/>
      <c r="AQ989" s="58"/>
      <c r="AR989" s="58"/>
    </row>
    <row r="990" spans="1:44" ht="15.75" customHeight="1" x14ac:dyDescent="0.25">
      <c r="A990" s="64"/>
      <c r="B990" s="62"/>
      <c r="C990" s="62"/>
      <c r="D990" s="62"/>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c r="AE990" s="58"/>
      <c r="AF990" s="58"/>
      <c r="AG990" s="58"/>
      <c r="AH990" s="58"/>
      <c r="AI990" s="58"/>
      <c r="AJ990" s="58"/>
      <c r="AK990" s="58"/>
      <c r="AL990" s="58"/>
      <c r="AM990" s="58"/>
      <c r="AN990" s="58"/>
      <c r="AO990" s="58"/>
      <c r="AP990" s="58"/>
      <c r="AQ990" s="58"/>
      <c r="AR990" s="58"/>
    </row>
    <row r="991" spans="1:44" ht="15.75" customHeight="1" x14ac:dyDescent="0.25">
      <c r="A991" s="64"/>
      <c r="B991" s="62"/>
      <c r="C991" s="62"/>
      <c r="D991" s="62"/>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c r="AE991" s="58"/>
      <c r="AF991" s="58"/>
      <c r="AG991" s="58"/>
      <c r="AH991" s="58"/>
      <c r="AI991" s="58"/>
      <c r="AJ991" s="58"/>
      <c r="AK991" s="58"/>
      <c r="AL991" s="58"/>
      <c r="AM991" s="58"/>
      <c r="AN991" s="58"/>
      <c r="AO991" s="58"/>
      <c r="AP991" s="58"/>
      <c r="AQ991" s="58"/>
      <c r="AR991" s="58"/>
    </row>
    <row r="992" spans="1:44" ht="15.75" customHeight="1" x14ac:dyDescent="0.25">
      <c r="A992" s="64"/>
      <c r="B992" s="62"/>
      <c r="C992" s="62"/>
      <c r="D992" s="62"/>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c r="AE992" s="58"/>
      <c r="AF992" s="58"/>
      <c r="AG992" s="58"/>
      <c r="AH992" s="58"/>
      <c r="AI992" s="58"/>
      <c r="AJ992" s="58"/>
      <c r="AK992" s="58"/>
      <c r="AL992" s="58"/>
      <c r="AM992" s="58"/>
      <c r="AN992" s="58"/>
      <c r="AO992" s="58"/>
      <c r="AP992" s="58"/>
      <c r="AQ992" s="58"/>
      <c r="AR992" s="58"/>
    </row>
    <row r="993" spans="1:44" ht="15.75" customHeight="1" x14ac:dyDescent="0.25">
      <c r="A993" s="64"/>
      <c r="B993" s="62"/>
      <c r="C993" s="62"/>
      <c r="D993" s="62"/>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c r="AE993" s="58"/>
      <c r="AF993" s="58"/>
      <c r="AG993" s="58"/>
      <c r="AH993" s="58"/>
      <c r="AI993" s="58"/>
      <c r="AJ993" s="58"/>
      <c r="AK993" s="58"/>
      <c r="AL993" s="58"/>
      <c r="AM993" s="58"/>
      <c r="AN993" s="58"/>
      <c r="AO993" s="58"/>
      <c r="AP993" s="58"/>
      <c r="AQ993" s="58"/>
      <c r="AR993" s="58"/>
    </row>
    <row r="994" spans="1:44" ht="15.75" customHeight="1" x14ac:dyDescent="0.25">
      <c r="A994" s="64"/>
      <c r="B994" s="62"/>
      <c r="C994" s="62"/>
      <c r="D994" s="62"/>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c r="AE994" s="58"/>
      <c r="AF994" s="58"/>
      <c r="AG994" s="58"/>
      <c r="AH994" s="58"/>
      <c r="AI994" s="58"/>
      <c r="AJ994" s="58"/>
      <c r="AK994" s="58"/>
      <c r="AL994" s="58"/>
      <c r="AM994" s="58"/>
      <c r="AN994" s="58"/>
      <c r="AO994" s="58"/>
      <c r="AP994" s="58"/>
      <c r="AQ994" s="58"/>
      <c r="AR994" s="58"/>
    </row>
    <row r="995" spans="1:44" ht="15.75" customHeight="1" x14ac:dyDescent="0.25">
      <c r="A995" s="64"/>
      <c r="B995" s="62"/>
      <c r="C995" s="62"/>
      <c r="D995" s="62"/>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58"/>
      <c r="AD995" s="58"/>
      <c r="AE995" s="58"/>
      <c r="AF995" s="58"/>
      <c r="AG995" s="58"/>
      <c r="AH995" s="58"/>
      <c r="AI995" s="58"/>
      <c r="AJ995" s="58"/>
      <c r="AK995" s="58"/>
      <c r="AL995" s="58"/>
      <c r="AM995" s="58"/>
      <c r="AN995" s="58"/>
      <c r="AO995" s="58"/>
      <c r="AP995" s="58"/>
      <c r="AQ995" s="58"/>
      <c r="AR995" s="58"/>
    </row>
    <row r="996" spans="1:44" ht="15.75" customHeight="1" x14ac:dyDescent="0.25">
      <c r="A996" s="64"/>
      <c r="B996" s="62"/>
      <c r="C996" s="62"/>
      <c r="D996" s="62"/>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58"/>
      <c r="AD996" s="58"/>
      <c r="AE996" s="58"/>
      <c r="AF996" s="58"/>
      <c r="AG996" s="58"/>
      <c r="AH996" s="58"/>
      <c r="AI996" s="58"/>
      <c r="AJ996" s="58"/>
      <c r="AK996" s="58"/>
      <c r="AL996" s="58"/>
      <c r="AM996" s="58"/>
      <c r="AN996" s="58"/>
      <c r="AO996" s="58"/>
      <c r="AP996" s="58"/>
      <c r="AQ996" s="58"/>
      <c r="AR996" s="58"/>
    </row>
    <row r="997" spans="1:44" ht="15.75" customHeight="1" x14ac:dyDescent="0.25">
      <c r="A997" s="64"/>
      <c r="B997" s="62"/>
      <c r="C997" s="62"/>
      <c r="D997" s="62"/>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58"/>
      <c r="AD997" s="58"/>
      <c r="AE997" s="58"/>
      <c r="AF997" s="58"/>
      <c r="AG997" s="58"/>
      <c r="AH997" s="58"/>
      <c r="AI997" s="58"/>
      <c r="AJ997" s="58"/>
      <c r="AK997" s="58"/>
      <c r="AL997" s="58"/>
      <c r="AM997" s="58"/>
      <c r="AN997" s="58"/>
      <c r="AO997" s="58"/>
      <c r="AP997" s="58"/>
      <c r="AQ997" s="58"/>
      <c r="AR997" s="58"/>
    </row>
    <row r="998" spans="1:44" ht="15.75" customHeight="1" x14ac:dyDescent="0.25">
      <c r="A998" s="64"/>
      <c r="B998" s="62"/>
      <c r="C998" s="62"/>
      <c r="D998" s="62"/>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c r="AC998" s="58"/>
      <c r="AD998" s="58"/>
      <c r="AE998" s="58"/>
      <c r="AF998" s="58"/>
      <c r="AG998" s="58"/>
      <c r="AH998" s="58"/>
      <c r="AI998" s="58"/>
      <c r="AJ998" s="58"/>
      <c r="AK998" s="58"/>
      <c r="AL998" s="58"/>
      <c r="AM998" s="58"/>
      <c r="AN998" s="58"/>
      <c r="AO998" s="58"/>
      <c r="AP998" s="58"/>
      <c r="AQ998" s="58"/>
      <c r="AR998" s="58"/>
    </row>
    <row r="999" spans="1:44" ht="15.75" customHeight="1" x14ac:dyDescent="0.25">
      <c r="A999" s="64"/>
      <c r="B999" s="62"/>
      <c r="C999" s="62"/>
      <c r="D999" s="62"/>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c r="AC999" s="58"/>
      <c r="AD999" s="58"/>
      <c r="AE999" s="58"/>
      <c r="AF999" s="58"/>
      <c r="AG999" s="58"/>
      <c r="AH999" s="58"/>
      <c r="AI999" s="58"/>
      <c r="AJ999" s="58"/>
      <c r="AK999" s="58"/>
      <c r="AL999" s="58"/>
      <c r="AM999" s="58"/>
      <c r="AN999" s="58"/>
      <c r="AO999" s="58"/>
      <c r="AP999" s="58"/>
      <c r="AQ999" s="58"/>
      <c r="AR999" s="58"/>
    </row>
    <row r="1000" spans="1:44" ht="15.75" customHeight="1" x14ac:dyDescent="0.25">
      <c r="A1000" s="64"/>
      <c r="B1000" s="62"/>
      <c r="C1000" s="62"/>
      <c r="D1000" s="62"/>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c r="AC1000" s="58"/>
      <c r="AD1000" s="58"/>
      <c r="AE1000" s="58"/>
      <c r="AF1000" s="58"/>
      <c r="AG1000" s="58"/>
      <c r="AH1000" s="58"/>
      <c r="AI1000" s="58"/>
      <c r="AJ1000" s="58"/>
      <c r="AK1000" s="58"/>
      <c r="AL1000" s="58"/>
      <c r="AM1000" s="58"/>
      <c r="AN1000" s="58"/>
      <c r="AO1000" s="58"/>
      <c r="AP1000" s="58"/>
      <c r="AQ1000" s="58"/>
      <c r="AR1000" s="58"/>
    </row>
    <row r="1001" spans="1:44" ht="15.75" customHeight="1" x14ac:dyDescent="0.25">
      <c r="A1001" s="64"/>
      <c r="B1001" s="62"/>
      <c r="C1001" s="62"/>
      <c r="D1001" s="62"/>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c r="AC1001" s="58"/>
      <c r="AD1001" s="58"/>
      <c r="AE1001" s="58"/>
      <c r="AF1001" s="58"/>
      <c r="AG1001" s="58"/>
      <c r="AH1001" s="58"/>
      <c r="AI1001" s="58"/>
      <c r="AJ1001" s="58"/>
      <c r="AK1001" s="58"/>
      <c r="AL1001" s="58"/>
      <c r="AM1001" s="58"/>
      <c r="AN1001" s="58"/>
      <c r="AO1001" s="58"/>
      <c r="AP1001" s="58"/>
      <c r="AQ1001" s="58"/>
      <c r="AR1001" s="58"/>
    </row>
    <row r="1002" spans="1:44" ht="15.75" customHeight="1" x14ac:dyDescent="0.25">
      <c r="A1002" s="64"/>
      <c r="B1002" s="62"/>
      <c r="C1002" s="62"/>
      <c r="D1002" s="62"/>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c r="AC1002" s="58"/>
      <c r="AD1002" s="58"/>
      <c r="AE1002" s="58"/>
      <c r="AF1002" s="58"/>
      <c r="AG1002" s="58"/>
      <c r="AH1002" s="58"/>
      <c r="AI1002" s="58"/>
      <c r="AJ1002" s="58"/>
      <c r="AK1002" s="58"/>
      <c r="AL1002" s="58"/>
      <c r="AM1002" s="58"/>
      <c r="AN1002" s="58"/>
      <c r="AO1002" s="58"/>
      <c r="AP1002" s="58"/>
      <c r="AQ1002" s="58"/>
      <c r="AR1002" s="58"/>
    </row>
    <row r="1003" spans="1:44" ht="15.75" customHeight="1" x14ac:dyDescent="0.25">
      <c r="A1003" s="64"/>
      <c r="B1003" s="62"/>
      <c r="C1003" s="62"/>
      <c r="D1003" s="62"/>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c r="AC1003" s="58"/>
      <c r="AD1003" s="58"/>
      <c r="AE1003" s="58"/>
      <c r="AF1003" s="58"/>
      <c r="AG1003" s="58"/>
      <c r="AH1003" s="58"/>
      <c r="AI1003" s="58"/>
      <c r="AJ1003" s="58"/>
      <c r="AK1003" s="58"/>
      <c r="AL1003" s="58"/>
      <c r="AM1003" s="58"/>
      <c r="AN1003" s="58"/>
      <c r="AO1003" s="58"/>
      <c r="AP1003" s="58"/>
      <c r="AQ1003" s="58"/>
      <c r="AR1003" s="58"/>
    </row>
  </sheetData>
  <mergeCells count="248">
    <mergeCell ref="A113:O113"/>
    <mergeCell ref="P113:AD113"/>
    <mergeCell ref="AE113:AR113"/>
    <mergeCell ref="B46:M46"/>
    <mergeCell ref="N46:X46"/>
    <mergeCell ref="A106:O111"/>
    <mergeCell ref="P106:AD111"/>
    <mergeCell ref="AE106:AR111"/>
    <mergeCell ref="A112:O112"/>
    <mergeCell ref="P112:AD112"/>
    <mergeCell ref="AE112:AR112"/>
    <mergeCell ref="AH99:AO101"/>
    <mergeCell ref="A100:J100"/>
    <mergeCell ref="N100:U101"/>
    <mergeCell ref="B103:AR103"/>
    <mergeCell ref="A105:O105"/>
    <mergeCell ref="P105:AD105"/>
    <mergeCell ref="AE105:AR105"/>
    <mergeCell ref="A90:O90"/>
    <mergeCell ref="P90:AD90"/>
    <mergeCell ref="AE90:AR90"/>
    <mergeCell ref="A92:AR92"/>
    <mergeCell ref="B94:AR94"/>
    <mergeCell ref="A96:K96"/>
    <mergeCell ref="N96:U97"/>
    <mergeCell ref="AH96:AO98"/>
    <mergeCell ref="A98:J98"/>
    <mergeCell ref="N98:U99"/>
    <mergeCell ref="A83:O88"/>
    <mergeCell ref="P83:AD88"/>
    <mergeCell ref="AE83:AR88"/>
    <mergeCell ref="A89:O89"/>
    <mergeCell ref="P89:AD89"/>
    <mergeCell ref="AE89:AR89"/>
    <mergeCell ref="A77:M78"/>
    <mergeCell ref="N77:O78"/>
    <mergeCell ref="P77:AJ78"/>
    <mergeCell ref="AK77:AR78"/>
    <mergeCell ref="A82:O82"/>
    <mergeCell ref="P82:AD82"/>
    <mergeCell ref="AE82:AR82"/>
    <mergeCell ref="A75:A76"/>
    <mergeCell ref="B75:K76"/>
    <mergeCell ref="L75:M76"/>
    <mergeCell ref="N75:O76"/>
    <mergeCell ref="P75:AJ76"/>
    <mergeCell ref="AK75:AR76"/>
    <mergeCell ref="A73:A74"/>
    <mergeCell ref="B73:K74"/>
    <mergeCell ref="L73:M74"/>
    <mergeCell ref="N73:O74"/>
    <mergeCell ref="P73:AJ74"/>
    <mergeCell ref="AK73:AR74"/>
    <mergeCell ref="A71:A72"/>
    <mergeCell ref="B71:K72"/>
    <mergeCell ref="L71:M72"/>
    <mergeCell ref="N71:O72"/>
    <mergeCell ref="P71:AJ72"/>
    <mergeCell ref="AK71:AR72"/>
    <mergeCell ref="A69:A70"/>
    <mergeCell ref="B69:K70"/>
    <mergeCell ref="L69:M70"/>
    <mergeCell ref="N69:O70"/>
    <mergeCell ref="P69:AJ70"/>
    <mergeCell ref="AK69:AR70"/>
    <mergeCell ref="A61:AR61"/>
    <mergeCell ref="A66:A68"/>
    <mergeCell ref="B66:K68"/>
    <mergeCell ref="L66:M68"/>
    <mergeCell ref="N66:O68"/>
    <mergeCell ref="P66:AJ68"/>
    <mergeCell ref="AK66:AR68"/>
    <mergeCell ref="AC56:AF57"/>
    <mergeCell ref="AG56:AJ57"/>
    <mergeCell ref="AK56:AN57"/>
    <mergeCell ref="AO56:AR57"/>
    <mergeCell ref="AC58:AF59"/>
    <mergeCell ref="AG58:AJ59"/>
    <mergeCell ref="AK58:AN59"/>
    <mergeCell ref="AO58:AR59"/>
    <mergeCell ref="AO52:AP53"/>
    <mergeCell ref="AQ52:AR53"/>
    <mergeCell ref="AC54:AD55"/>
    <mergeCell ref="AE54:AF55"/>
    <mergeCell ref="AG54:AH55"/>
    <mergeCell ref="AI54:AJ55"/>
    <mergeCell ref="AK54:AL55"/>
    <mergeCell ref="AM54:AN55"/>
    <mergeCell ref="AO54:AP55"/>
    <mergeCell ref="AQ54:AR55"/>
    <mergeCell ref="AC52:AD53"/>
    <mergeCell ref="AE52:AF53"/>
    <mergeCell ref="AG52:AH53"/>
    <mergeCell ref="AI52:AJ53"/>
    <mergeCell ref="AK52:AL53"/>
    <mergeCell ref="AM52:AN53"/>
    <mergeCell ref="AK47:AL48"/>
    <mergeCell ref="AM47:AN48"/>
    <mergeCell ref="AO47:AP48"/>
    <mergeCell ref="AQ47:AR48"/>
    <mergeCell ref="A50:Z50"/>
    <mergeCell ref="AC50:AF50"/>
    <mergeCell ref="AG50:AJ50"/>
    <mergeCell ref="AK50:AN50"/>
    <mergeCell ref="AO50:AR50"/>
    <mergeCell ref="A47:Z48"/>
    <mergeCell ref="AA47:AB48"/>
    <mergeCell ref="AC47:AD48"/>
    <mergeCell ref="AE47:AF48"/>
    <mergeCell ref="AG47:AH48"/>
    <mergeCell ref="AI47:AJ48"/>
    <mergeCell ref="AQ43:AR43"/>
    <mergeCell ref="B44:M44"/>
    <mergeCell ref="N44:X44"/>
    <mergeCell ref="B45:M45"/>
    <mergeCell ref="N45:X45"/>
    <mergeCell ref="AE43:AF43"/>
    <mergeCell ref="AG43:AH43"/>
    <mergeCell ref="AI43:AJ43"/>
    <mergeCell ref="AK43:AL43"/>
    <mergeCell ref="AM43:AN43"/>
    <mergeCell ref="AO43:AP43"/>
    <mergeCell ref="B42:M42"/>
    <mergeCell ref="N42:Z42"/>
    <mergeCell ref="B43:M43"/>
    <mergeCell ref="N43:X43"/>
    <mergeCell ref="AA43:AB43"/>
    <mergeCell ref="AC43:AD43"/>
    <mergeCell ref="AG41:AH41"/>
    <mergeCell ref="AI41:AJ41"/>
    <mergeCell ref="AK41:AL41"/>
    <mergeCell ref="AM41:AN41"/>
    <mergeCell ref="AO41:AP41"/>
    <mergeCell ref="AQ41:AR41"/>
    <mergeCell ref="AI40:AJ40"/>
    <mergeCell ref="AK40:AL40"/>
    <mergeCell ref="AM40:AN40"/>
    <mergeCell ref="AO40:AP40"/>
    <mergeCell ref="AQ40:AR40"/>
    <mergeCell ref="B41:M41"/>
    <mergeCell ref="N41:Z41"/>
    <mergeCell ref="AA41:AB41"/>
    <mergeCell ref="AC41:AD41"/>
    <mergeCell ref="AE41:AF41"/>
    <mergeCell ref="B40:M40"/>
    <mergeCell ref="N40:Z40"/>
    <mergeCell ref="AA40:AB40"/>
    <mergeCell ref="AC40:AD40"/>
    <mergeCell ref="AE40:AF40"/>
    <mergeCell ref="AG40:AH40"/>
    <mergeCell ref="AI38:AJ38"/>
    <mergeCell ref="AK38:AL38"/>
    <mergeCell ref="AM38:AN38"/>
    <mergeCell ref="AO38:AP38"/>
    <mergeCell ref="AQ38:AR38"/>
    <mergeCell ref="B39:M39"/>
    <mergeCell ref="N39:Z39"/>
    <mergeCell ref="B38:M38"/>
    <mergeCell ref="N38:Z38"/>
    <mergeCell ref="AA38:AB38"/>
    <mergeCell ref="AC38:AD38"/>
    <mergeCell ref="AE38:AF38"/>
    <mergeCell ref="AG38:AH38"/>
    <mergeCell ref="AO35:AR35"/>
    <mergeCell ref="AC36:AD37"/>
    <mergeCell ref="AE36:AF37"/>
    <mergeCell ref="AG36:AH37"/>
    <mergeCell ref="AI36:AJ37"/>
    <mergeCell ref="AK36:AL37"/>
    <mergeCell ref="AM36:AN37"/>
    <mergeCell ref="AO36:AP37"/>
    <mergeCell ref="AQ36:AR37"/>
    <mergeCell ref="AO30:AP31"/>
    <mergeCell ref="AQ30:AR31"/>
    <mergeCell ref="A33:AR33"/>
    <mergeCell ref="A35:A37"/>
    <mergeCell ref="B35:M37"/>
    <mergeCell ref="N35:Z37"/>
    <mergeCell ref="AA35:AB37"/>
    <mergeCell ref="AC35:AF35"/>
    <mergeCell ref="AG35:AJ35"/>
    <mergeCell ref="AK35:AN35"/>
    <mergeCell ref="AO27:AP29"/>
    <mergeCell ref="AQ27:AR29"/>
    <mergeCell ref="A30:Z31"/>
    <mergeCell ref="AA30:AB31"/>
    <mergeCell ref="AC30:AD31"/>
    <mergeCell ref="AE30:AF31"/>
    <mergeCell ref="AG30:AH31"/>
    <mergeCell ref="AI30:AJ31"/>
    <mergeCell ref="AK30:AL31"/>
    <mergeCell ref="AM30:AN31"/>
    <mergeCell ref="AO24:AP26"/>
    <mergeCell ref="AQ24:AR26"/>
    <mergeCell ref="A27:Z29"/>
    <mergeCell ref="AA27:AB29"/>
    <mergeCell ref="AC27:AD29"/>
    <mergeCell ref="AE27:AF29"/>
    <mergeCell ref="AG27:AH29"/>
    <mergeCell ref="AI27:AJ29"/>
    <mergeCell ref="AK27:AL29"/>
    <mergeCell ref="AM27:AN29"/>
    <mergeCell ref="AO21:AP23"/>
    <mergeCell ref="AQ21:AR23"/>
    <mergeCell ref="A24:Z26"/>
    <mergeCell ref="AA24:AB26"/>
    <mergeCell ref="AC24:AD26"/>
    <mergeCell ref="AE24:AF26"/>
    <mergeCell ref="AG24:AH26"/>
    <mergeCell ref="AI24:AJ26"/>
    <mergeCell ref="AK24:AL26"/>
    <mergeCell ref="AM24:AN26"/>
    <mergeCell ref="AO18:AP20"/>
    <mergeCell ref="AQ18:AR20"/>
    <mergeCell ref="A21:Z23"/>
    <mergeCell ref="AA21:AB23"/>
    <mergeCell ref="AC21:AD23"/>
    <mergeCell ref="AE21:AF23"/>
    <mergeCell ref="AG21:AH23"/>
    <mergeCell ref="AI21:AJ23"/>
    <mergeCell ref="AK21:AL23"/>
    <mergeCell ref="AM21:AN23"/>
    <mergeCell ref="AO16:AP17"/>
    <mergeCell ref="AQ16:AR17"/>
    <mergeCell ref="A18:Z20"/>
    <mergeCell ref="AA18:AB20"/>
    <mergeCell ref="AC18:AD20"/>
    <mergeCell ref="AE18:AF20"/>
    <mergeCell ref="AG18:AH20"/>
    <mergeCell ref="AI18:AJ20"/>
    <mergeCell ref="AK18:AL20"/>
    <mergeCell ref="AM18:AN20"/>
    <mergeCell ref="AC16:AD17"/>
    <mergeCell ref="AE16:AF17"/>
    <mergeCell ref="AG16:AH17"/>
    <mergeCell ref="AI16:AJ17"/>
    <mergeCell ref="AK16:AL17"/>
    <mergeCell ref="AM16:AN17"/>
    <mergeCell ref="A1:AR2"/>
    <mergeCell ref="A4:N4"/>
    <mergeCell ref="AF11:AG11"/>
    <mergeCell ref="A13:AR13"/>
    <mergeCell ref="A15:Z17"/>
    <mergeCell ref="AA15:AB17"/>
    <mergeCell ref="AC15:AF15"/>
    <mergeCell ref="AG15:AJ15"/>
    <mergeCell ref="AK15:AN15"/>
    <mergeCell ref="AO15:AR15"/>
  </mergeCells>
  <pageMargins left="5.9055118110236227E-2" right="5.9055118110236227E-2" top="5.9055118110236227E-2" bottom="5.9055118110236227E-2" header="0" footer="0"/>
  <pageSetup paperSize="9" orientation="landscape"/>
  <rowBreaks count="1" manualBreakCount="1">
    <brk id="7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00BF4-8E4E-4F98-8222-9231E0672473}">
  <sheetPr>
    <tabColor rgb="FFFF0000"/>
  </sheetPr>
  <dimension ref="A1:AR1003"/>
  <sheetViews>
    <sheetView showGridLines="0" topLeftCell="A28" workbookViewId="0">
      <selection activeCell="W116" sqref="W116"/>
    </sheetView>
  </sheetViews>
  <sheetFormatPr defaultColWidth="14.42578125" defaultRowHeight="15" customHeight="1" x14ac:dyDescent="0.25"/>
  <cols>
    <col min="1" max="1" width="5.140625" style="57" customWidth="1"/>
    <col min="2" max="11" width="3.28515625" style="57" customWidth="1"/>
    <col min="12" max="12" width="2.42578125" style="57" customWidth="1"/>
    <col min="13" max="13" width="4.28515625" style="57" customWidth="1"/>
    <col min="14" max="20" width="3.28515625" style="57" customWidth="1"/>
    <col min="21" max="21" width="4.42578125" style="57" customWidth="1"/>
    <col min="22" max="23" width="3.28515625" style="57" customWidth="1"/>
    <col min="24" max="24" width="0.85546875" style="57" customWidth="1"/>
    <col min="25" max="25" width="0.7109375" style="57" hidden="1" customWidth="1"/>
    <col min="26" max="26" width="0.5703125" style="57" hidden="1" customWidth="1"/>
    <col min="27" max="27" width="3.28515625" style="57" customWidth="1"/>
    <col min="28" max="28" width="6" style="57" customWidth="1"/>
    <col min="29" max="29" width="4.28515625" style="57" customWidth="1"/>
    <col min="30" max="30" width="7.5703125" style="57" customWidth="1"/>
    <col min="31" max="44" width="4.28515625" style="57" customWidth="1"/>
    <col min="45" max="16384" width="14.42578125" style="57"/>
  </cols>
  <sheetData>
    <row r="1" spans="1:44" x14ac:dyDescent="0.25">
      <c r="A1" s="138" t="s">
        <v>133</v>
      </c>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row>
    <row r="2" spans="1:44" x14ac:dyDescent="0.25">
      <c r="A2" s="112"/>
      <c r="B2" s="112"/>
      <c r="C2" s="112"/>
      <c r="D2" s="112"/>
      <c r="E2" s="112"/>
      <c r="F2" s="112"/>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2"/>
      <c r="AP2" s="112"/>
      <c r="AQ2" s="112"/>
      <c r="AR2" s="112"/>
    </row>
    <row r="3" spans="1:44" x14ac:dyDescent="0.25">
      <c r="A3" s="84"/>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row>
    <row r="4" spans="1:44" x14ac:dyDescent="0.25">
      <c r="A4" s="139" t="s">
        <v>71</v>
      </c>
      <c r="B4" s="103"/>
      <c r="C4" s="103"/>
      <c r="D4" s="103"/>
      <c r="E4" s="103"/>
      <c r="F4" s="103"/>
      <c r="G4" s="103"/>
      <c r="H4" s="103"/>
      <c r="I4" s="103"/>
      <c r="J4" s="103"/>
      <c r="K4" s="103"/>
      <c r="L4" s="103"/>
      <c r="M4" s="103"/>
      <c r="N4" s="103"/>
      <c r="O4" s="58"/>
      <c r="P4" s="58"/>
      <c r="Q4" s="58"/>
      <c r="R4" s="58"/>
      <c r="S4" s="59"/>
      <c r="T4" s="58"/>
      <c r="U4" s="58"/>
      <c r="V4" s="58"/>
      <c r="W4" s="58"/>
      <c r="X4" s="58"/>
      <c r="Y4" s="58"/>
      <c r="Z4" s="58"/>
      <c r="AA4" s="60" t="s">
        <v>72</v>
      </c>
      <c r="AB4" s="58"/>
      <c r="AC4" s="58"/>
      <c r="AD4" s="58"/>
      <c r="AE4" s="58"/>
      <c r="AF4" s="58"/>
      <c r="AG4" s="58"/>
      <c r="AH4" s="58"/>
      <c r="AI4" s="58"/>
      <c r="AJ4" s="58"/>
      <c r="AK4" s="58"/>
      <c r="AL4" s="58"/>
      <c r="AM4" s="58"/>
      <c r="AN4" s="58"/>
      <c r="AO4" s="58"/>
      <c r="AP4" s="58"/>
      <c r="AQ4" s="58"/>
      <c r="AR4" s="58"/>
    </row>
    <row r="5" spans="1:44" x14ac:dyDescent="0.25">
      <c r="A5" s="61"/>
      <c r="B5" s="62"/>
      <c r="C5" s="62"/>
      <c r="D5" s="62"/>
      <c r="E5" s="58"/>
      <c r="F5" s="58"/>
      <c r="G5" s="58"/>
      <c r="H5" s="58"/>
      <c r="I5" s="58"/>
      <c r="J5" s="58"/>
      <c r="K5" s="58"/>
      <c r="L5" s="58"/>
      <c r="M5" s="58"/>
      <c r="N5" s="58"/>
      <c r="O5" s="58"/>
      <c r="P5" s="58"/>
      <c r="Q5" s="58"/>
      <c r="R5" s="58"/>
      <c r="S5" s="59"/>
      <c r="T5" s="58"/>
      <c r="U5" s="58"/>
      <c r="V5" s="58"/>
      <c r="W5" s="58"/>
      <c r="X5" s="58"/>
      <c r="Y5" s="58"/>
      <c r="Z5" s="58"/>
      <c r="AA5" s="60"/>
      <c r="AB5" s="58"/>
      <c r="AC5" s="58"/>
      <c r="AD5" s="58"/>
      <c r="AE5" s="58"/>
      <c r="AF5" s="58"/>
      <c r="AG5" s="58"/>
      <c r="AH5" s="58"/>
      <c r="AI5" s="58"/>
      <c r="AJ5" s="58"/>
      <c r="AK5" s="58"/>
      <c r="AL5" s="58"/>
      <c r="AM5" s="58"/>
      <c r="AN5" s="58"/>
      <c r="AO5" s="58"/>
      <c r="AP5" s="58"/>
      <c r="AQ5" s="58"/>
      <c r="AR5" s="58"/>
    </row>
    <row r="6" spans="1:44" ht="16.5" customHeight="1" x14ac:dyDescent="0.25">
      <c r="A6" s="64" t="s">
        <v>73</v>
      </c>
      <c r="B6" s="62"/>
      <c r="C6" s="62"/>
      <c r="D6" s="62"/>
      <c r="E6" s="58" t="s">
        <v>137</v>
      </c>
      <c r="F6" s="58"/>
      <c r="G6" s="58"/>
      <c r="H6" s="58"/>
      <c r="I6" s="58"/>
      <c r="J6" s="58"/>
      <c r="K6" s="58"/>
      <c r="L6" s="58"/>
      <c r="M6" s="58"/>
      <c r="N6" s="58"/>
      <c r="O6" s="58"/>
      <c r="P6" s="58"/>
      <c r="Q6" s="58"/>
      <c r="R6" s="58"/>
      <c r="S6" s="58"/>
      <c r="T6" s="58"/>
      <c r="U6" s="58"/>
      <c r="V6" s="58"/>
      <c r="W6" s="58"/>
      <c r="X6" s="58"/>
      <c r="Y6" s="58"/>
      <c r="Z6" s="58"/>
      <c r="AA6" s="58" t="s">
        <v>73</v>
      </c>
      <c r="AB6" s="58"/>
      <c r="AC6" s="58"/>
      <c r="AD6" s="58"/>
      <c r="AE6" s="58" t="s">
        <v>74</v>
      </c>
      <c r="AF6" s="58"/>
      <c r="AG6" s="58"/>
      <c r="AH6" s="58"/>
      <c r="AI6" s="58"/>
      <c r="AJ6" s="58"/>
      <c r="AK6" s="58"/>
      <c r="AL6" s="58"/>
      <c r="AM6" s="58"/>
      <c r="AN6" s="58"/>
      <c r="AO6" s="58"/>
      <c r="AP6" s="58"/>
      <c r="AQ6" s="58"/>
      <c r="AR6" s="58"/>
    </row>
    <row r="7" spans="1:44" ht="16.5" customHeight="1" x14ac:dyDescent="0.25">
      <c r="A7" s="64" t="s">
        <v>76</v>
      </c>
      <c r="B7" s="62"/>
      <c r="C7" s="62"/>
      <c r="D7" s="62"/>
      <c r="E7" s="58" t="s">
        <v>427</v>
      </c>
      <c r="F7" s="58"/>
      <c r="G7" s="58"/>
      <c r="H7" s="58"/>
      <c r="I7" s="58"/>
      <c r="J7" s="58"/>
      <c r="K7" s="58"/>
      <c r="L7" s="58"/>
      <c r="M7" s="58"/>
      <c r="N7" s="58"/>
      <c r="O7" s="58"/>
      <c r="P7" s="58"/>
      <c r="Q7" s="58"/>
      <c r="R7" s="58"/>
      <c r="S7" s="58"/>
      <c r="T7" s="58"/>
      <c r="U7" s="58"/>
      <c r="V7" s="58"/>
      <c r="W7" s="58"/>
      <c r="X7" s="58"/>
      <c r="Y7" s="58"/>
      <c r="Z7" s="58"/>
      <c r="AA7" s="58" t="s">
        <v>76</v>
      </c>
      <c r="AB7" s="58"/>
      <c r="AC7" s="58"/>
      <c r="AD7" s="58"/>
      <c r="AE7" s="58" t="s">
        <v>140</v>
      </c>
      <c r="AF7" s="58"/>
      <c r="AG7" s="58"/>
      <c r="AH7" s="58"/>
      <c r="AI7" s="58"/>
      <c r="AJ7" s="58"/>
      <c r="AK7" s="58"/>
      <c r="AL7" s="58"/>
      <c r="AM7" s="58"/>
      <c r="AN7" s="58"/>
      <c r="AO7" s="58"/>
      <c r="AP7" s="58"/>
      <c r="AQ7" s="58"/>
      <c r="AR7" s="58"/>
    </row>
    <row r="8" spans="1:44" ht="16.5" customHeight="1" x14ac:dyDescent="0.25">
      <c r="A8" s="64" t="s">
        <v>77</v>
      </c>
      <c r="B8" s="62"/>
      <c r="C8" s="62"/>
      <c r="D8" s="62"/>
      <c r="E8" s="58" t="s">
        <v>136</v>
      </c>
      <c r="F8" s="58"/>
      <c r="G8" s="58"/>
      <c r="H8" s="58"/>
      <c r="I8" s="58"/>
      <c r="J8" s="58"/>
      <c r="K8" s="58"/>
      <c r="L8" s="58"/>
      <c r="M8" s="58"/>
      <c r="N8" s="58"/>
      <c r="O8" s="58"/>
      <c r="P8" s="58"/>
      <c r="Q8" s="58"/>
      <c r="R8" s="58"/>
      <c r="S8" s="58"/>
      <c r="T8" s="58"/>
      <c r="U8" s="58"/>
      <c r="V8" s="58"/>
      <c r="W8" s="58"/>
      <c r="X8" s="58"/>
      <c r="Y8" s="58"/>
      <c r="Z8" s="58"/>
      <c r="AA8" s="58" t="s">
        <v>77</v>
      </c>
      <c r="AB8" s="58"/>
      <c r="AC8" s="58"/>
      <c r="AD8" s="58"/>
      <c r="AE8" s="58" t="s">
        <v>141</v>
      </c>
      <c r="AF8" s="58"/>
      <c r="AG8" s="58"/>
      <c r="AH8" s="58"/>
      <c r="AI8" s="58"/>
      <c r="AJ8" s="58"/>
      <c r="AK8" s="58"/>
      <c r="AL8" s="58"/>
      <c r="AM8" s="58"/>
      <c r="AN8" s="58"/>
      <c r="AO8" s="58"/>
      <c r="AP8" s="58"/>
      <c r="AQ8" s="58"/>
      <c r="AR8" s="58"/>
    </row>
    <row r="9" spans="1:44" ht="16.5" customHeight="1" x14ac:dyDescent="0.25">
      <c r="A9" s="64" t="s">
        <v>134</v>
      </c>
      <c r="B9" s="62"/>
      <c r="C9" s="62"/>
      <c r="D9" s="62"/>
      <c r="E9" s="58" t="s">
        <v>79</v>
      </c>
      <c r="F9" s="58"/>
      <c r="G9" s="58"/>
      <c r="H9" s="58"/>
      <c r="I9" s="58"/>
      <c r="J9" s="58"/>
      <c r="K9" s="58"/>
      <c r="L9" s="58"/>
      <c r="M9" s="58"/>
      <c r="N9" s="58"/>
      <c r="O9" s="58"/>
      <c r="P9" s="58"/>
      <c r="Q9" s="58"/>
      <c r="R9" s="58"/>
      <c r="S9" s="58"/>
      <c r="T9" s="58"/>
      <c r="U9" s="58"/>
      <c r="V9" s="58"/>
      <c r="W9" s="58"/>
      <c r="X9" s="58"/>
      <c r="Y9" s="58"/>
      <c r="Z9" s="58"/>
      <c r="AA9" s="58" t="s">
        <v>78</v>
      </c>
      <c r="AB9" s="58"/>
      <c r="AC9" s="58"/>
      <c r="AD9" s="58"/>
      <c r="AE9" s="58" t="s">
        <v>137</v>
      </c>
      <c r="AF9" s="58"/>
      <c r="AG9" s="58"/>
      <c r="AH9" s="58"/>
      <c r="AI9" s="58"/>
      <c r="AJ9" s="58"/>
      <c r="AK9" s="58"/>
      <c r="AL9" s="58"/>
      <c r="AM9" s="58"/>
      <c r="AN9" s="58"/>
      <c r="AO9" s="58"/>
      <c r="AP9" s="58"/>
      <c r="AQ9" s="58"/>
      <c r="AR9" s="58"/>
    </row>
    <row r="10" spans="1:44" ht="16.5" customHeight="1" x14ac:dyDescent="0.25">
      <c r="A10" s="64" t="s">
        <v>138</v>
      </c>
      <c r="B10" s="62"/>
      <c r="C10" s="62"/>
      <c r="D10" s="62"/>
      <c r="E10" s="58" t="s">
        <v>139</v>
      </c>
      <c r="F10" s="58"/>
      <c r="G10" s="58"/>
      <c r="H10" s="58"/>
      <c r="I10" s="58"/>
      <c r="J10" s="58"/>
      <c r="K10" s="58"/>
      <c r="L10" s="58"/>
      <c r="M10" s="58"/>
      <c r="N10" s="58"/>
      <c r="O10" s="58"/>
      <c r="P10" s="58"/>
      <c r="Q10" s="58"/>
      <c r="R10" s="58"/>
      <c r="S10" s="58"/>
      <c r="T10" s="58"/>
      <c r="U10" s="58"/>
      <c r="V10" s="58"/>
      <c r="W10" s="58"/>
      <c r="X10" s="58"/>
      <c r="Y10" s="58"/>
      <c r="Z10" s="58"/>
      <c r="AA10" s="58" t="s">
        <v>80</v>
      </c>
      <c r="AB10" s="58"/>
      <c r="AC10" s="58"/>
      <c r="AD10" s="58"/>
      <c r="AE10" s="58" t="s">
        <v>139</v>
      </c>
      <c r="AF10" s="58"/>
      <c r="AG10" s="58"/>
      <c r="AH10" s="58"/>
      <c r="AI10" s="58"/>
      <c r="AJ10" s="58"/>
      <c r="AK10" s="58"/>
      <c r="AL10" s="58"/>
      <c r="AM10" s="58"/>
      <c r="AN10" s="58"/>
      <c r="AO10" s="58"/>
      <c r="AP10" s="58"/>
      <c r="AQ10" s="58"/>
      <c r="AR10" s="58"/>
    </row>
    <row r="11" spans="1:44" ht="16.5" customHeight="1" x14ac:dyDescent="0.25">
      <c r="A11" s="64" t="s">
        <v>81</v>
      </c>
      <c r="B11" s="62"/>
      <c r="C11" s="62"/>
      <c r="D11" s="62"/>
      <c r="E11" s="58" t="s">
        <v>137</v>
      </c>
      <c r="F11" s="58"/>
      <c r="G11" s="58"/>
      <c r="H11" s="58"/>
      <c r="I11" s="58"/>
      <c r="J11" s="58"/>
      <c r="K11" s="58"/>
      <c r="L11" s="58"/>
      <c r="M11" s="58"/>
      <c r="N11" s="58"/>
      <c r="O11" s="58"/>
      <c r="P11" s="58"/>
      <c r="Q11" s="58"/>
      <c r="R11" s="58"/>
      <c r="S11" s="58"/>
      <c r="T11" s="58"/>
      <c r="U11" s="58"/>
      <c r="V11" s="58"/>
      <c r="W11" s="58"/>
      <c r="X11" s="58"/>
      <c r="Y11" s="58"/>
      <c r="Z11" s="58"/>
      <c r="AA11" s="58" t="s">
        <v>81</v>
      </c>
      <c r="AB11" s="58"/>
      <c r="AC11" s="58"/>
      <c r="AD11" s="58"/>
      <c r="AE11" s="58" t="s">
        <v>75</v>
      </c>
      <c r="AF11" s="140"/>
      <c r="AG11" s="103"/>
      <c r="AH11" s="58"/>
      <c r="AI11" s="58"/>
      <c r="AJ11" s="58"/>
      <c r="AK11" s="58"/>
      <c r="AL11" s="58"/>
      <c r="AM11" s="58"/>
      <c r="AN11" s="58"/>
      <c r="AO11" s="58"/>
      <c r="AP11" s="58"/>
      <c r="AQ11" s="58"/>
      <c r="AR11" s="58"/>
    </row>
    <row r="12" spans="1:44" x14ac:dyDescent="0.25">
      <c r="A12" s="64"/>
      <c r="B12" s="62"/>
      <c r="C12" s="62"/>
      <c r="D12" s="62"/>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row>
    <row r="13" spans="1:44" x14ac:dyDescent="0.25">
      <c r="A13" s="121" t="s">
        <v>82</v>
      </c>
      <c r="B13" s="112"/>
      <c r="C13" s="112"/>
      <c r="D13" s="112"/>
      <c r="E13" s="112"/>
      <c r="F13" s="112"/>
      <c r="G13" s="112"/>
      <c r="H13" s="112"/>
      <c r="I13" s="112"/>
      <c r="J13" s="112"/>
      <c r="K13" s="112"/>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c r="AI13" s="112"/>
      <c r="AJ13" s="112"/>
      <c r="AK13" s="112"/>
      <c r="AL13" s="112"/>
      <c r="AM13" s="112"/>
      <c r="AN13" s="112"/>
      <c r="AO13" s="112"/>
      <c r="AP13" s="112"/>
      <c r="AQ13" s="112"/>
      <c r="AR13" s="112"/>
    </row>
    <row r="14" spans="1:44" ht="8.25" customHeight="1" x14ac:dyDescent="0.25">
      <c r="A14" s="64"/>
      <c r="B14" s="62"/>
      <c r="C14" s="62"/>
      <c r="D14" s="62"/>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row>
    <row r="15" spans="1:44" x14ac:dyDescent="0.25">
      <c r="A15" s="124" t="s">
        <v>83</v>
      </c>
      <c r="B15" s="100"/>
      <c r="C15" s="100"/>
      <c r="D15" s="100"/>
      <c r="E15" s="100"/>
      <c r="F15" s="100"/>
      <c r="G15" s="100"/>
      <c r="H15" s="100"/>
      <c r="I15" s="100"/>
      <c r="J15" s="100"/>
      <c r="K15" s="100"/>
      <c r="L15" s="100"/>
      <c r="M15" s="100"/>
      <c r="N15" s="100"/>
      <c r="O15" s="100"/>
      <c r="P15" s="100"/>
      <c r="Q15" s="100"/>
      <c r="R15" s="100"/>
      <c r="S15" s="100"/>
      <c r="T15" s="100"/>
      <c r="U15" s="100"/>
      <c r="V15" s="100"/>
      <c r="W15" s="100"/>
      <c r="X15" s="100"/>
      <c r="Y15" s="100"/>
      <c r="Z15" s="101"/>
      <c r="AA15" s="125" t="s">
        <v>84</v>
      </c>
      <c r="AB15" s="101"/>
      <c r="AC15" s="135" t="s">
        <v>85</v>
      </c>
      <c r="AD15" s="97"/>
      <c r="AE15" s="97"/>
      <c r="AF15" s="98"/>
      <c r="AG15" s="135" t="s">
        <v>86</v>
      </c>
      <c r="AH15" s="97"/>
      <c r="AI15" s="97"/>
      <c r="AJ15" s="98"/>
      <c r="AK15" s="135" t="s">
        <v>87</v>
      </c>
      <c r="AL15" s="97"/>
      <c r="AM15" s="97"/>
      <c r="AN15" s="98"/>
      <c r="AO15" s="135" t="s">
        <v>88</v>
      </c>
      <c r="AP15" s="97"/>
      <c r="AQ15" s="97"/>
      <c r="AR15" s="98"/>
    </row>
    <row r="16" spans="1:44" ht="15" customHeight="1" x14ac:dyDescent="0.25">
      <c r="A16" s="102"/>
      <c r="B16" s="103"/>
      <c r="C16" s="103"/>
      <c r="D16" s="103"/>
      <c r="E16" s="103"/>
      <c r="F16" s="103"/>
      <c r="G16" s="103"/>
      <c r="H16" s="103"/>
      <c r="I16" s="103"/>
      <c r="J16" s="103"/>
      <c r="K16" s="103"/>
      <c r="L16" s="103"/>
      <c r="M16" s="103"/>
      <c r="N16" s="103"/>
      <c r="O16" s="103"/>
      <c r="P16" s="103"/>
      <c r="Q16" s="103"/>
      <c r="R16" s="103"/>
      <c r="S16" s="103"/>
      <c r="T16" s="103"/>
      <c r="U16" s="103"/>
      <c r="V16" s="103"/>
      <c r="W16" s="103"/>
      <c r="X16" s="103"/>
      <c r="Y16" s="103"/>
      <c r="Z16" s="104"/>
      <c r="AA16" s="102"/>
      <c r="AB16" s="104"/>
      <c r="AC16" s="125" t="s">
        <v>89</v>
      </c>
      <c r="AD16" s="101"/>
      <c r="AE16" s="125" t="s">
        <v>90</v>
      </c>
      <c r="AF16" s="101"/>
      <c r="AG16" s="125" t="s">
        <v>89</v>
      </c>
      <c r="AH16" s="101"/>
      <c r="AI16" s="125" t="s">
        <v>90</v>
      </c>
      <c r="AJ16" s="101"/>
      <c r="AK16" s="125" t="s">
        <v>89</v>
      </c>
      <c r="AL16" s="101"/>
      <c r="AM16" s="125" t="s">
        <v>90</v>
      </c>
      <c r="AN16" s="101"/>
      <c r="AO16" s="125" t="s">
        <v>89</v>
      </c>
      <c r="AP16" s="101"/>
      <c r="AQ16" s="125" t="s">
        <v>90</v>
      </c>
      <c r="AR16" s="101"/>
    </row>
    <row r="17" spans="1:44" x14ac:dyDescent="0.25">
      <c r="A17" s="105"/>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7"/>
      <c r="AA17" s="105"/>
      <c r="AB17" s="107"/>
      <c r="AC17" s="105"/>
      <c r="AD17" s="107"/>
      <c r="AE17" s="105"/>
      <c r="AF17" s="107"/>
      <c r="AG17" s="105"/>
      <c r="AH17" s="107"/>
      <c r="AI17" s="105"/>
      <c r="AJ17" s="107"/>
      <c r="AK17" s="105"/>
      <c r="AL17" s="107"/>
      <c r="AM17" s="105"/>
      <c r="AN17" s="107"/>
      <c r="AO17" s="105"/>
      <c r="AP17" s="107"/>
      <c r="AQ17" s="105"/>
      <c r="AR17" s="107"/>
    </row>
    <row r="18" spans="1:44" ht="15" customHeight="1" x14ac:dyDescent="0.25">
      <c r="A18" s="99" t="s">
        <v>142</v>
      </c>
      <c r="B18" s="100"/>
      <c r="C18" s="100"/>
      <c r="D18" s="100"/>
      <c r="E18" s="100"/>
      <c r="F18" s="100"/>
      <c r="G18" s="100"/>
      <c r="H18" s="100"/>
      <c r="I18" s="100"/>
      <c r="J18" s="100"/>
      <c r="K18" s="100"/>
      <c r="L18" s="100"/>
      <c r="M18" s="100"/>
      <c r="N18" s="100"/>
      <c r="O18" s="100"/>
      <c r="P18" s="100"/>
      <c r="Q18" s="100"/>
      <c r="R18" s="100"/>
      <c r="S18" s="100"/>
      <c r="T18" s="100"/>
      <c r="U18" s="100"/>
      <c r="V18" s="100"/>
      <c r="W18" s="100"/>
      <c r="X18" s="100"/>
      <c r="Y18" s="100"/>
      <c r="Z18" s="101"/>
      <c r="AA18" s="137">
        <v>0.25</v>
      </c>
      <c r="AB18" s="101"/>
      <c r="AC18" s="108"/>
      <c r="AD18" s="101"/>
      <c r="AE18" s="108"/>
      <c r="AF18" s="101"/>
      <c r="AG18" s="108"/>
      <c r="AH18" s="101"/>
      <c r="AI18" s="108"/>
      <c r="AJ18" s="101"/>
      <c r="AK18" s="108">
        <v>5</v>
      </c>
      <c r="AL18" s="101"/>
      <c r="AM18" s="108">
        <v>4</v>
      </c>
      <c r="AN18" s="101"/>
      <c r="AO18" s="108">
        <v>4</v>
      </c>
      <c r="AP18" s="101"/>
      <c r="AQ18" s="108">
        <v>4</v>
      </c>
      <c r="AR18" s="101"/>
    </row>
    <row r="19" spans="1:44" ht="15" customHeight="1" x14ac:dyDescent="0.25">
      <c r="A19" s="102"/>
      <c r="B19" s="103"/>
      <c r="C19" s="103"/>
      <c r="D19" s="103"/>
      <c r="E19" s="103"/>
      <c r="F19" s="103"/>
      <c r="G19" s="103"/>
      <c r="H19" s="103"/>
      <c r="I19" s="103"/>
      <c r="J19" s="103"/>
      <c r="K19" s="103"/>
      <c r="L19" s="103"/>
      <c r="M19" s="103"/>
      <c r="N19" s="103"/>
      <c r="O19" s="103"/>
      <c r="P19" s="103"/>
      <c r="Q19" s="103"/>
      <c r="R19" s="103"/>
      <c r="S19" s="103"/>
      <c r="T19" s="103"/>
      <c r="U19" s="103"/>
      <c r="V19" s="103"/>
      <c r="W19" s="103"/>
      <c r="X19" s="103"/>
      <c r="Y19" s="103"/>
      <c r="Z19" s="104"/>
      <c r="AA19" s="102"/>
      <c r="AB19" s="104"/>
      <c r="AC19" s="102"/>
      <c r="AD19" s="104"/>
      <c r="AE19" s="102"/>
      <c r="AF19" s="104"/>
      <c r="AG19" s="102"/>
      <c r="AH19" s="104"/>
      <c r="AI19" s="102"/>
      <c r="AJ19" s="104"/>
      <c r="AK19" s="102"/>
      <c r="AL19" s="104"/>
      <c r="AM19" s="102"/>
      <c r="AN19" s="104"/>
      <c r="AO19" s="102"/>
      <c r="AP19" s="104"/>
      <c r="AQ19" s="102"/>
      <c r="AR19" s="104"/>
    </row>
    <row r="20" spans="1:44" x14ac:dyDescent="0.25">
      <c r="A20" s="105"/>
      <c r="B20" s="106"/>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7"/>
      <c r="AA20" s="105"/>
      <c r="AB20" s="107"/>
      <c r="AC20" s="105"/>
      <c r="AD20" s="107"/>
      <c r="AE20" s="105"/>
      <c r="AF20" s="107"/>
      <c r="AG20" s="105"/>
      <c r="AH20" s="107"/>
      <c r="AI20" s="105"/>
      <c r="AJ20" s="107"/>
      <c r="AK20" s="105"/>
      <c r="AL20" s="107"/>
      <c r="AM20" s="105"/>
      <c r="AN20" s="107"/>
      <c r="AO20" s="105"/>
      <c r="AP20" s="107"/>
      <c r="AQ20" s="105"/>
      <c r="AR20" s="107"/>
    </row>
    <row r="21" spans="1:44" ht="15.75" customHeight="1" x14ac:dyDescent="0.25">
      <c r="A21" s="99" t="s">
        <v>143</v>
      </c>
      <c r="B21" s="100"/>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1"/>
      <c r="AA21" s="137">
        <v>0.25</v>
      </c>
      <c r="AB21" s="101"/>
      <c r="AC21" s="108"/>
      <c r="AD21" s="101"/>
      <c r="AE21" s="108"/>
      <c r="AF21" s="101"/>
      <c r="AG21" s="108"/>
      <c r="AH21" s="101"/>
      <c r="AI21" s="108"/>
      <c r="AJ21" s="101"/>
      <c r="AK21" s="108">
        <v>5</v>
      </c>
      <c r="AL21" s="101"/>
      <c r="AM21" s="108">
        <v>4</v>
      </c>
      <c r="AN21" s="101"/>
      <c r="AO21" s="108">
        <v>5</v>
      </c>
      <c r="AP21" s="101"/>
      <c r="AQ21" s="108">
        <v>4</v>
      </c>
      <c r="AR21" s="101"/>
    </row>
    <row r="22" spans="1:44" ht="15.75" customHeight="1" x14ac:dyDescent="0.25">
      <c r="A22" s="102"/>
      <c r="B22" s="103"/>
      <c r="C22" s="103"/>
      <c r="D22" s="103"/>
      <c r="E22" s="103"/>
      <c r="F22" s="103"/>
      <c r="G22" s="103"/>
      <c r="H22" s="103"/>
      <c r="I22" s="103"/>
      <c r="J22" s="103"/>
      <c r="K22" s="103"/>
      <c r="L22" s="103"/>
      <c r="M22" s="103"/>
      <c r="N22" s="103"/>
      <c r="O22" s="103"/>
      <c r="P22" s="103"/>
      <c r="Q22" s="103"/>
      <c r="R22" s="103"/>
      <c r="S22" s="103"/>
      <c r="T22" s="103"/>
      <c r="U22" s="103"/>
      <c r="V22" s="103"/>
      <c r="W22" s="103"/>
      <c r="X22" s="103"/>
      <c r="Y22" s="103"/>
      <c r="Z22" s="104"/>
      <c r="AA22" s="102"/>
      <c r="AB22" s="104"/>
      <c r="AC22" s="102"/>
      <c r="AD22" s="104"/>
      <c r="AE22" s="102"/>
      <c r="AF22" s="104"/>
      <c r="AG22" s="102"/>
      <c r="AH22" s="104"/>
      <c r="AI22" s="102"/>
      <c r="AJ22" s="104"/>
      <c r="AK22" s="102"/>
      <c r="AL22" s="104"/>
      <c r="AM22" s="102"/>
      <c r="AN22" s="104"/>
      <c r="AO22" s="102"/>
      <c r="AP22" s="104"/>
      <c r="AQ22" s="102"/>
      <c r="AR22" s="104"/>
    </row>
    <row r="23" spans="1:44" ht="15.75" customHeight="1" x14ac:dyDescent="0.25">
      <c r="A23" s="105"/>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7"/>
      <c r="AA23" s="105"/>
      <c r="AB23" s="107"/>
      <c r="AC23" s="105"/>
      <c r="AD23" s="107"/>
      <c r="AE23" s="105"/>
      <c r="AF23" s="107"/>
      <c r="AG23" s="105"/>
      <c r="AH23" s="107"/>
      <c r="AI23" s="105"/>
      <c r="AJ23" s="107"/>
      <c r="AK23" s="105"/>
      <c r="AL23" s="107"/>
      <c r="AM23" s="105"/>
      <c r="AN23" s="107"/>
      <c r="AO23" s="105"/>
      <c r="AP23" s="107"/>
      <c r="AQ23" s="105"/>
      <c r="AR23" s="107"/>
    </row>
    <row r="24" spans="1:44" ht="15.75" customHeight="1" x14ac:dyDescent="0.25">
      <c r="A24" s="99" t="s">
        <v>144</v>
      </c>
      <c r="B24" s="100"/>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Z24" s="101"/>
      <c r="AA24" s="137">
        <v>0.25</v>
      </c>
      <c r="AB24" s="101"/>
      <c r="AC24" s="108"/>
      <c r="AD24" s="101"/>
      <c r="AE24" s="108"/>
      <c r="AF24" s="101"/>
      <c r="AG24" s="108"/>
      <c r="AH24" s="101"/>
      <c r="AI24" s="108"/>
      <c r="AJ24" s="101"/>
      <c r="AK24" s="108">
        <v>5</v>
      </c>
      <c r="AL24" s="101"/>
      <c r="AM24" s="108">
        <v>4</v>
      </c>
      <c r="AN24" s="101"/>
      <c r="AO24" s="108">
        <v>5</v>
      </c>
      <c r="AP24" s="101"/>
      <c r="AQ24" s="108">
        <v>4</v>
      </c>
      <c r="AR24" s="101"/>
    </row>
    <row r="25" spans="1:44" ht="15.75" customHeight="1" x14ac:dyDescent="0.25">
      <c r="A25" s="102"/>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c r="Z25" s="104"/>
      <c r="AA25" s="102"/>
      <c r="AB25" s="104"/>
      <c r="AC25" s="102"/>
      <c r="AD25" s="104"/>
      <c r="AE25" s="102"/>
      <c r="AF25" s="104"/>
      <c r="AG25" s="102"/>
      <c r="AH25" s="104"/>
      <c r="AI25" s="102"/>
      <c r="AJ25" s="104"/>
      <c r="AK25" s="102"/>
      <c r="AL25" s="104"/>
      <c r="AM25" s="102"/>
      <c r="AN25" s="104"/>
      <c r="AO25" s="102"/>
      <c r="AP25" s="104"/>
      <c r="AQ25" s="102"/>
      <c r="AR25" s="104"/>
    </row>
    <row r="26" spans="1:44" ht="15.75" customHeight="1" x14ac:dyDescent="0.25">
      <c r="A26" s="105"/>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7"/>
      <c r="AA26" s="105"/>
      <c r="AB26" s="107"/>
      <c r="AC26" s="105"/>
      <c r="AD26" s="107"/>
      <c r="AE26" s="105"/>
      <c r="AF26" s="107"/>
      <c r="AG26" s="105"/>
      <c r="AH26" s="107"/>
      <c r="AI26" s="105"/>
      <c r="AJ26" s="107"/>
      <c r="AK26" s="105"/>
      <c r="AL26" s="107"/>
      <c r="AM26" s="105"/>
      <c r="AN26" s="107"/>
      <c r="AO26" s="105"/>
      <c r="AP26" s="107"/>
      <c r="AQ26" s="105"/>
      <c r="AR26" s="107"/>
    </row>
    <row r="27" spans="1:44" ht="15.75" customHeight="1" x14ac:dyDescent="0.25">
      <c r="A27" s="99" t="s">
        <v>152</v>
      </c>
      <c r="B27" s="100"/>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1"/>
      <c r="AA27" s="137">
        <v>0.25</v>
      </c>
      <c r="AB27" s="101"/>
      <c r="AC27" s="108"/>
      <c r="AD27" s="101"/>
      <c r="AE27" s="108"/>
      <c r="AF27" s="101"/>
      <c r="AG27" s="108"/>
      <c r="AH27" s="101"/>
      <c r="AI27" s="108"/>
      <c r="AJ27" s="101"/>
      <c r="AK27" s="108">
        <v>4</v>
      </c>
      <c r="AL27" s="101"/>
      <c r="AM27" s="108">
        <v>4</v>
      </c>
      <c r="AN27" s="101"/>
      <c r="AO27" s="108">
        <v>5</v>
      </c>
      <c r="AP27" s="101"/>
      <c r="AQ27" s="108">
        <v>4</v>
      </c>
      <c r="AR27" s="101"/>
    </row>
    <row r="28" spans="1:44" ht="15.75" customHeight="1" x14ac:dyDescent="0.25">
      <c r="A28" s="102"/>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4"/>
      <c r="AA28" s="102"/>
      <c r="AB28" s="104"/>
      <c r="AC28" s="102"/>
      <c r="AD28" s="104"/>
      <c r="AE28" s="102"/>
      <c r="AF28" s="104"/>
      <c r="AG28" s="102"/>
      <c r="AH28" s="104"/>
      <c r="AI28" s="102"/>
      <c r="AJ28" s="104"/>
      <c r="AK28" s="102"/>
      <c r="AL28" s="104"/>
      <c r="AM28" s="102"/>
      <c r="AN28" s="104"/>
      <c r="AO28" s="102"/>
      <c r="AP28" s="104"/>
      <c r="AQ28" s="102"/>
      <c r="AR28" s="104"/>
    </row>
    <row r="29" spans="1:44" ht="15.75" customHeight="1" x14ac:dyDescent="0.25">
      <c r="A29" s="105"/>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7"/>
      <c r="AA29" s="105"/>
      <c r="AB29" s="107"/>
      <c r="AC29" s="105"/>
      <c r="AD29" s="107"/>
      <c r="AE29" s="105"/>
      <c r="AF29" s="107"/>
      <c r="AG29" s="105"/>
      <c r="AH29" s="107"/>
      <c r="AI29" s="105"/>
      <c r="AJ29" s="107"/>
      <c r="AK29" s="105"/>
      <c r="AL29" s="107"/>
      <c r="AM29" s="105"/>
      <c r="AN29" s="107"/>
      <c r="AO29" s="105"/>
      <c r="AP29" s="107"/>
      <c r="AQ29" s="105"/>
      <c r="AR29" s="107"/>
    </row>
    <row r="30" spans="1:44" ht="15.75" customHeight="1" x14ac:dyDescent="0.25">
      <c r="A30" s="129" t="s">
        <v>91</v>
      </c>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1"/>
      <c r="AA30" s="127">
        <f>SUM(AA18:AB29)</f>
        <v>1</v>
      </c>
      <c r="AB30" s="101"/>
      <c r="AC30" s="127">
        <f>SUMPRODUCT($AA$18:$AB$29,AC18:AD29)/($AA$30*5)</f>
        <v>0</v>
      </c>
      <c r="AD30" s="101"/>
      <c r="AE30" s="127">
        <f>SUMPRODUCT($AA$18:$AB$29,AE18:AF29)/($AA$30*5)</f>
        <v>0</v>
      </c>
      <c r="AF30" s="101"/>
      <c r="AG30" s="127">
        <f>SUMPRODUCT($AA$18:$AB$29,AG18:AH29)/($AA$30*5)</f>
        <v>0</v>
      </c>
      <c r="AH30" s="101"/>
      <c r="AI30" s="127">
        <f>SUMPRODUCT($AA$18:$AB$29,AI18:AJ29)/($AA$30*5)</f>
        <v>0</v>
      </c>
      <c r="AJ30" s="101"/>
      <c r="AK30" s="127">
        <f>SUMPRODUCT($AA$18:$AB$29,AK18:AL29)/($AA$30*5)</f>
        <v>0.95</v>
      </c>
      <c r="AL30" s="101"/>
      <c r="AM30" s="127">
        <f>SUMPRODUCT($AA$18:$AB$29,AM18:AN29)/($AA$30*5)</f>
        <v>0.8</v>
      </c>
      <c r="AN30" s="101"/>
      <c r="AO30" s="127">
        <f>SUMPRODUCT($AA$18:$AB$29,AO18:AP29)/($AA$30*5)</f>
        <v>0.95</v>
      </c>
      <c r="AP30" s="101"/>
      <c r="AQ30" s="127">
        <f>SUMPRODUCT($AA$18:$AB$29,AQ18:AR29)/($AA$30*5)</f>
        <v>0.8</v>
      </c>
      <c r="AR30" s="101"/>
    </row>
    <row r="31" spans="1:44" ht="15.75" customHeight="1" x14ac:dyDescent="0.25">
      <c r="A31" s="105"/>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7"/>
      <c r="AA31" s="105"/>
      <c r="AB31" s="107"/>
      <c r="AC31" s="105"/>
      <c r="AD31" s="107"/>
      <c r="AE31" s="105"/>
      <c r="AF31" s="107"/>
      <c r="AG31" s="105"/>
      <c r="AH31" s="107"/>
      <c r="AI31" s="105"/>
      <c r="AJ31" s="107"/>
      <c r="AK31" s="105"/>
      <c r="AL31" s="107"/>
      <c r="AM31" s="105"/>
      <c r="AN31" s="107"/>
      <c r="AO31" s="105"/>
      <c r="AP31" s="107"/>
      <c r="AQ31" s="105"/>
      <c r="AR31" s="107"/>
    </row>
    <row r="32" spans="1:44" ht="8.25" customHeight="1" x14ac:dyDescent="0.25">
      <c r="A32" s="64"/>
      <c r="B32" s="62"/>
      <c r="C32" s="62"/>
      <c r="D32" s="62"/>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row>
    <row r="33" spans="1:44" ht="15.75" customHeight="1" x14ac:dyDescent="0.25">
      <c r="A33" s="121" t="s">
        <v>146</v>
      </c>
      <c r="B33" s="112"/>
      <c r="C33" s="112"/>
      <c r="D33" s="112"/>
      <c r="E33" s="112"/>
      <c r="F33" s="112"/>
      <c r="G33" s="112"/>
      <c r="H33" s="112"/>
      <c r="I33" s="112"/>
      <c r="J33" s="112"/>
      <c r="K33" s="112"/>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row>
    <row r="34" spans="1:44" ht="8.25" customHeight="1" x14ac:dyDescent="0.25">
      <c r="A34" s="64"/>
      <c r="B34" s="62"/>
      <c r="C34" s="62"/>
      <c r="D34" s="62"/>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row>
    <row r="35" spans="1:44" ht="15.75" customHeight="1" x14ac:dyDescent="0.25">
      <c r="A35" s="136" t="s">
        <v>92</v>
      </c>
      <c r="B35" s="124" t="s">
        <v>145</v>
      </c>
      <c r="C35" s="100"/>
      <c r="D35" s="100"/>
      <c r="E35" s="100"/>
      <c r="F35" s="100"/>
      <c r="G35" s="100"/>
      <c r="H35" s="100"/>
      <c r="I35" s="100"/>
      <c r="J35" s="100"/>
      <c r="K35" s="100"/>
      <c r="L35" s="100"/>
      <c r="M35" s="101"/>
      <c r="N35" s="125" t="s">
        <v>147</v>
      </c>
      <c r="O35" s="100"/>
      <c r="P35" s="100"/>
      <c r="Q35" s="100"/>
      <c r="R35" s="100"/>
      <c r="S35" s="100"/>
      <c r="T35" s="100"/>
      <c r="U35" s="100"/>
      <c r="V35" s="100"/>
      <c r="W35" s="100"/>
      <c r="X35" s="100"/>
      <c r="Y35" s="100"/>
      <c r="Z35" s="101"/>
      <c r="AA35" s="125" t="s">
        <v>84</v>
      </c>
      <c r="AB35" s="101"/>
      <c r="AC35" s="135" t="s">
        <v>85</v>
      </c>
      <c r="AD35" s="97"/>
      <c r="AE35" s="97"/>
      <c r="AF35" s="98"/>
      <c r="AG35" s="135" t="s">
        <v>86</v>
      </c>
      <c r="AH35" s="97"/>
      <c r="AI35" s="97"/>
      <c r="AJ35" s="98"/>
      <c r="AK35" s="135" t="s">
        <v>87</v>
      </c>
      <c r="AL35" s="97"/>
      <c r="AM35" s="97"/>
      <c r="AN35" s="98"/>
      <c r="AO35" s="135" t="s">
        <v>88</v>
      </c>
      <c r="AP35" s="97"/>
      <c r="AQ35" s="97"/>
      <c r="AR35" s="98"/>
    </row>
    <row r="36" spans="1:44" ht="15" customHeight="1" x14ac:dyDescent="0.25">
      <c r="A36" s="123"/>
      <c r="B36" s="102"/>
      <c r="C36" s="103"/>
      <c r="D36" s="103"/>
      <c r="E36" s="103"/>
      <c r="F36" s="103"/>
      <c r="G36" s="103"/>
      <c r="H36" s="103"/>
      <c r="I36" s="103"/>
      <c r="J36" s="103"/>
      <c r="K36" s="103"/>
      <c r="L36" s="103"/>
      <c r="M36" s="104"/>
      <c r="N36" s="102"/>
      <c r="O36" s="103"/>
      <c r="P36" s="103"/>
      <c r="Q36" s="103"/>
      <c r="R36" s="103"/>
      <c r="S36" s="103"/>
      <c r="T36" s="103"/>
      <c r="U36" s="103"/>
      <c r="V36" s="103"/>
      <c r="W36" s="103"/>
      <c r="X36" s="103"/>
      <c r="Y36" s="103"/>
      <c r="Z36" s="104"/>
      <c r="AA36" s="102"/>
      <c r="AB36" s="104"/>
      <c r="AC36" s="125" t="s">
        <v>89</v>
      </c>
      <c r="AD36" s="101"/>
      <c r="AE36" s="125" t="s">
        <v>90</v>
      </c>
      <c r="AF36" s="101"/>
      <c r="AG36" s="125" t="s">
        <v>89</v>
      </c>
      <c r="AH36" s="101"/>
      <c r="AI36" s="125" t="s">
        <v>90</v>
      </c>
      <c r="AJ36" s="101"/>
      <c r="AK36" s="125" t="s">
        <v>89</v>
      </c>
      <c r="AL36" s="101"/>
      <c r="AM36" s="125" t="s">
        <v>90</v>
      </c>
      <c r="AN36" s="101"/>
      <c r="AO36" s="125" t="s">
        <v>89</v>
      </c>
      <c r="AP36" s="101"/>
      <c r="AQ36" s="125" t="s">
        <v>90</v>
      </c>
      <c r="AR36" s="101"/>
    </row>
    <row r="37" spans="1:44" ht="15.75" customHeight="1" x14ac:dyDescent="0.25">
      <c r="A37" s="119"/>
      <c r="B37" s="105"/>
      <c r="C37" s="106"/>
      <c r="D37" s="106"/>
      <c r="E37" s="106"/>
      <c r="F37" s="106"/>
      <c r="G37" s="106"/>
      <c r="H37" s="106"/>
      <c r="I37" s="106"/>
      <c r="J37" s="106"/>
      <c r="K37" s="106"/>
      <c r="L37" s="106"/>
      <c r="M37" s="107"/>
      <c r="N37" s="105"/>
      <c r="O37" s="106"/>
      <c r="P37" s="106"/>
      <c r="Q37" s="106"/>
      <c r="R37" s="106"/>
      <c r="S37" s="106"/>
      <c r="T37" s="106"/>
      <c r="U37" s="106"/>
      <c r="V37" s="106"/>
      <c r="W37" s="106"/>
      <c r="X37" s="106"/>
      <c r="Y37" s="106"/>
      <c r="Z37" s="107"/>
      <c r="AA37" s="105"/>
      <c r="AB37" s="107"/>
      <c r="AC37" s="105"/>
      <c r="AD37" s="107"/>
      <c r="AE37" s="105"/>
      <c r="AF37" s="107"/>
      <c r="AG37" s="105"/>
      <c r="AH37" s="107"/>
      <c r="AI37" s="105"/>
      <c r="AJ37" s="107"/>
      <c r="AK37" s="105"/>
      <c r="AL37" s="107"/>
      <c r="AM37" s="105"/>
      <c r="AN37" s="107"/>
      <c r="AO37" s="105"/>
      <c r="AP37" s="107"/>
      <c r="AQ37" s="105"/>
      <c r="AR37" s="107"/>
    </row>
    <row r="38" spans="1:44" ht="59.25" customHeight="1" x14ac:dyDescent="0.25">
      <c r="A38" s="70">
        <v>1</v>
      </c>
      <c r="B38" s="131" t="s">
        <v>413</v>
      </c>
      <c r="C38" s="97"/>
      <c r="D38" s="97"/>
      <c r="E38" s="97"/>
      <c r="F38" s="97"/>
      <c r="G38" s="97"/>
      <c r="H38" s="97"/>
      <c r="I38" s="97"/>
      <c r="J38" s="97"/>
      <c r="K38" s="97"/>
      <c r="L38" s="97"/>
      <c r="M38" s="98"/>
      <c r="N38" s="131" t="s">
        <v>149</v>
      </c>
      <c r="O38" s="97"/>
      <c r="P38" s="97"/>
      <c r="Q38" s="97"/>
      <c r="R38" s="97"/>
      <c r="S38" s="97"/>
      <c r="T38" s="97"/>
      <c r="U38" s="97"/>
      <c r="V38" s="97"/>
      <c r="W38" s="97"/>
      <c r="X38" s="97"/>
      <c r="Y38" s="97"/>
      <c r="Z38" s="98"/>
      <c r="AA38" s="132"/>
      <c r="AB38" s="98"/>
      <c r="AC38" s="133"/>
      <c r="AD38" s="98"/>
      <c r="AE38" s="96"/>
      <c r="AF38" s="98"/>
      <c r="AG38" s="96"/>
      <c r="AH38" s="98"/>
      <c r="AI38" s="96"/>
      <c r="AJ38" s="98"/>
      <c r="AK38" s="96">
        <v>4</v>
      </c>
      <c r="AL38" s="98"/>
      <c r="AM38" s="96">
        <v>4</v>
      </c>
      <c r="AN38" s="98"/>
      <c r="AO38" s="96">
        <v>4</v>
      </c>
      <c r="AP38" s="98"/>
      <c r="AQ38" s="96">
        <v>4</v>
      </c>
      <c r="AR38" s="98"/>
    </row>
    <row r="39" spans="1:44" ht="59.25" customHeight="1" x14ac:dyDescent="0.25">
      <c r="A39" s="74">
        <v>2</v>
      </c>
      <c r="B39" s="131" t="s">
        <v>397</v>
      </c>
      <c r="C39" s="97"/>
      <c r="D39" s="97"/>
      <c r="E39" s="97"/>
      <c r="F39" s="97"/>
      <c r="G39" s="97"/>
      <c r="H39" s="97"/>
      <c r="I39" s="97"/>
      <c r="J39" s="97"/>
      <c r="K39" s="97"/>
      <c r="L39" s="97"/>
      <c r="M39" s="98"/>
      <c r="N39" s="131" t="s">
        <v>400</v>
      </c>
      <c r="O39" s="97"/>
      <c r="P39" s="97"/>
      <c r="Q39" s="97"/>
      <c r="R39" s="97"/>
      <c r="S39" s="97"/>
      <c r="T39" s="97"/>
      <c r="U39" s="97"/>
      <c r="V39" s="97"/>
      <c r="W39" s="97"/>
      <c r="X39" s="97"/>
      <c r="Y39" s="97"/>
      <c r="Z39" s="98"/>
      <c r="AA39" s="71"/>
      <c r="AB39" s="67"/>
      <c r="AC39" s="72"/>
      <c r="AD39" s="67"/>
      <c r="AE39" s="73"/>
      <c r="AF39" s="67"/>
      <c r="AG39" s="73"/>
      <c r="AH39" s="67"/>
      <c r="AI39" s="73"/>
      <c r="AJ39" s="67"/>
      <c r="AK39" s="73"/>
      <c r="AL39" s="67"/>
      <c r="AM39" s="73"/>
      <c r="AN39" s="67"/>
      <c r="AO39" s="73"/>
      <c r="AP39" s="67"/>
      <c r="AQ39" s="73"/>
      <c r="AR39" s="67"/>
    </row>
    <row r="40" spans="1:44" ht="60.75" customHeight="1" x14ac:dyDescent="0.25">
      <c r="A40" s="70">
        <v>3</v>
      </c>
      <c r="B40" s="130" t="s">
        <v>415</v>
      </c>
      <c r="C40" s="97"/>
      <c r="D40" s="97"/>
      <c r="E40" s="97"/>
      <c r="F40" s="97"/>
      <c r="G40" s="97"/>
      <c r="H40" s="97"/>
      <c r="I40" s="97"/>
      <c r="J40" s="97"/>
      <c r="K40" s="97"/>
      <c r="L40" s="97"/>
      <c r="M40" s="98"/>
      <c r="N40" s="131" t="s">
        <v>401</v>
      </c>
      <c r="O40" s="97"/>
      <c r="P40" s="97"/>
      <c r="Q40" s="97"/>
      <c r="R40" s="97"/>
      <c r="S40" s="97"/>
      <c r="T40" s="97"/>
      <c r="U40" s="97"/>
      <c r="V40" s="97"/>
      <c r="W40" s="97"/>
      <c r="X40" s="97"/>
      <c r="Y40" s="97"/>
      <c r="Z40" s="98"/>
      <c r="AA40" s="132"/>
      <c r="AB40" s="98"/>
      <c r="AC40" s="133"/>
      <c r="AD40" s="98"/>
      <c r="AE40" s="96"/>
      <c r="AF40" s="98"/>
      <c r="AG40" s="96"/>
      <c r="AH40" s="98"/>
      <c r="AI40" s="96"/>
      <c r="AJ40" s="98"/>
      <c r="AK40" s="96">
        <v>5</v>
      </c>
      <c r="AL40" s="98"/>
      <c r="AM40" s="96">
        <v>5</v>
      </c>
      <c r="AN40" s="98"/>
      <c r="AO40" s="96">
        <v>5</v>
      </c>
      <c r="AP40" s="98"/>
      <c r="AQ40" s="96">
        <v>5</v>
      </c>
      <c r="AR40" s="98"/>
    </row>
    <row r="41" spans="1:44" ht="69" customHeight="1" x14ac:dyDescent="0.25">
      <c r="A41" s="74">
        <v>4</v>
      </c>
      <c r="B41" s="134" t="s">
        <v>416</v>
      </c>
      <c r="C41" s="97"/>
      <c r="D41" s="97"/>
      <c r="E41" s="97"/>
      <c r="F41" s="97"/>
      <c r="G41" s="97"/>
      <c r="H41" s="97"/>
      <c r="I41" s="97"/>
      <c r="J41" s="97"/>
      <c r="K41" s="97"/>
      <c r="L41" s="97"/>
      <c r="M41" s="98"/>
      <c r="N41" s="131" t="s">
        <v>402</v>
      </c>
      <c r="O41" s="97"/>
      <c r="P41" s="97"/>
      <c r="Q41" s="97"/>
      <c r="R41" s="97"/>
      <c r="S41" s="97"/>
      <c r="T41" s="97"/>
      <c r="U41" s="97"/>
      <c r="V41" s="97"/>
      <c r="W41" s="97"/>
      <c r="X41" s="97"/>
      <c r="Y41" s="97"/>
      <c r="Z41" s="98"/>
      <c r="AA41" s="132"/>
      <c r="AB41" s="98"/>
      <c r="AC41" s="133"/>
      <c r="AD41" s="98"/>
      <c r="AE41" s="96"/>
      <c r="AF41" s="98"/>
      <c r="AG41" s="96"/>
      <c r="AH41" s="98"/>
      <c r="AI41" s="96"/>
      <c r="AJ41" s="98"/>
      <c r="AK41" s="96">
        <v>5</v>
      </c>
      <c r="AL41" s="98"/>
      <c r="AM41" s="96">
        <v>5</v>
      </c>
      <c r="AN41" s="98"/>
      <c r="AO41" s="96">
        <v>5</v>
      </c>
      <c r="AP41" s="98"/>
      <c r="AQ41" s="96">
        <v>5</v>
      </c>
      <c r="AR41" s="98"/>
    </row>
    <row r="42" spans="1:44" ht="69" customHeight="1" x14ac:dyDescent="0.25">
      <c r="A42" s="70">
        <v>5</v>
      </c>
      <c r="B42" s="134" t="s">
        <v>417</v>
      </c>
      <c r="C42" s="97"/>
      <c r="D42" s="97"/>
      <c r="E42" s="97"/>
      <c r="F42" s="97"/>
      <c r="G42" s="97"/>
      <c r="H42" s="97"/>
      <c r="I42" s="97"/>
      <c r="J42" s="97"/>
      <c r="K42" s="97"/>
      <c r="L42" s="97"/>
      <c r="M42" s="98"/>
      <c r="N42" s="131" t="s">
        <v>403</v>
      </c>
      <c r="O42" s="97"/>
      <c r="P42" s="97"/>
      <c r="Q42" s="97"/>
      <c r="R42" s="97"/>
      <c r="S42" s="97"/>
      <c r="T42" s="97"/>
      <c r="U42" s="97"/>
      <c r="V42" s="97"/>
      <c r="W42" s="97"/>
      <c r="X42" s="97"/>
      <c r="Y42" s="97"/>
      <c r="Z42" s="98"/>
      <c r="AA42" s="71"/>
      <c r="AB42" s="67"/>
      <c r="AC42" s="72"/>
      <c r="AD42" s="67"/>
      <c r="AE42" s="73"/>
      <c r="AF42" s="67"/>
      <c r="AG42" s="73"/>
      <c r="AH42" s="67"/>
      <c r="AI42" s="73"/>
      <c r="AJ42" s="67"/>
      <c r="AK42" s="73"/>
      <c r="AL42" s="67"/>
      <c r="AM42" s="73"/>
      <c r="AN42" s="67"/>
      <c r="AO42" s="73"/>
      <c r="AP42" s="67"/>
      <c r="AQ42" s="73"/>
      <c r="AR42" s="67"/>
    </row>
    <row r="43" spans="1:44" ht="54" customHeight="1" x14ac:dyDescent="0.25">
      <c r="A43" s="74">
        <v>6</v>
      </c>
      <c r="B43" s="134" t="s">
        <v>426</v>
      </c>
      <c r="C43" s="97"/>
      <c r="D43" s="97"/>
      <c r="E43" s="97"/>
      <c r="F43" s="97"/>
      <c r="G43" s="97"/>
      <c r="H43" s="97"/>
      <c r="I43" s="97"/>
      <c r="J43" s="97"/>
      <c r="K43" s="97"/>
      <c r="L43" s="97"/>
      <c r="M43" s="98"/>
      <c r="N43" s="130" t="s">
        <v>150</v>
      </c>
      <c r="O43" s="97"/>
      <c r="P43" s="97"/>
      <c r="Q43" s="97"/>
      <c r="R43" s="97"/>
      <c r="S43" s="97"/>
      <c r="T43" s="97"/>
      <c r="U43" s="97"/>
      <c r="V43" s="97"/>
      <c r="W43" s="97"/>
      <c r="X43" s="98"/>
      <c r="Y43" s="76"/>
      <c r="Z43" s="76"/>
      <c r="AA43" s="132"/>
      <c r="AB43" s="98"/>
      <c r="AC43" s="133"/>
      <c r="AD43" s="98"/>
      <c r="AE43" s="96"/>
      <c r="AF43" s="98"/>
      <c r="AG43" s="96"/>
      <c r="AH43" s="98"/>
      <c r="AI43" s="96"/>
      <c r="AJ43" s="98"/>
      <c r="AK43" s="96">
        <v>5</v>
      </c>
      <c r="AL43" s="98"/>
      <c r="AM43" s="96">
        <v>3</v>
      </c>
      <c r="AN43" s="98"/>
      <c r="AO43" s="96">
        <v>5</v>
      </c>
      <c r="AP43" s="98"/>
      <c r="AQ43" s="96">
        <v>3</v>
      </c>
      <c r="AR43" s="98"/>
    </row>
    <row r="44" spans="1:44" ht="54" customHeight="1" x14ac:dyDescent="0.25">
      <c r="A44" s="70">
        <v>7</v>
      </c>
      <c r="B44" s="134" t="s">
        <v>410</v>
      </c>
      <c r="C44" s="97"/>
      <c r="D44" s="97"/>
      <c r="E44" s="97"/>
      <c r="F44" s="97"/>
      <c r="G44" s="97"/>
      <c r="H44" s="97"/>
      <c r="I44" s="97"/>
      <c r="J44" s="97"/>
      <c r="K44" s="97"/>
      <c r="L44" s="97"/>
      <c r="M44" s="98"/>
      <c r="N44" s="130" t="s">
        <v>405</v>
      </c>
      <c r="O44" s="97"/>
      <c r="P44" s="97"/>
      <c r="Q44" s="97"/>
      <c r="R44" s="97"/>
      <c r="S44" s="97"/>
      <c r="T44" s="97"/>
      <c r="U44" s="97"/>
      <c r="V44" s="97"/>
      <c r="W44" s="97"/>
      <c r="X44" s="98"/>
      <c r="Y44" s="202"/>
      <c r="Z44" s="203"/>
      <c r="AA44" s="71"/>
      <c r="AB44" s="67"/>
      <c r="AC44" s="72"/>
      <c r="AD44" s="67"/>
      <c r="AE44" s="73"/>
      <c r="AF44" s="67"/>
      <c r="AG44" s="73"/>
      <c r="AH44" s="67"/>
      <c r="AI44" s="73"/>
      <c r="AJ44" s="67"/>
      <c r="AK44" s="73"/>
      <c r="AL44" s="67"/>
      <c r="AM44" s="73"/>
      <c r="AN44" s="67"/>
      <c r="AO44" s="73"/>
      <c r="AP44" s="67"/>
      <c r="AQ44" s="73"/>
      <c r="AR44" s="67"/>
    </row>
    <row r="45" spans="1:44" ht="54" customHeight="1" x14ac:dyDescent="0.25">
      <c r="A45" s="74">
        <v>8</v>
      </c>
      <c r="B45" s="134" t="s">
        <v>418</v>
      </c>
      <c r="C45" s="97"/>
      <c r="D45" s="97"/>
      <c r="E45" s="97"/>
      <c r="F45" s="97"/>
      <c r="G45" s="97"/>
      <c r="H45" s="97"/>
      <c r="I45" s="97"/>
      <c r="J45" s="97"/>
      <c r="K45" s="97"/>
      <c r="L45" s="97"/>
      <c r="M45" s="98"/>
      <c r="N45" s="130"/>
      <c r="O45" s="97"/>
      <c r="P45" s="97"/>
      <c r="Q45" s="97"/>
      <c r="R45" s="97"/>
      <c r="S45" s="97"/>
      <c r="T45" s="97"/>
      <c r="U45" s="97"/>
      <c r="V45" s="97"/>
      <c r="W45" s="97"/>
      <c r="X45" s="98"/>
      <c r="Y45" s="202"/>
      <c r="Z45" s="203"/>
      <c r="AA45" s="71"/>
      <c r="AB45" s="67"/>
      <c r="AC45" s="72"/>
      <c r="AD45" s="67"/>
      <c r="AE45" s="73"/>
      <c r="AF45" s="67"/>
      <c r="AG45" s="73"/>
      <c r="AH45" s="67"/>
      <c r="AI45" s="73"/>
      <c r="AJ45" s="67"/>
      <c r="AK45" s="73"/>
      <c r="AL45" s="67"/>
      <c r="AM45" s="73"/>
      <c r="AN45" s="67"/>
      <c r="AO45" s="73"/>
      <c r="AP45" s="67"/>
      <c r="AQ45" s="73"/>
      <c r="AR45" s="67"/>
    </row>
    <row r="46" spans="1:44" ht="54" customHeight="1" x14ac:dyDescent="0.25">
      <c r="A46" s="70">
        <v>9</v>
      </c>
      <c r="B46" s="134" t="s">
        <v>436</v>
      </c>
      <c r="C46" s="97"/>
      <c r="D46" s="97"/>
      <c r="E46" s="97"/>
      <c r="F46" s="97"/>
      <c r="G46" s="97"/>
      <c r="H46" s="97"/>
      <c r="I46" s="97"/>
      <c r="J46" s="97"/>
      <c r="K46" s="97"/>
      <c r="L46" s="97"/>
      <c r="M46" s="98"/>
      <c r="N46" s="130" t="s">
        <v>437</v>
      </c>
      <c r="O46" s="97"/>
      <c r="P46" s="97"/>
      <c r="Q46" s="97"/>
      <c r="R46" s="97"/>
      <c r="S46" s="97"/>
      <c r="T46" s="97"/>
      <c r="U46" s="97"/>
      <c r="V46" s="97"/>
      <c r="W46" s="97"/>
      <c r="X46" s="98"/>
      <c r="Y46" s="204"/>
      <c r="Z46" s="205"/>
      <c r="AA46" s="68"/>
      <c r="AB46" s="65"/>
      <c r="AC46" s="206"/>
      <c r="AD46" s="65"/>
      <c r="AE46" s="69"/>
      <c r="AF46" s="65"/>
      <c r="AG46" s="69"/>
      <c r="AH46" s="65"/>
      <c r="AI46" s="69"/>
      <c r="AJ46" s="65"/>
      <c r="AK46" s="69"/>
      <c r="AL46" s="65"/>
      <c r="AM46" s="69"/>
      <c r="AN46" s="65"/>
      <c r="AO46" s="69"/>
      <c r="AP46" s="65"/>
      <c r="AQ46" s="69"/>
      <c r="AR46" s="65"/>
    </row>
    <row r="47" spans="1:44" ht="15.75" customHeight="1" x14ac:dyDescent="0.25">
      <c r="A47" s="129" t="s">
        <v>93</v>
      </c>
      <c r="B47" s="100"/>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1"/>
      <c r="AA47" s="127">
        <f>SUM(AA38:AB45)</f>
        <v>0</v>
      </c>
      <c r="AB47" s="101"/>
      <c r="AC47" s="127" t="e">
        <f>SUMPRODUCT($AA$38:$AB$45,AC38:AD45)/(SUM($AA$38:$AB$45)*5)</f>
        <v>#DIV/0!</v>
      </c>
      <c r="AD47" s="101"/>
      <c r="AE47" s="127" t="e">
        <f>SUMPRODUCT($AA$38:$AB$45,AE38:AF45)/(SUM($AA$38:$AB$45)*5)</f>
        <v>#DIV/0!</v>
      </c>
      <c r="AF47" s="101"/>
      <c r="AG47" s="127" t="e">
        <f>SUMPRODUCT($AA$38:$AB$45,AG38:AH45)/(SUM($AA$38:$AB$45)*5)</f>
        <v>#DIV/0!</v>
      </c>
      <c r="AH47" s="101"/>
      <c r="AI47" s="127" t="e">
        <f>SUMPRODUCT($AA$38:$AB$45,AI38:AJ45)/(SUM($AA$38:$AB$45)*5)</f>
        <v>#DIV/0!</v>
      </c>
      <c r="AJ47" s="101"/>
      <c r="AK47" s="127" t="e">
        <f>SUMPRODUCT($AA$38:$AB$45,AK38:AL45)/(SUM($AA$38:$AB$45)*5)</f>
        <v>#DIV/0!</v>
      </c>
      <c r="AL47" s="101"/>
      <c r="AM47" s="127" t="e">
        <f>SUMPRODUCT($AA$38:$AB$45,AM38:AN45)/(SUM($AA$38:$AB$45)*5)</f>
        <v>#DIV/0!</v>
      </c>
      <c r="AN47" s="101"/>
      <c r="AO47" s="127" t="e">
        <f>SUMPRODUCT($AA$38:$AB$45,AO38:AP45)/(SUM($AA$38:$AB$45)*5)</f>
        <v>#DIV/0!</v>
      </c>
      <c r="AP47" s="101"/>
      <c r="AQ47" s="127" t="e">
        <f>SUMPRODUCT($AA$38:$AB$45,AQ38:AR45)/(SUM($AA$38:$AB$45)*5)</f>
        <v>#DIV/0!</v>
      </c>
      <c r="AR47" s="101"/>
    </row>
    <row r="48" spans="1:44" ht="15.75" customHeight="1" x14ac:dyDescent="0.25">
      <c r="A48" s="105"/>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7"/>
      <c r="AA48" s="105"/>
      <c r="AB48" s="107"/>
      <c r="AC48" s="105"/>
      <c r="AD48" s="107"/>
      <c r="AE48" s="105"/>
      <c r="AF48" s="107"/>
      <c r="AG48" s="105"/>
      <c r="AH48" s="107"/>
      <c r="AI48" s="105"/>
      <c r="AJ48" s="107"/>
      <c r="AK48" s="105"/>
      <c r="AL48" s="107"/>
      <c r="AM48" s="105"/>
      <c r="AN48" s="107"/>
      <c r="AO48" s="105"/>
      <c r="AP48" s="107"/>
      <c r="AQ48" s="105"/>
      <c r="AR48" s="107"/>
    </row>
    <row r="49" spans="1:44" ht="8.25" customHeight="1" x14ac:dyDescent="0.25">
      <c r="A49" s="64"/>
      <c r="B49" s="62"/>
      <c r="C49" s="62"/>
      <c r="D49" s="62"/>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row>
    <row r="50" spans="1:44" ht="15.75" customHeight="1" x14ac:dyDescent="0.25">
      <c r="A50" s="114" t="s">
        <v>94</v>
      </c>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c r="AA50" s="77"/>
      <c r="AB50" s="77"/>
      <c r="AC50" s="128" t="s">
        <v>85</v>
      </c>
      <c r="AD50" s="112"/>
      <c r="AE50" s="112"/>
      <c r="AF50" s="112"/>
      <c r="AG50" s="128" t="s">
        <v>86</v>
      </c>
      <c r="AH50" s="112"/>
      <c r="AI50" s="112"/>
      <c r="AJ50" s="112"/>
      <c r="AK50" s="128" t="s">
        <v>87</v>
      </c>
      <c r="AL50" s="112"/>
      <c r="AM50" s="112"/>
      <c r="AN50" s="112"/>
      <c r="AO50" s="128" t="s">
        <v>88</v>
      </c>
      <c r="AP50" s="112"/>
      <c r="AQ50" s="112"/>
      <c r="AR50" s="112"/>
    </row>
    <row r="51" spans="1:44" ht="8.25" customHeight="1" x14ac:dyDescent="0.25">
      <c r="A51" s="64"/>
      <c r="B51" s="62"/>
      <c r="C51" s="62"/>
      <c r="D51" s="62"/>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row>
    <row r="52" spans="1:44" ht="15.75" customHeight="1" x14ac:dyDescent="0.25">
      <c r="A52" s="64"/>
      <c r="B52" s="62"/>
      <c r="C52" s="62"/>
      <c r="D52" s="62"/>
      <c r="E52" s="58"/>
      <c r="F52" s="58"/>
      <c r="G52" s="58"/>
      <c r="H52" s="58"/>
      <c r="I52" s="58"/>
      <c r="J52" s="58"/>
      <c r="K52" s="58"/>
      <c r="L52" s="58"/>
      <c r="M52" s="58"/>
      <c r="N52" s="58"/>
      <c r="O52" s="58"/>
      <c r="P52" s="58"/>
      <c r="Q52" s="58"/>
      <c r="R52" s="58"/>
      <c r="S52" s="58"/>
      <c r="T52" s="58"/>
      <c r="U52" s="58"/>
      <c r="V52" s="58"/>
      <c r="W52" s="58"/>
      <c r="X52" s="58"/>
      <c r="Y52" s="58"/>
      <c r="Z52" s="78" t="s">
        <v>95</v>
      </c>
      <c r="AA52" s="58"/>
      <c r="AB52" s="79"/>
      <c r="AC52" s="110" t="e">
        <f>AC30*20%+AC47*80%</f>
        <v>#DIV/0!</v>
      </c>
      <c r="AD52" s="101"/>
      <c r="AE52" s="110" t="e">
        <f>AE30*20%+AE47*80%</f>
        <v>#DIV/0!</v>
      </c>
      <c r="AF52" s="101"/>
      <c r="AG52" s="110" t="e">
        <f>AG30*20%+AG47*80%</f>
        <v>#DIV/0!</v>
      </c>
      <c r="AH52" s="101"/>
      <c r="AI52" s="110" t="e">
        <f>AI30*20%+AI47*80%</f>
        <v>#DIV/0!</v>
      </c>
      <c r="AJ52" s="101"/>
      <c r="AK52" s="110" t="e">
        <f>AK30*20%+AK47*80%</f>
        <v>#DIV/0!</v>
      </c>
      <c r="AL52" s="101"/>
      <c r="AM52" s="110" t="e">
        <f>AM30*20%+AM47*80%</f>
        <v>#DIV/0!</v>
      </c>
      <c r="AN52" s="101"/>
      <c r="AO52" s="110" t="e">
        <f>AO30*20%+AO47*80%</f>
        <v>#DIV/0!</v>
      </c>
      <c r="AP52" s="101"/>
      <c r="AQ52" s="110" t="e">
        <f>AQ30*20%+AQ47*80%</f>
        <v>#DIV/0!</v>
      </c>
      <c r="AR52" s="101"/>
    </row>
    <row r="53" spans="1:44" ht="15.75" customHeight="1" x14ac:dyDescent="0.25">
      <c r="A53" s="64"/>
      <c r="B53" s="62"/>
      <c r="C53" s="62"/>
      <c r="D53" s="62"/>
      <c r="E53" s="58"/>
      <c r="F53" s="58"/>
      <c r="G53" s="58"/>
      <c r="H53" s="58"/>
      <c r="I53" s="58"/>
      <c r="J53" s="58"/>
      <c r="K53" s="58"/>
      <c r="L53" s="58"/>
      <c r="M53" s="58"/>
      <c r="N53" s="58"/>
      <c r="O53" s="58"/>
      <c r="P53" s="58"/>
      <c r="Q53" s="58"/>
      <c r="R53" s="58"/>
      <c r="S53" s="58"/>
      <c r="T53" s="58"/>
      <c r="U53" s="58"/>
      <c r="V53" s="58"/>
      <c r="W53" s="58"/>
      <c r="X53" s="58"/>
      <c r="Y53" s="58"/>
      <c r="Z53" s="78"/>
      <c r="AA53" s="78" t="s">
        <v>96</v>
      </c>
      <c r="AB53" s="79"/>
      <c r="AC53" s="105"/>
      <c r="AD53" s="107"/>
      <c r="AE53" s="105"/>
      <c r="AF53" s="107"/>
      <c r="AG53" s="105"/>
      <c r="AH53" s="107"/>
      <c r="AI53" s="105"/>
      <c r="AJ53" s="107"/>
      <c r="AK53" s="105"/>
      <c r="AL53" s="107"/>
      <c r="AM53" s="105"/>
      <c r="AN53" s="107"/>
      <c r="AO53" s="105"/>
      <c r="AP53" s="107"/>
      <c r="AQ53" s="105"/>
      <c r="AR53" s="107"/>
    </row>
    <row r="54" spans="1:44" ht="15.75" customHeight="1" x14ac:dyDescent="0.25">
      <c r="A54" s="64"/>
      <c r="B54" s="62"/>
      <c r="C54" s="62"/>
      <c r="D54" s="62"/>
      <c r="E54" s="58"/>
      <c r="F54" s="58"/>
      <c r="G54" s="58"/>
      <c r="H54" s="58"/>
      <c r="I54" s="58"/>
      <c r="J54" s="58"/>
      <c r="K54" s="58"/>
      <c r="L54" s="58"/>
      <c r="M54" s="58"/>
      <c r="N54" s="58"/>
      <c r="O54" s="58"/>
      <c r="P54" s="58"/>
      <c r="Q54" s="58"/>
      <c r="R54" s="58"/>
      <c r="S54" s="58"/>
      <c r="T54" s="58"/>
      <c r="U54" s="58"/>
      <c r="V54" s="58"/>
      <c r="W54" s="58"/>
      <c r="X54" s="58"/>
      <c r="Y54" s="58"/>
      <c r="Z54" s="78" t="s">
        <v>97</v>
      </c>
      <c r="AA54" s="78"/>
      <c r="AB54" s="79"/>
      <c r="AC54" s="126" t="e">
        <f>IF(AC52&lt;55%,"D",IF(AC52&lt;80%,"C",IF(AC52&lt;90%,"B","A")))</f>
        <v>#DIV/0!</v>
      </c>
      <c r="AD54" s="101"/>
      <c r="AE54" s="126" t="e">
        <f>IF(AE52&lt;55%,"D",IF(AE52&lt;80%,"C",IF(AE52&lt;90%,"B","A")))</f>
        <v>#DIV/0!</v>
      </c>
      <c r="AF54" s="101"/>
      <c r="AG54" s="126" t="e">
        <f>IF(AG52&lt;55%,"D",IF(AG52&lt;80%,"C",IF(AG52&lt;90%,"B","A")))</f>
        <v>#DIV/0!</v>
      </c>
      <c r="AH54" s="101"/>
      <c r="AI54" s="126" t="e">
        <f>IF(AI52&lt;55%,"D",IF(AI52&lt;80%,"C",IF(AI52&lt;90%,"B","A")))</f>
        <v>#DIV/0!</v>
      </c>
      <c r="AJ54" s="101"/>
      <c r="AK54" s="126" t="e">
        <f>IF(AK52&lt;55%,"D",IF(AK52&lt;80%,"C",IF(AK52&lt;90%,"B","A")))</f>
        <v>#DIV/0!</v>
      </c>
      <c r="AL54" s="101"/>
      <c r="AM54" s="126" t="e">
        <f>IF(AM52&lt;55%,"D",IF(AM52&lt;80%,"C",IF(AM52&lt;90%,"B","A")))</f>
        <v>#DIV/0!</v>
      </c>
      <c r="AN54" s="101"/>
      <c r="AO54" s="126" t="e">
        <f>IF(AO52&lt;55%,"D",IF(AO52&lt;80%,"C",IF(AO52&lt;90%,"B","A")))</f>
        <v>#DIV/0!</v>
      </c>
      <c r="AP54" s="101"/>
      <c r="AQ54" s="126" t="e">
        <f>IF(AQ52&lt;55%,"D",IF(AQ52&lt;80%,"C",IF(AQ52&lt;90%,"B","A")))</f>
        <v>#DIV/0!</v>
      </c>
      <c r="AR54" s="101"/>
    </row>
    <row r="55" spans="1:44" ht="15.75" customHeight="1" x14ac:dyDescent="0.25">
      <c r="A55" s="64"/>
      <c r="B55" s="62"/>
      <c r="C55" s="62"/>
      <c r="D55" s="62"/>
      <c r="E55" s="58"/>
      <c r="F55" s="58"/>
      <c r="G55" s="58"/>
      <c r="H55" s="58"/>
      <c r="I55" s="58"/>
      <c r="J55" s="58"/>
      <c r="K55" s="58"/>
      <c r="L55" s="58"/>
      <c r="M55" s="58"/>
      <c r="N55" s="58"/>
      <c r="O55" s="58"/>
      <c r="P55" s="58"/>
      <c r="Q55" s="58"/>
      <c r="R55" s="58"/>
      <c r="S55" s="58"/>
      <c r="T55" s="58"/>
      <c r="U55" s="58"/>
      <c r="V55" s="58"/>
      <c r="W55" s="58"/>
      <c r="X55" s="58"/>
      <c r="Y55" s="58"/>
      <c r="Z55" s="78"/>
      <c r="AA55" s="78" t="s">
        <v>98</v>
      </c>
      <c r="AB55" s="79"/>
      <c r="AC55" s="105"/>
      <c r="AD55" s="107"/>
      <c r="AE55" s="105"/>
      <c r="AF55" s="107"/>
      <c r="AG55" s="105"/>
      <c r="AH55" s="107"/>
      <c r="AI55" s="105"/>
      <c r="AJ55" s="107"/>
      <c r="AK55" s="105"/>
      <c r="AL55" s="107"/>
      <c r="AM55" s="105"/>
      <c r="AN55" s="107"/>
      <c r="AO55" s="105"/>
      <c r="AP55" s="107"/>
      <c r="AQ55" s="105"/>
      <c r="AR55" s="107"/>
    </row>
    <row r="56" spans="1:44" ht="15.75" customHeight="1" x14ac:dyDescent="0.25">
      <c r="A56" s="64"/>
      <c r="B56" s="62"/>
      <c r="C56" s="62"/>
      <c r="D56" s="62"/>
      <c r="E56" s="58"/>
      <c r="F56" s="58"/>
      <c r="G56" s="58"/>
      <c r="H56" s="58"/>
      <c r="I56" s="58"/>
      <c r="J56" s="58"/>
      <c r="K56" s="58"/>
      <c r="L56" s="58"/>
      <c r="M56" s="58"/>
      <c r="N56" s="58"/>
      <c r="O56" s="58"/>
      <c r="P56" s="58"/>
      <c r="Q56" s="58"/>
      <c r="R56" s="58"/>
      <c r="S56" s="58"/>
      <c r="T56" s="58"/>
      <c r="U56" s="58"/>
      <c r="V56" s="58"/>
      <c r="W56" s="58"/>
      <c r="X56" s="58"/>
      <c r="Y56" s="58"/>
      <c r="Z56" s="78" t="s">
        <v>99</v>
      </c>
      <c r="AA56" s="78"/>
      <c r="AB56" s="79"/>
      <c r="AC56" s="126"/>
      <c r="AD56" s="100"/>
      <c r="AE56" s="100"/>
      <c r="AF56" s="101"/>
      <c r="AG56" s="126"/>
      <c r="AH56" s="100"/>
      <c r="AI56" s="100"/>
      <c r="AJ56" s="101"/>
      <c r="AK56" s="126"/>
      <c r="AL56" s="100"/>
      <c r="AM56" s="100"/>
      <c r="AN56" s="101"/>
      <c r="AO56" s="126"/>
      <c r="AP56" s="100"/>
      <c r="AQ56" s="100"/>
      <c r="AR56" s="101"/>
    </row>
    <row r="57" spans="1:44" ht="15.75" customHeight="1" x14ac:dyDescent="0.25">
      <c r="A57" s="64"/>
      <c r="B57" s="62"/>
      <c r="C57" s="62"/>
      <c r="D57" s="62"/>
      <c r="E57" s="58"/>
      <c r="F57" s="58"/>
      <c r="G57" s="58"/>
      <c r="H57" s="58"/>
      <c r="I57" s="58"/>
      <c r="J57" s="58"/>
      <c r="K57" s="58"/>
      <c r="L57" s="58"/>
      <c r="M57" s="58"/>
      <c r="N57" s="58"/>
      <c r="O57" s="58"/>
      <c r="P57" s="58"/>
      <c r="Q57" s="58"/>
      <c r="R57" s="58"/>
      <c r="S57" s="58"/>
      <c r="T57" s="58"/>
      <c r="U57" s="58"/>
      <c r="V57" s="58"/>
      <c r="W57" s="58"/>
      <c r="X57" s="58"/>
      <c r="Y57" s="58"/>
      <c r="Z57" s="78"/>
      <c r="AA57" s="78" t="s">
        <v>100</v>
      </c>
      <c r="AB57" s="79"/>
      <c r="AC57" s="105"/>
      <c r="AD57" s="106"/>
      <c r="AE57" s="106"/>
      <c r="AF57" s="107"/>
      <c r="AG57" s="105"/>
      <c r="AH57" s="106"/>
      <c r="AI57" s="106"/>
      <c r="AJ57" s="107"/>
      <c r="AK57" s="105"/>
      <c r="AL57" s="106"/>
      <c r="AM57" s="106"/>
      <c r="AN57" s="107"/>
      <c r="AO57" s="105"/>
      <c r="AP57" s="106"/>
      <c r="AQ57" s="106"/>
      <c r="AR57" s="107"/>
    </row>
    <row r="58" spans="1:44" ht="15.75" customHeight="1" x14ac:dyDescent="0.25">
      <c r="A58" s="64"/>
      <c r="B58" s="62"/>
      <c r="C58" s="62"/>
      <c r="D58" s="62"/>
      <c r="E58" s="58"/>
      <c r="F58" s="58"/>
      <c r="G58" s="58"/>
      <c r="H58" s="58"/>
      <c r="I58" s="58"/>
      <c r="J58" s="58"/>
      <c r="K58" s="58"/>
      <c r="L58" s="58"/>
      <c r="M58" s="58"/>
      <c r="N58" s="58"/>
      <c r="O58" s="58"/>
      <c r="P58" s="58"/>
      <c r="Q58" s="58"/>
      <c r="R58" s="58"/>
      <c r="S58" s="58"/>
      <c r="T58" s="58"/>
      <c r="U58" s="58"/>
      <c r="V58" s="58"/>
      <c r="W58" s="58"/>
      <c r="X58" s="58"/>
      <c r="Y58" s="58"/>
      <c r="Z58" s="78" t="s">
        <v>101</v>
      </c>
      <c r="AA58" s="78"/>
      <c r="AB58" s="79"/>
      <c r="AC58" s="126"/>
      <c r="AD58" s="100"/>
      <c r="AE58" s="100"/>
      <c r="AF58" s="101"/>
      <c r="AG58" s="126"/>
      <c r="AH58" s="100"/>
      <c r="AI58" s="100"/>
      <c r="AJ58" s="101"/>
      <c r="AK58" s="126"/>
      <c r="AL58" s="100"/>
      <c r="AM58" s="100"/>
      <c r="AN58" s="101"/>
      <c r="AO58" s="126"/>
      <c r="AP58" s="100"/>
      <c r="AQ58" s="100"/>
      <c r="AR58" s="101"/>
    </row>
    <row r="59" spans="1:44" ht="15.75" customHeight="1" x14ac:dyDescent="0.25">
      <c r="A59" s="64"/>
      <c r="B59" s="62"/>
      <c r="C59" s="62"/>
      <c r="D59" s="62"/>
      <c r="E59" s="58"/>
      <c r="F59" s="58"/>
      <c r="G59" s="58"/>
      <c r="H59" s="58"/>
      <c r="I59" s="58"/>
      <c r="J59" s="58"/>
      <c r="K59" s="58"/>
      <c r="L59" s="58"/>
      <c r="M59" s="58"/>
      <c r="N59" s="58"/>
      <c r="O59" s="58"/>
      <c r="P59" s="58"/>
      <c r="Q59" s="58"/>
      <c r="R59" s="58"/>
      <c r="S59" s="58"/>
      <c r="T59" s="58"/>
      <c r="U59" s="58"/>
      <c r="V59" s="58"/>
      <c r="W59" s="58"/>
      <c r="X59" s="58"/>
      <c r="Y59" s="58"/>
      <c r="Z59" s="58"/>
      <c r="AA59" s="78" t="s">
        <v>102</v>
      </c>
      <c r="AB59" s="58"/>
      <c r="AC59" s="105"/>
      <c r="AD59" s="106"/>
      <c r="AE59" s="106"/>
      <c r="AF59" s="107"/>
      <c r="AG59" s="105"/>
      <c r="AH59" s="106"/>
      <c r="AI59" s="106"/>
      <c r="AJ59" s="107"/>
      <c r="AK59" s="105"/>
      <c r="AL59" s="106"/>
      <c r="AM59" s="106"/>
      <c r="AN59" s="107"/>
      <c r="AO59" s="105"/>
      <c r="AP59" s="106"/>
      <c r="AQ59" s="106"/>
      <c r="AR59" s="107"/>
    </row>
    <row r="60" spans="1:44" ht="8.25" customHeight="1" x14ac:dyDescent="0.25">
      <c r="A60" s="64"/>
      <c r="B60" s="62"/>
      <c r="C60" s="62"/>
      <c r="D60" s="62"/>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row>
    <row r="61" spans="1:44" ht="15.75" hidden="1" customHeight="1" x14ac:dyDescent="0.25">
      <c r="A61" s="121" t="s">
        <v>103</v>
      </c>
      <c r="B61" s="112"/>
      <c r="C61" s="112"/>
      <c r="D61" s="112"/>
      <c r="E61" s="112"/>
      <c r="F61" s="112"/>
      <c r="G61" s="112"/>
      <c r="H61" s="112"/>
      <c r="I61" s="112"/>
      <c r="J61" s="112"/>
      <c r="K61" s="112"/>
      <c r="L61" s="112"/>
      <c r="M61" s="112"/>
      <c r="N61" s="112"/>
      <c r="O61" s="112"/>
      <c r="P61" s="112"/>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2"/>
      <c r="AP61" s="112"/>
      <c r="AQ61" s="112"/>
      <c r="AR61" s="112"/>
    </row>
    <row r="62" spans="1:44" ht="8.25" hidden="1" customHeight="1" x14ac:dyDescent="0.25">
      <c r="A62" s="64"/>
      <c r="B62" s="62"/>
      <c r="C62" s="62"/>
      <c r="D62" s="62"/>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row>
    <row r="63" spans="1:44" ht="8.25" hidden="1" customHeight="1" x14ac:dyDescent="0.25">
      <c r="A63" s="64"/>
      <c r="B63" s="62"/>
      <c r="C63" s="62"/>
      <c r="D63" s="62"/>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row>
    <row r="64" spans="1:44" ht="15.75" hidden="1" customHeight="1" x14ac:dyDescent="0.25">
      <c r="A64" s="83"/>
      <c r="B64" s="81"/>
      <c r="C64" s="81"/>
      <c r="D64" s="81" t="s">
        <v>104</v>
      </c>
      <c r="E64" s="82"/>
      <c r="F64" s="82"/>
      <c r="G64" s="82"/>
      <c r="H64" s="82"/>
      <c r="I64" s="82"/>
      <c r="J64" s="82"/>
      <c r="K64" s="82"/>
      <c r="L64" s="82"/>
      <c r="M64" s="82"/>
      <c r="N64" s="82"/>
      <c r="O64" s="82"/>
      <c r="P64" s="82"/>
      <c r="Q64" s="82"/>
      <c r="R64" s="82"/>
      <c r="S64" s="82"/>
      <c r="T64" s="82"/>
      <c r="U64" s="82"/>
      <c r="V64" s="82"/>
      <c r="W64" s="82"/>
      <c r="X64" s="82"/>
      <c r="Y64" s="82"/>
      <c r="Z64" s="82"/>
      <c r="AA64" s="82"/>
      <c r="AB64" s="82"/>
      <c r="AC64" s="82"/>
      <c r="AD64" s="82"/>
      <c r="AE64" s="82"/>
      <c r="AF64" s="82"/>
      <c r="AG64" s="82"/>
      <c r="AH64" s="82"/>
      <c r="AI64" s="82"/>
      <c r="AJ64" s="82"/>
      <c r="AK64" s="82"/>
      <c r="AL64" s="82"/>
      <c r="AM64" s="82"/>
      <c r="AN64" s="82"/>
      <c r="AO64" s="82"/>
      <c r="AP64" s="82"/>
      <c r="AQ64" s="82"/>
      <c r="AR64" s="82"/>
    </row>
    <row r="65" spans="1:44" ht="8.25" hidden="1" customHeight="1" x14ac:dyDescent="0.25">
      <c r="A65" s="64"/>
      <c r="B65" s="62"/>
      <c r="C65" s="62"/>
      <c r="D65" s="62"/>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row>
    <row r="66" spans="1:44" ht="14.25" hidden="1" customHeight="1" x14ac:dyDescent="0.25">
      <c r="A66" s="122" t="s">
        <v>105</v>
      </c>
      <c r="B66" s="124" t="s">
        <v>106</v>
      </c>
      <c r="C66" s="100"/>
      <c r="D66" s="100"/>
      <c r="E66" s="100"/>
      <c r="F66" s="100"/>
      <c r="G66" s="100"/>
      <c r="H66" s="100"/>
      <c r="I66" s="100"/>
      <c r="J66" s="100"/>
      <c r="K66" s="101"/>
      <c r="L66" s="125" t="s">
        <v>107</v>
      </c>
      <c r="M66" s="101"/>
      <c r="N66" s="125" t="s">
        <v>108</v>
      </c>
      <c r="O66" s="101"/>
      <c r="P66" s="124" t="s">
        <v>109</v>
      </c>
      <c r="Q66" s="100"/>
      <c r="R66" s="100"/>
      <c r="S66" s="100"/>
      <c r="T66" s="100"/>
      <c r="U66" s="100"/>
      <c r="V66" s="100"/>
      <c r="W66" s="100"/>
      <c r="X66" s="100"/>
      <c r="Y66" s="100"/>
      <c r="Z66" s="100"/>
      <c r="AA66" s="100"/>
      <c r="AB66" s="100"/>
      <c r="AC66" s="100"/>
      <c r="AD66" s="100"/>
      <c r="AE66" s="100"/>
      <c r="AF66" s="100"/>
      <c r="AG66" s="100"/>
      <c r="AH66" s="100"/>
      <c r="AI66" s="100"/>
      <c r="AJ66" s="101"/>
      <c r="AK66" s="124" t="s">
        <v>110</v>
      </c>
      <c r="AL66" s="100"/>
      <c r="AM66" s="100"/>
      <c r="AN66" s="100"/>
      <c r="AO66" s="100"/>
      <c r="AP66" s="100"/>
      <c r="AQ66" s="100"/>
      <c r="AR66" s="101"/>
    </row>
    <row r="67" spans="1:44" ht="15" hidden="1" customHeight="1" x14ac:dyDescent="0.25">
      <c r="A67" s="123"/>
      <c r="B67" s="102"/>
      <c r="C67" s="103"/>
      <c r="D67" s="103"/>
      <c r="E67" s="103"/>
      <c r="F67" s="103"/>
      <c r="G67" s="103"/>
      <c r="H67" s="103"/>
      <c r="I67" s="103"/>
      <c r="J67" s="103"/>
      <c r="K67" s="104"/>
      <c r="L67" s="102"/>
      <c r="M67" s="104"/>
      <c r="N67" s="102"/>
      <c r="O67" s="104"/>
      <c r="P67" s="102"/>
      <c r="Q67" s="103"/>
      <c r="R67" s="103"/>
      <c r="S67" s="103"/>
      <c r="T67" s="103"/>
      <c r="U67" s="103"/>
      <c r="V67" s="103"/>
      <c r="W67" s="103"/>
      <c r="X67" s="103"/>
      <c r="Y67" s="103"/>
      <c r="Z67" s="103"/>
      <c r="AA67" s="103"/>
      <c r="AB67" s="103"/>
      <c r="AC67" s="103"/>
      <c r="AD67" s="103"/>
      <c r="AE67" s="103"/>
      <c r="AF67" s="103"/>
      <c r="AG67" s="103"/>
      <c r="AH67" s="103"/>
      <c r="AI67" s="103"/>
      <c r="AJ67" s="104"/>
      <c r="AK67" s="102"/>
      <c r="AL67" s="103"/>
      <c r="AM67" s="103"/>
      <c r="AN67" s="103"/>
      <c r="AO67" s="103"/>
      <c r="AP67" s="103"/>
      <c r="AQ67" s="103"/>
      <c r="AR67" s="104"/>
    </row>
    <row r="68" spans="1:44" ht="15.75" hidden="1" customHeight="1" x14ac:dyDescent="0.25">
      <c r="A68" s="119"/>
      <c r="B68" s="105"/>
      <c r="C68" s="106"/>
      <c r="D68" s="106"/>
      <c r="E68" s="106"/>
      <c r="F68" s="106"/>
      <c r="G68" s="106"/>
      <c r="H68" s="106"/>
      <c r="I68" s="106"/>
      <c r="J68" s="106"/>
      <c r="K68" s="107"/>
      <c r="L68" s="105"/>
      <c r="M68" s="107"/>
      <c r="N68" s="105"/>
      <c r="O68" s="107"/>
      <c r="P68" s="105"/>
      <c r="Q68" s="106"/>
      <c r="R68" s="106"/>
      <c r="S68" s="106"/>
      <c r="T68" s="106"/>
      <c r="U68" s="106"/>
      <c r="V68" s="106"/>
      <c r="W68" s="106"/>
      <c r="X68" s="106"/>
      <c r="Y68" s="106"/>
      <c r="Z68" s="106"/>
      <c r="AA68" s="106"/>
      <c r="AB68" s="106"/>
      <c r="AC68" s="106"/>
      <c r="AD68" s="106"/>
      <c r="AE68" s="106"/>
      <c r="AF68" s="106"/>
      <c r="AG68" s="106"/>
      <c r="AH68" s="106"/>
      <c r="AI68" s="106"/>
      <c r="AJ68" s="107"/>
      <c r="AK68" s="105"/>
      <c r="AL68" s="106"/>
      <c r="AM68" s="106"/>
      <c r="AN68" s="106"/>
      <c r="AO68" s="106"/>
      <c r="AP68" s="106"/>
      <c r="AQ68" s="106"/>
      <c r="AR68" s="107"/>
    </row>
    <row r="69" spans="1:44" ht="15.75" hidden="1" customHeight="1" x14ac:dyDescent="0.25">
      <c r="A69" s="118">
        <v>1</v>
      </c>
      <c r="B69" s="99" t="s">
        <v>111</v>
      </c>
      <c r="C69" s="100"/>
      <c r="D69" s="100"/>
      <c r="E69" s="100"/>
      <c r="F69" s="100"/>
      <c r="G69" s="100"/>
      <c r="H69" s="100"/>
      <c r="I69" s="100"/>
      <c r="J69" s="100"/>
      <c r="K69" s="101"/>
      <c r="L69" s="120">
        <v>2</v>
      </c>
      <c r="M69" s="101"/>
      <c r="N69" s="120"/>
      <c r="O69" s="101"/>
      <c r="P69" s="99"/>
      <c r="Q69" s="100"/>
      <c r="R69" s="100"/>
      <c r="S69" s="100"/>
      <c r="T69" s="100"/>
      <c r="U69" s="100"/>
      <c r="V69" s="100"/>
      <c r="W69" s="100"/>
      <c r="X69" s="100"/>
      <c r="Y69" s="100"/>
      <c r="Z69" s="100"/>
      <c r="AA69" s="100"/>
      <c r="AB69" s="100"/>
      <c r="AC69" s="100"/>
      <c r="AD69" s="100"/>
      <c r="AE69" s="100"/>
      <c r="AF69" s="100"/>
      <c r="AG69" s="100"/>
      <c r="AH69" s="100"/>
      <c r="AI69" s="100"/>
      <c r="AJ69" s="101"/>
      <c r="AK69" s="99"/>
      <c r="AL69" s="100"/>
      <c r="AM69" s="100"/>
      <c r="AN69" s="100"/>
      <c r="AO69" s="100"/>
      <c r="AP69" s="100"/>
      <c r="AQ69" s="100"/>
      <c r="AR69" s="101"/>
    </row>
    <row r="70" spans="1:44" ht="15.75" hidden="1" customHeight="1" x14ac:dyDescent="0.25">
      <c r="A70" s="119"/>
      <c r="B70" s="105"/>
      <c r="C70" s="106"/>
      <c r="D70" s="106"/>
      <c r="E70" s="106"/>
      <c r="F70" s="106"/>
      <c r="G70" s="106"/>
      <c r="H70" s="106"/>
      <c r="I70" s="106"/>
      <c r="J70" s="106"/>
      <c r="K70" s="107"/>
      <c r="L70" s="105"/>
      <c r="M70" s="107"/>
      <c r="N70" s="105"/>
      <c r="O70" s="107"/>
      <c r="P70" s="105"/>
      <c r="Q70" s="106"/>
      <c r="R70" s="106"/>
      <c r="S70" s="106"/>
      <c r="T70" s="106"/>
      <c r="U70" s="106"/>
      <c r="V70" s="106"/>
      <c r="W70" s="106"/>
      <c r="X70" s="106"/>
      <c r="Y70" s="106"/>
      <c r="Z70" s="106"/>
      <c r="AA70" s="106"/>
      <c r="AB70" s="106"/>
      <c r="AC70" s="106"/>
      <c r="AD70" s="106"/>
      <c r="AE70" s="106"/>
      <c r="AF70" s="106"/>
      <c r="AG70" s="106"/>
      <c r="AH70" s="106"/>
      <c r="AI70" s="106"/>
      <c r="AJ70" s="107"/>
      <c r="AK70" s="105"/>
      <c r="AL70" s="106"/>
      <c r="AM70" s="106"/>
      <c r="AN70" s="106"/>
      <c r="AO70" s="106"/>
      <c r="AP70" s="106"/>
      <c r="AQ70" s="106"/>
      <c r="AR70" s="107"/>
    </row>
    <row r="71" spans="1:44" ht="15.75" hidden="1" customHeight="1" x14ac:dyDescent="0.25">
      <c r="A71" s="118">
        <v>2</v>
      </c>
      <c r="B71" s="99" t="s">
        <v>112</v>
      </c>
      <c r="C71" s="100"/>
      <c r="D71" s="100"/>
      <c r="E71" s="100"/>
      <c r="F71" s="100"/>
      <c r="G71" s="100"/>
      <c r="H71" s="100"/>
      <c r="I71" s="100"/>
      <c r="J71" s="100"/>
      <c r="K71" s="101"/>
      <c r="L71" s="120">
        <v>1</v>
      </c>
      <c r="M71" s="101"/>
      <c r="N71" s="120"/>
      <c r="O71" s="101"/>
      <c r="P71" s="99"/>
      <c r="Q71" s="100"/>
      <c r="R71" s="100"/>
      <c r="S71" s="100"/>
      <c r="T71" s="100"/>
      <c r="U71" s="100"/>
      <c r="V71" s="100"/>
      <c r="W71" s="100"/>
      <c r="X71" s="100"/>
      <c r="Y71" s="100"/>
      <c r="Z71" s="100"/>
      <c r="AA71" s="100"/>
      <c r="AB71" s="100"/>
      <c r="AC71" s="100"/>
      <c r="AD71" s="100"/>
      <c r="AE71" s="100"/>
      <c r="AF71" s="100"/>
      <c r="AG71" s="100"/>
      <c r="AH71" s="100"/>
      <c r="AI71" s="100"/>
      <c r="AJ71" s="101"/>
      <c r="AK71" s="99"/>
      <c r="AL71" s="100"/>
      <c r="AM71" s="100"/>
      <c r="AN71" s="100"/>
      <c r="AO71" s="100"/>
      <c r="AP71" s="100"/>
      <c r="AQ71" s="100"/>
      <c r="AR71" s="101"/>
    </row>
    <row r="72" spans="1:44" ht="15.75" hidden="1" customHeight="1" x14ac:dyDescent="0.25">
      <c r="A72" s="119"/>
      <c r="B72" s="105"/>
      <c r="C72" s="106"/>
      <c r="D72" s="106"/>
      <c r="E72" s="106"/>
      <c r="F72" s="106"/>
      <c r="G72" s="106"/>
      <c r="H72" s="106"/>
      <c r="I72" s="106"/>
      <c r="J72" s="106"/>
      <c r="K72" s="107"/>
      <c r="L72" s="105"/>
      <c r="M72" s="107"/>
      <c r="N72" s="105"/>
      <c r="O72" s="107"/>
      <c r="P72" s="105"/>
      <c r="Q72" s="106"/>
      <c r="R72" s="106"/>
      <c r="S72" s="106"/>
      <c r="T72" s="106"/>
      <c r="U72" s="106"/>
      <c r="V72" s="106"/>
      <c r="W72" s="106"/>
      <c r="X72" s="106"/>
      <c r="Y72" s="106"/>
      <c r="Z72" s="106"/>
      <c r="AA72" s="106"/>
      <c r="AB72" s="106"/>
      <c r="AC72" s="106"/>
      <c r="AD72" s="106"/>
      <c r="AE72" s="106"/>
      <c r="AF72" s="106"/>
      <c r="AG72" s="106"/>
      <c r="AH72" s="106"/>
      <c r="AI72" s="106"/>
      <c r="AJ72" s="107"/>
      <c r="AK72" s="105"/>
      <c r="AL72" s="106"/>
      <c r="AM72" s="106"/>
      <c r="AN72" s="106"/>
      <c r="AO72" s="106"/>
      <c r="AP72" s="106"/>
      <c r="AQ72" s="106"/>
      <c r="AR72" s="107"/>
    </row>
    <row r="73" spans="1:44" ht="15.75" hidden="1" customHeight="1" x14ac:dyDescent="0.25">
      <c r="A73" s="118">
        <v>3</v>
      </c>
      <c r="B73" s="99" t="s">
        <v>113</v>
      </c>
      <c r="C73" s="100"/>
      <c r="D73" s="100"/>
      <c r="E73" s="100"/>
      <c r="F73" s="100"/>
      <c r="G73" s="100"/>
      <c r="H73" s="100"/>
      <c r="I73" s="100"/>
      <c r="J73" s="100"/>
      <c r="K73" s="101"/>
      <c r="L73" s="120">
        <v>1</v>
      </c>
      <c r="M73" s="101"/>
      <c r="N73" s="120"/>
      <c r="O73" s="101"/>
      <c r="P73" s="99"/>
      <c r="Q73" s="100"/>
      <c r="R73" s="100"/>
      <c r="S73" s="100"/>
      <c r="T73" s="100"/>
      <c r="U73" s="100"/>
      <c r="V73" s="100"/>
      <c r="W73" s="100"/>
      <c r="X73" s="100"/>
      <c r="Y73" s="100"/>
      <c r="Z73" s="100"/>
      <c r="AA73" s="100"/>
      <c r="AB73" s="100"/>
      <c r="AC73" s="100"/>
      <c r="AD73" s="100"/>
      <c r="AE73" s="100"/>
      <c r="AF73" s="100"/>
      <c r="AG73" s="100"/>
      <c r="AH73" s="100"/>
      <c r="AI73" s="100"/>
      <c r="AJ73" s="101"/>
      <c r="AK73" s="99"/>
      <c r="AL73" s="100"/>
      <c r="AM73" s="100"/>
      <c r="AN73" s="100"/>
      <c r="AO73" s="100"/>
      <c r="AP73" s="100"/>
      <c r="AQ73" s="100"/>
      <c r="AR73" s="101"/>
    </row>
    <row r="74" spans="1:44" ht="15.75" hidden="1" customHeight="1" x14ac:dyDescent="0.25">
      <c r="A74" s="119"/>
      <c r="B74" s="105"/>
      <c r="C74" s="106"/>
      <c r="D74" s="106"/>
      <c r="E74" s="106"/>
      <c r="F74" s="106"/>
      <c r="G74" s="106"/>
      <c r="H74" s="106"/>
      <c r="I74" s="106"/>
      <c r="J74" s="106"/>
      <c r="K74" s="107"/>
      <c r="L74" s="105"/>
      <c r="M74" s="107"/>
      <c r="N74" s="105"/>
      <c r="O74" s="107"/>
      <c r="P74" s="105"/>
      <c r="Q74" s="106"/>
      <c r="R74" s="106"/>
      <c r="S74" s="106"/>
      <c r="T74" s="106"/>
      <c r="U74" s="106"/>
      <c r="V74" s="106"/>
      <c r="W74" s="106"/>
      <c r="X74" s="106"/>
      <c r="Y74" s="106"/>
      <c r="Z74" s="106"/>
      <c r="AA74" s="106"/>
      <c r="AB74" s="106"/>
      <c r="AC74" s="106"/>
      <c r="AD74" s="106"/>
      <c r="AE74" s="106"/>
      <c r="AF74" s="106"/>
      <c r="AG74" s="106"/>
      <c r="AH74" s="106"/>
      <c r="AI74" s="106"/>
      <c r="AJ74" s="107"/>
      <c r="AK74" s="105"/>
      <c r="AL74" s="106"/>
      <c r="AM74" s="106"/>
      <c r="AN74" s="106"/>
      <c r="AO74" s="106"/>
      <c r="AP74" s="106"/>
      <c r="AQ74" s="106"/>
      <c r="AR74" s="107"/>
    </row>
    <row r="75" spans="1:44" ht="15.75" hidden="1" customHeight="1" x14ac:dyDescent="0.25">
      <c r="A75" s="118">
        <v>4</v>
      </c>
      <c r="B75" s="99" t="s">
        <v>114</v>
      </c>
      <c r="C75" s="100"/>
      <c r="D75" s="100"/>
      <c r="E75" s="100"/>
      <c r="F75" s="100"/>
      <c r="G75" s="100"/>
      <c r="H75" s="100"/>
      <c r="I75" s="100"/>
      <c r="J75" s="100"/>
      <c r="K75" s="101"/>
      <c r="L75" s="120">
        <v>2</v>
      </c>
      <c r="M75" s="101"/>
      <c r="N75" s="120"/>
      <c r="O75" s="101"/>
      <c r="P75" s="99"/>
      <c r="Q75" s="100"/>
      <c r="R75" s="100"/>
      <c r="S75" s="100"/>
      <c r="T75" s="100"/>
      <c r="U75" s="100"/>
      <c r="V75" s="100"/>
      <c r="W75" s="100"/>
      <c r="X75" s="100"/>
      <c r="Y75" s="100"/>
      <c r="Z75" s="100"/>
      <c r="AA75" s="100"/>
      <c r="AB75" s="100"/>
      <c r="AC75" s="100"/>
      <c r="AD75" s="100"/>
      <c r="AE75" s="100"/>
      <c r="AF75" s="100"/>
      <c r="AG75" s="100"/>
      <c r="AH75" s="100"/>
      <c r="AI75" s="100"/>
      <c r="AJ75" s="101"/>
      <c r="AK75" s="99"/>
      <c r="AL75" s="100"/>
      <c r="AM75" s="100"/>
      <c r="AN75" s="100"/>
      <c r="AO75" s="100"/>
      <c r="AP75" s="100"/>
      <c r="AQ75" s="100"/>
      <c r="AR75" s="101"/>
    </row>
    <row r="76" spans="1:44" ht="15.75" hidden="1" customHeight="1" x14ac:dyDescent="0.25">
      <c r="A76" s="119"/>
      <c r="B76" s="105"/>
      <c r="C76" s="106"/>
      <c r="D76" s="106"/>
      <c r="E76" s="106"/>
      <c r="F76" s="106"/>
      <c r="G76" s="106"/>
      <c r="H76" s="106"/>
      <c r="I76" s="106"/>
      <c r="J76" s="106"/>
      <c r="K76" s="107"/>
      <c r="L76" s="105"/>
      <c r="M76" s="107"/>
      <c r="N76" s="105"/>
      <c r="O76" s="107"/>
      <c r="P76" s="105"/>
      <c r="Q76" s="106"/>
      <c r="R76" s="106"/>
      <c r="S76" s="106"/>
      <c r="T76" s="106"/>
      <c r="U76" s="106"/>
      <c r="V76" s="106"/>
      <c r="W76" s="106"/>
      <c r="X76" s="106"/>
      <c r="Y76" s="106"/>
      <c r="Z76" s="106"/>
      <c r="AA76" s="106"/>
      <c r="AB76" s="106"/>
      <c r="AC76" s="106"/>
      <c r="AD76" s="106"/>
      <c r="AE76" s="106"/>
      <c r="AF76" s="106"/>
      <c r="AG76" s="106"/>
      <c r="AH76" s="106"/>
      <c r="AI76" s="106"/>
      <c r="AJ76" s="107"/>
      <c r="AK76" s="105"/>
      <c r="AL76" s="106"/>
      <c r="AM76" s="106"/>
      <c r="AN76" s="106"/>
      <c r="AO76" s="106"/>
      <c r="AP76" s="106"/>
      <c r="AQ76" s="106"/>
      <c r="AR76" s="107"/>
    </row>
    <row r="77" spans="1:44" ht="14.25" hidden="1" customHeight="1" x14ac:dyDescent="0.25">
      <c r="A77" s="115" t="s">
        <v>115</v>
      </c>
      <c r="B77" s="100"/>
      <c r="C77" s="100"/>
      <c r="D77" s="100"/>
      <c r="E77" s="100"/>
      <c r="F77" s="100"/>
      <c r="G77" s="100"/>
      <c r="H77" s="100"/>
      <c r="I77" s="100"/>
      <c r="J77" s="100"/>
      <c r="K77" s="100"/>
      <c r="L77" s="100"/>
      <c r="M77" s="101"/>
      <c r="N77" s="116">
        <f>SUM(N69:O76)/SUM($L$69:$M$76)</f>
        <v>0</v>
      </c>
      <c r="O77" s="101"/>
      <c r="P77" s="117" t="str">
        <f>IF(AND(N77&gt;0%,N77&lt;85%),"KHÔNG ĐẠT",IF(AND(N77&gt;=85%),"ĐẠT",IF(AND(N77=0),"N/A")))</f>
        <v>N/A</v>
      </c>
      <c r="Q77" s="100"/>
      <c r="R77" s="100"/>
      <c r="S77" s="100"/>
      <c r="T77" s="100"/>
      <c r="U77" s="100"/>
      <c r="V77" s="100"/>
      <c r="W77" s="100"/>
      <c r="X77" s="100"/>
      <c r="Y77" s="100"/>
      <c r="Z77" s="100"/>
      <c r="AA77" s="100"/>
      <c r="AB77" s="100"/>
      <c r="AC77" s="100"/>
      <c r="AD77" s="100"/>
      <c r="AE77" s="100"/>
      <c r="AF77" s="100"/>
      <c r="AG77" s="100"/>
      <c r="AH77" s="100"/>
      <c r="AI77" s="100"/>
      <c r="AJ77" s="101"/>
      <c r="AK77" s="117"/>
      <c r="AL77" s="100"/>
      <c r="AM77" s="100"/>
      <c r="AN77" s="100"/>
      <c r="AO77" s="100"/>
      <c r="AP77" s="100"/>
      <c r="AQ77" s="100"/>
      <c r="AR77" s="101"/>
    </row>
    <row r="78" spans="1:44" ht="14.25" hidden="1" customHeight="1" x14ac:dyDescent="0.25">
      <c r="A78" s="105"/>
      <c r="B78" s="106"/>
      <c r="C78" s="106"/>
      <c r="D78" s="106"/>
      <c r="E78" s="106"/>
      <c r="F78" s="106"/>
      <c r="G78" s="106"/>
      <c r="H78" s="106"/>
      <c r="I78" s="106"/>
      <c r="J78" s="106"/>
      <c r="K78" s="106"/>
      <c r="L78" s="106"/>
      <c r="M78" s="107"/>
      <c r="N78" s="105"/>
      <c r="O78" s="107"/>
      <c r="P78" s="105"/>
      <c r="Q78" s="106"/>
      <c r="R78" s="106"/>
      <c r="S78" s="106"/>
      <c r="T78" s="106"/>
      <c r="U78" s="106"/>
      <c r="V78" s="106"/>
      <c r="W78" s="106"/>
      <c r="X78" s="106"/>
      <c r="Y78" s="106"/>
      <c r="Z78" s="106"/>
      <c r="AA78" s="106"/>
      <c r="AB78" s="106"/>
      <c r="AC78" s="106"/>
      <c r="AD78" s="106"/>
      <c r="AE78" s="106"/>
      <c r="AF78" s="106"/>
      <c r="AG78" s="106"/>
      <c r="AH78" s="106"/>
      <c r="AI78" s="106"/>
      <c r="AJ78" s="107"/>
      <c r="AK78" s="105"/>
      <c r="AL78" s="106"/>
      <c r="AM78" s="106"/>
      <c r="AN78" s="106"/>
      <c r="AO78" s="106"/>
      <c r="AP78" s="106"/>
      <c r="AQ78" s="106"/>
      <c r="AR78" s="107"/>
    </row>
    <row r="79" spans="1:44" ht="8.25" hidden="1" customHeight="1" x14ac:dyDescent="0.25">
      <c r="A79" s="64"/>
      <c r="B79" s="62"/>
      <c r="C79" s="62"/>
      <c r="D79" s="62"/>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row>
    <row r="80" spans="1:44" ht="15.75" customHeight="1" x14ac:dyDescent="0.25">
      <c r="A80" s="83" t="s">
        <v>2</v>
      </c>
      <c r="B80" s="81"/>
      <c r="C80" s="81"/>
      <c r="D80" s="81" t="s">
        <v>116</v>
      </c>
      <c r="E80" s="82"/>
      <c r="F80" s="82"/>
      <c r="G80" s="82"/>
      <c r="H80" s="82"/>
      <c r="I80" s="82"/>
      <c r="J80" s="82"/>
      <c r="K80" s="82"/>
      <c r="L80" s="82"/>
      <c r="M80" s="82"/>
      <c r="N80" s="82"/>
      <c r="O80" s="82"/>
      <c r="P80" s="82"/>
      <c r="Q80" s="82"/>
      <c r="R80" s="82"/>
      <c r="S80" s="82"/>
      <c r="T80" s="82"/>
      <c r="U80" s="82"/>
      <c r="V80" s="82"/>
      <c r="W80" s="82"/>
      <c r="X80" s="82"/>
      <c r="Y80" s="82"/>
      <c r="Z80" s="82"/>
      <c r="AA80" s="82"/>
      <c r="AB80" s="82"/>
      <c r="AC80" s="82"/>
      <c r="AD80" s="82"/>
      <c r="AE80" s="82"/>
      <c r="AF80" s="82"/>
      <c r="AG80" s="82"/>
      <c r="AH80" s="82"/>
      <c r="AI80" s="82"/>
      <c r="AJ80" s="82"/>
      <c r="AK80" s="82"/>
      <c r="AL80" s="82"/>
      <c r="AM80" s="82"/>
      <c r="AN80" s="82"/>
      <c r="AO80" s="82"/>
      <c r="AP80" s="82"/>
      <c r="AQ80" s="82"/>
      <c r="AR80" s="82"/>
    </row>
    <row r="81" spans="1:44" ht="8.25" customHeight="1" x14ac:dyDescent="0.25">
      <c r="A81" s="64"/>
      <c r="B81" s="62"/>
      <c r="C81" s="62"/>
      <c r="D81" s="62"/>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row>
    <row r="82" spans="1:44" ht="15" customHeight="1" x14ac:dyDescent="0.25">
      <c r="A82" s="113" t="s">
        <v>117</v>
      </c>
      <c r="B82" s="97"/>
      <c r="C82" s="97"/>
      <c r="D82" s="97"/>
      <c r="E82" s="97"/>
      <c r="F82" s="97"/>
      <c r="G82" s="97"/>
      <c r="H82" s="97"/>
      <c r="I82" s="97"/>
      <c r="J82" s="97"/>
      <c r="K82" s="97"/>
      <c r="L82" s="97"/>
      <c r="M82" s="97"/>
      <c r="N82" s="97"/>
      <c r="O82" s="98"/>
      <c r="P82" s="113" t="s">
        <v>118</v>
      </c>
      <c r="Q82" s="97"/>
      <c r="R82" s="97"/>
      <c r="S82" s="97"/>
      <c r="T82" s="97"/>
      <c r="U82" s="97"/>
      <c r="V82" s="97"/>
      <c r="W82" s="97"/>
      <c r="X82" s="97"/>
      <c r="Y82" s="97"/>
      <c r="Z82" s="97"/>
      <c r="AA82" s="97"/>
      <c r="AB82" s="97"/>
      <c r="AC82" s="97"/>
      <c r="AD82" s="98"/>
      <c r="AE82" s="113" t="s">
        <v>119</v>
      </c>
      <c r="AF82" s="97"/>
      <c r="AG82" s="97"/>
      <c r="AH82" s="97"/>
      <c r="AI82" s="97"/>
      <c r="AJ82" s="97"/>
      <c r="AK82" s="97"/>
      <c r="AL82" s="97"/>
      <c r="AM82" s="97"/>
      <c r="AN82" s="97"/>
      <c r="AO82" s="97"/>
      <c r="AP82" s="97"/>
      <c r="AQ82" s="97"/>
      <c r="AR82" s="98"/>
    </row>
    <row r="83" spans="1:44" ht="15.75" customHeight="1" x14ac:dyDescent="0.25">
      <c r="A83" s="99"/>
      <c r="B83" s="100"/>
      <c r="C83" s="100"/>
      <c r="D83" s="100"/>
      <c r="E83" s="100"/>
      <c r="F83" s="100"/>
      <c r="G83" s="100"/>
      <c r="H83" s="100"/>
      <c r="I83" s="100"/>
      <c r="J83" s="100"/>
      <c r="K83" s="100"/>
      <c r="L83" s="100"/>
      <c r="M83" s="100"/>
      <c r="N83" s="100"/>
      <c r="O83" s="101"/>
      <c r="P83" s="99"/>
      <c r="Q83" s="100"/>
      <c r="R83" s="100"/>
      <c r="S83" s="100"/>
      <c r="T83" s="100"/>
      <c r="U83" s="100"/>
      <c r="V83" s="100"/>
      <c r="W83" s="100"/>
      <c r="X83" s="100"/>
      <c r="Y83" s="100"/>
      <c r="Z83" s="100"/>
      <c r="AA83" s="100"/>
      <c r="AB83" s="100"/>
      <c r="AC83" s="100"/>
      <c r="AD83" s="101"/>
      <c r="AE83" s="99"/>
      <c r="AF83" s="100"/>
      <c r="AG83" s="100"/>
      <c r="AH83" s="100"/>
      <c r="AI83" s="100"/>
      <c r="AJ83" s="100"/>
      <c r="AK83" s="100"/>
      <c r="AL83" s="100"/>
      <c r="AM83" s="100"/>
      <c r="AN83" s="100"/>
      <c r="AO83" s="100"/>
      <c r="AP83" s="100"/>
      <c r="AQ83" s="100"/>
      <c r="AR83" s="101"/>
    </row>
    <row r="84" spans="1:44" ht="15.75" customHeight="1" x14ac:dyDescent="0.25">
      <c r="A84" s="102"/>
      <c r="B84" s="103"/>
      <c r="C84" s="103"/>
      <c r="D84" s="103"/>
      <c r="E84" s="103"/>
      <c r="F84" s="103"/>
      <c r="G84" s="103"/>
      <c r="H84" s="103"/>
      <c r="I84" s="103"/>
      <c r="J84" s="103"/>
      <c r="K84" s="103"/>
      <c r="L84" s="103"/>
      <c r="M84" s="103"/>
      <c r="N84" s="103"/>
      <c r="O84" s="104"/>
      <c r="P84" s="102"/>
      <c r="Q84" s="103"/>
      <c r="R84" s="103"/>
      <c r="S84" s="103"/>
      <c r="T84" s="103"/>
      <c r="U84" s="103"/>
      <c r="V84" s="103"/>
      <c r="W84" s="103"/>
      <c r="X84" s="103"/>
      <c r="Y84" s="103"/>
      <c r="Z84" s="103"/>
      <c r="AA84" s="103"/>
      <c r="AB84" s="103"/>
      <c r="AC84" s="103"/>
      <c r="AD84" s="104"/>
      <c r="AE84" s="102"/>
      <c r="AF84" s="103"/>
      <c r="AG84" s="103"/>
      <c r="AH84" s="103"/>
      <c r="AI84" s="103"/>
      <c r="AJ84" s="103"/>
      <c r="AK84" s="103"/>
      <c r="AL84" s="103"/>
      <c r="AM84" s="103"/>
      <c r="AN84" s="103"/>
      <c r="AO84" s="103"/>
      <c r="AP84" s="103"/>
      <c r="AQ84" s="103"/>
      <c r="AR84" s="104"/>
    </row>
    <row r="85" spans="1:44" ht="15.75" customHeight="1" x14ac:dyDescent="0.25">
      <c r="A85" s="102"/>
      <c r="B85" s="103"/>
      <c r="C85" s="103"/>
      <c r="D85" s="103"/>
      <c r="E85" s="103"/>
      <c r="F85" s="103"/>
      <c r="G85" s="103"/>
      <c r="H85" s="103"/>
      <c r="I85" s="103"/>
      <c r="J85" s="103"/>
      <c r="K85" s="103"/>
      <c r="L85" s="103"/>
      <c r="M85" s="103"/>
      <c r="N85" s="103"/>
      <c r="O85" s="104"/>
      <c r="P85" s="102"/>
      <c r="Q85" s="103"/>
      <c r="R85" s="103"/>
      <c r="S85" s="103"/>
      <c r="T85" s="103"/>
      <c r="U85" s="103"/>
      <c r="V85" s="103"/>
      <c r="W85" s="103"/>
      <c r="X85" s="103"/>
      <c r="Y85" s="103"/>
      <c r="Z85" s="103"/>
      <c r="AA85" s="103"/>
      <c r="AB85" s="103"/>
      <c r="AC85" s="103"/>
      <c r="AD85" s="104"/>
      <c r="AE85" s="102"/>
      <c r="AF85" s="103"/>
      <c r="AG85" s="103"/>
      <c r="AH85" s="103"/>
      <c r="AI85" s="103"/>
      <c r="AJ85" s="103"/>
      <c r="AK85" s="103"/>
      <c r="AL85" s="103"/>
      <c r="AM85" s="103"/>
      <c r="AN85" s="103"/>
      <c r="AO85" s="103"/>
      <c r="AP85" s="103"/>
      <c r="AQ85" s="103"/>
      <c r="AR85" s="104"/>
    </row>
    <row r="86" spans="1:44" ht="15.75" customHeight="1" x14ac:dyDescent="0.25">
      <c r="A86" s="102"/>
      <c r="B86" s="103"/>
      <c r="C86" s="103"/>
      <c r="D86" s="103"/>
      <c r="E86" s="103"/>
      <c r="F86" s="103"/>
      <c r="G86" s="103"/>
      <c r="H86" s="103"/>
      <c r="I86" s="103"/>
      <c r="J86" s="103"/>
      <c r="K86" s="103"/>
      <c r="L86" s="103"/>
      <c r="M86" s="103"/>
      <c r="N86" s="103"/>
      <c r="O86" s="104"/>
      <c r="P86" s="102"/>
      <c r="Q86" s="103"/>
      <c r="R86" s="103"/>
      <c r="S86" s="103"/>
      <c r="T86" s="103"/>
      <c r="U86" s="103"/>
      <c r="V86" s="103"/>
      <c r="W86" s="103"/>
      <c r="X86" s="103"/>
      <c r="Y86" s="103"/>
      <c r="Z86" s="103"/>
      <c r="AA86" s="103"/>
      <c r="AB86" s="103"/>
      <c r="AC86" s="103"/>
      <c r="AD86" s="104"/>
      <c r="AE86" s="102"/>
      <c r="AF86" s="103"/>
      <c r="AG86" s="103"/>
      <c r="AH86" s="103"/>
      <c r="AI86" s="103"/>
      <c r="AJ86" s="103"/>
      <c r="AK86" s="103"/>
      <c r="AL86" s="103"/>
      <c r="AM86" s="103"/>
      <c r="AN86" s="103"/>
      <c r="AO86" s="103"/>
      <c r="AP86" s="103"/>
      <c r="AQ86" s="103"/>
      <c r="AR86" s="104"/>
    </row>
    <row r="87" spans="1:44" ht="15.75" customHeight="1" x14ac:dyDescent="0.25">
      <c r="A87" s="102"/>
      <c r="B87" s="103"/>
      <c r="C87" s="103"/>
      <c r="D87" s="103"/>
      <c r="E87" s="103"/>
      <c r="F87" s="103"/>
      <c r="G87" s="103"/>
      <c r="H87" s="103"/>
      <c r="I87" s="103"/>
      <c r="J87" s="103"/>
      <c r="K87" s="103"/>
      <c r="L87" s="103"/>
      <c r="M87" s="103"/>
      <c r="N87" s="103"/>
      <c r="O87" s="104"/>
      <c r="P87" s="102"/>
      <c r="Q87" s="103"/>
      <c r="R87" s="103"/>
      <c r="S87" s="103"/>
      <c r="T87" s="103"/>
      <c r="U87" s="103"/>
      <c r="V87" s="103"/>
      <c r="W87" s="103"/>
      <c r="X87" s="103"/>
      <c r="Y87" s="103"/>
      <c r="Z87" s="103"/>
      <c r="AA87" s="103"/>
      <c r="AB87" s="103"/>
      <c r="AC87" s="103"/>
      <c r="AD87" s="104"/>
      <c r="AE87" s="102"/>
      <c r="AF87" s="103"/>
      <c r="AG87" s="103"/>
      <c r="AH87" s="103"/>
      <c r="AI87" s="103"/>
      <c r="AJ87" s="103"/>
      <c r="AK87" s="103"/>
      <c r="AL87" s="103"/>
      <c r="AM87" s="103"/>
      <c r="AN87" s="103"/>
      <c r="AO87" s="103"/>
      <c r="AP87" s="103"/>
      <c r="AQ87" s="103"/>
      <c r="AR87" s="104"/>
    </row>
    <row r="88" spans="1:44" ht="15.75" customHeight="1" x14ac:dyDescent="0.25">
      <c r="A88" s="105"/>
      <c r="B88" s="106"/>
      <c r="C88" s="106"/>
      <c r="D88" s="106"/>
      <c r="E88" s="106"/>
      <c r="F88" s="106"/>
      <c r="G88" s="106"/>
      <c r="H88" s="106"/>
      <c r="I88" s="106"/>
      <c r="J88" s="106"/>
      <c r="K88" s="106"/>
      <c r="L88" s="106"/>
      <c r="M88" s="106"/>
      <c r="N88" s="106"/>
      <c r="O88" s="107"/>
      <c r="P88" s="105"/>
      <c r="Q88" s="106"/>
      <c r="R88" s="106"/>
      <c r="S88" s="106"/>
      <c r="T88" s="106"/>
      <c r="U88" s="106"/>
      <c r="V88" s="106"/>
      <c r="W88" s="106"/>
      <c r="X88" s="106"/>
      <c r="Y88" s="106"/>
      <c r="Z88" s="106"/>
      <c r="AA88" s="106"/>
      <c r="AB88" s="106"/>
      <c r="AC88" s="106"/>
      <c r="AD88" s="107"/>
      <c r="AE88" s="105"/>
      <c r="AF88" s="106"/>
      <c r="AG88" s="106"/>
      <c r="AH88" s="106"/>
      <c r="AI88" s="106"/>
      <c r="AJ88" s="106"/>
      <c r="AK88" s="106"/>
      <c r="AL88" s="106"/>
      <c r="AM88" s="106"/>
      <c r="AN88" s="106"/>
      <c r="AO88" s="106"/>
      <c r="AP88" s="106"/>
      <c r="AQ88" s="106"/>
      <c r="AR88" s="107"/>
    </row>
    <row r="89" spans="1:44" ht="15.75" customHeight="1" x14ac:dyDescent="0.25">
      <c r="A89" s="96" t="s">
        <v>120</v>
      </c>
      <c r="B89" s="97"/>
      <c r="C89" s="97"/>
      <c r="D89" s="97"/>
      <c r="E89" s="97"/>
      <c r="F89" s="97"/>
      <c r="G89" s="97"/>
      <c r="H89" s="97"/>
      <c r="I89" s="97"/>
      <c r="J89" s="97"/>
      <c r="K89" s="97"/>
      <c r="L89" s="97"/>
      <c r="M89" s="97"/>
      <c r="N89" s="97"/>
      <c r="O89" s="98"/>
      <c r="P89" s="96" t="s">
        <v>120</v>
      </c>
      <c r="Q89" s="97"/>
      <c r="R89" s="97"/>
      <c r="S89" s="97"/>
      <c r="T89" s="97"/>
      <c r="U89" s="97"/>
      <c r="V89" s="97"/>
      <c r="W89" s="97"/>
      <c r="X89" s="97"/>
      <c r="Y89" s="97"/>
      <c r="Z89" s="97"/>
      <c r="AA89" s="97"/>
      <c r="AB89" s="97"/>
      <c r="AC89" s="97"/>
      <c r="AD89" s="98"/>
      <c r="AE89" s="96" t="s">
        <v>120</v>
      </c>
      <c r="AF89" s="97"/>
      <c r="AG89" s="97"/>
      <c r="AH89" s="97"/>
      <c r="AI89" s="97"/>
      <c r="AJ89" s="97"/>
      <c r="AK89" s="97"/>
      <c r="AL89" s="97"/>
      <c r="AM89" s="97"/>
      <c r="AN89" s="97"/>
      <c r="AO89" s="97"/>
      <c r="AP89" s="97"/>
      <c r="AQ89" s="97"/>
      <c r="AR89" s="98"/>
    </row>
    <row r="90" spans="1:44" ht="15.75" customHeight="1" x14ac:dyDescent="0.25">
      <c r="A90" s="96" t="s">
        <v>148</v>
      </c>
      <c r="B90" s="97"/>
      <c r="C90" s="97"/>
      <c r="D90" s="97"/>
      <c r="E90" s="97"/>
      <c r="F90" s="97"/>
      <c r="G90" s="97"/>
      <c r="H90" s="97"/>
      <c r="I90" s="97"/>
      <c r="J90" s="97"/>
      <c r="K90" s="97"/>
      <c r="L90" s="97"/>
      <c r="M90" s="97"/>
      <c r="N90" s="97"/>
      <c r="O90" s="98"/>
      <c r="P90" s="96" t="s">
        <v>148</v>
      </c>
      <c r="Q90" s="97"/>
      <c r="R90" s="97"/>
      <c r="S90" s="97"/>
      <c r="T90" s="97"/>
      <c r="U90" s="97"/>
      <c r="V90" s="97"/>
      <c r="W90" s="97"/>
      <c r="X90" s="97"/>
      <c r="Y90" s="97"/>
      <c r="Z90" s="97"/>
      <c r="AA90" s="97"/>
      <c r="AB90" s="97"/>
      <c r="AC90" s="97"/>
      <c r="AD90" s="98"/>
      <c r="AE90" s="96" t="s">
        <v>148</v>
      </c>
      <c r="AF90" s="97"/>
      <c r="AG90" s="97"/>
      <c r="AH90" s="97"/>
      <c r="AI90" s="97"/>
      <c r="AJ90" s="97"/>
      <c r="AK90" s="97"/>
      <c r="AL90" s="97"/>
      <c r="AM90" s="97"/>
      <c r="AN90" s="97"/>
      <c r="AO90" s="97"/>
      <c r="AP90" s="97"/>
      <c r="AQ90" s="97"/>
      <c r="AR90" s="98"/>
    </row>
    <row r="91" spans="1:44" ht="8.25" customHeight="1" x14ac:dyDescent="0.25">
      <c r="A91" s="64"/>
      <c r="B91" s="62"/>
      <c r="C91" s="62"/>
      <c r="D91" s="62"/>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row>
    <row r="92" spans="1:44" ht="15.75" hidden="1" customHeight="1" x14ac:dyDescent="0.25">
      <c r="A92" s="114" t="s">
        <v>121</v>
      </c>
      <c r="B92" s="112"/>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c r="AA92" s="112"/>
      <c r="AB92" s="112"/>
      <c r="AC92" s="112"/>
      <c r="AD92" s="112"/>
      <c r="AE92" s="112"/>
      <c r="AF92" s="112"/>
      <c r="AG92" s="112"/>
      <c r="AH92" s="112"/>
      <c r="AI92" s="112"/>
      <c r="AJ92" s="112"/>
      <c r="AK92" s="112"/>
      <c r="AL92" s="112"/>
      <c r="AM92" s="112"/>
      <c r="AN92" s="112"/>
      <c r="AO92" s="112"/>
      <c r="AP92" s="112"/>
      <c r="AQ92" s="112"/>
      <c r="AR92" s="112"/>
    </row>
    <row r="93" spans="1:44" ht="8.25" hidden="1" customHeight="1" x14ac:dyDescent="0.25">
      <c r="A93" s="64"/>
      <c r="B93" s="62"/>
      <c r="C93" s="62"/>
      <c r="D93" s="62"/>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row>
    <row r="94" spans="1:44" ht="15" hidden="1" customHeight="1" x14ac:dyDescent="0.25">
      <c r="A94" s="83" t="s">
        <v>1</v>
      </c>
      <c r="B94" s="111" t="s">
        <v>122</v>
      </c>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row>
    <row r="95" spans="1:44" ht="8.25" hidden="1" customHeight="1" x14ac:dyDescent="0.25">
      <c r="A95" s="64"/>
      <c r="B95" s="62"/>
      <c r="C95" s="62"/>
      <c r="D95" s="62"/>
      <c r="E95" s="58"/>
      <c r="F95" s="58"/>
      <c r="G95" s="58"/>
      <c r="H95" s="58"/>
      <c r="I95" s="58"/>
      <c r="J95" s="58"/>
      <c r="K95" s="58"/>
      <c r="L95" s="58"/>
      <c r="M95" s="58"/>
      <c r="N95" s="58"/>
      <c r="O95" s="58"/>
      <c r="P95" s="58"/>
      <c r="Q95" s="58"/>
      <c r="R95" s="58"/>
      <c r="S95" s="58"/>
      <c r="T95" s="58"/>
      <c r="U95" s="79"/>
      <c r="V95" s="58"/>
      <c r="W95" s="58"/>
      <c r="X95" s="58"/>
      <c r="Y95" s="58"/>
      <c r="Z95" s="58"/>
      <c r="AA95" s="58"/>
      <c r="AB95" s="58"/>
      <c r="AC95" s="58"/>
      <c r="AD95" s="58"/>
      <c r="AE95" s="79"/>
      <c r="AF95" s="58"/>
      <c r="AG95" s="58"/>
      <c r="AH95" s="58"/>
      <c r="AI95" s="58"/>
      <c r="AJ95" s="58"/>
      <c r="AK95" s="58"/>
      <c r="AL95" s="58"/>
      <c r="AM95" s="58"/>
      <c r="AN95" s="58"/>
      <c r="AO95" s="58"/>
      <c r="AP95" s="58"/>
      <c r="AQ95" s="58"/>
      <c r="AR95" s="58"/>
    </row>
    <row r="96" spans="1:44" ht="15.75" hidden="1" customHeight="1" x14ac:dyDescent="0.25">
      <c r="A96" s="109" t="s">
        <v>123</v>
      </c>
      <c r="B96" s="103"/>
      <c r="C96" s="103"/>
      <c r="D96" s="103"/>
      <c r="E96" s="103"/>
      <c r="F96" s="103"/>
      <c r="G96" s="103"/>
      <c r="H96" s="103"/>
      <c r="I96" s="103"/>
      <c r="J96" s="103"/>
      <c r="K96" s="103"/>
      <c r="L96" s="59"/>
      <c r="M96" s="59"/>
      <c r="N96" s="110">
        <f>AVERAGE(AC30:AR31)</f>
        <v>0.4375</v>
      </c>
      <c r="O96" s="100"/>
      <c r="P96" s="100"/>
      <c r="Q96" s="100"/>
      <c r="R96" s="100"/>
      <c r="S96" s="100"/>
      <c r="T96" s="100"/>
      <c r="U96" s="101"/>
      <c r="V96" s="58"/>
      <c r="W96" s="58"/>
      <c r="X96" s="58"/>
      <c r="Y96" s="84"/>
      <c r="Z96" s="58"/>
      <c r="AA96" s="84" t="s">
        <v>124</v>
      </c>
      <c r="AB96" s="58"/>
      <c r="AC96" s="58"/>
      <c r="AD96" s="58"/>
      <c r="AE96" s="78"/>
      <c r="AF96" s="59"/>
      <c r="AG96" s="59"/>
      <c r="AH96" s="110" t="e">
        <f>N96*20%+N98*50%+N100*30%</f>
        <v>#DIV/0!</v>
      </c>
      <c r="AI96" s="100"/>
      <c r="AJ96" s="100"/>
      <c r="AK96" s="100"/>
      <c r="AL96" s="100"/>
      <c r="AM96" s="100"/>
      <c r="AN96" s="100"/>
      <c r="AO96" s="101"/>
      <c r="AP96" s="58"/>
      <c r="AQ96" s="58"/>
      <c r="AR96" s="58"/>
    </row>
    <row r="97" spans="1:44" ht="15.75" hidden="1" customHeight="1" x14ac:dyDescent="0.25">
      <c r="A97" s="64"/>
      <c r="B97" s="62"/>
      <c r="C97" s="62"/>
      <c r="D97" s="56"/>
      <c r="E97" s="58"/>
      <c r="F97" s="58"/>
      <c r="G97" s="58"/>
      <c r="H97" s="58"/>
      <c r="I97" s="58"/>
      <c r="J97" s="58"/>
      <c r="K97" s="59"/>
      <c r="L97" s="59"/>
      <c r="M97" s="59"/>
      <c r="N97" s="105"/>
      <c r="O97" s="106"/>
      <c r="P97" s="106"/>
      <c r="Q97" s="106"/>
      <c r="R97" s="106"/>
      <c r="S97" s="106"/>
      <c r="T97" s="106"/>
      <c r="U97" s="107"/>
      <c r="V97" s="58"/>
      <c r="W97" s="58"/>
      <c r="X97" s="58"/>
      <c r="Y97" s="58"/>
      <c r="Z97" s="58"/>
      <c r="AA97" s="58"/>
      <c r="AB97" s="58"/>
      <c r="AC97" s="58"/>
      <c r="AD97" s="58"/>
      <c r="AE97" s="78"/>
      <c r="AF97" s="59"/>
      <c r="AG97" s="59"/>
      <c r="AH97" s="102"/>
      <c r="AI97" s="103"/>
      <c r="AJ97" s="103"/>
      <c r="AK97" s="103"/>
      <c r="AL97" s="103"/>
      <c r="AM97" s="103"/>
      <c r="AN97" s="103"/>
      <c r="AO97" s="104"/>
      <c r="AP97" s="58"/>
      <c r="AQ97" s="58"/>
      <c r="AR97" s="58"/>
    </row>
    <row r="98" spans="1:44" ht="15.75" hidden="1" customHeight="1" x14ac:dyDescent="0.25">
      <c r="A98" s="109" t="s">
        <v>125</v>
      </c>
      <c r="B98" s="103"/>
      <c r="C98" s="103"/>
      <c r="D98" s="103"/>
      <c r="E98" s="103"/>
      <c r="F98" s="103"/>
      <c r="G98" s="103"/>
      <c r="H98" s="103"/>
      <c r="I98" s="103"/>
      <c r="J98" s="103"/>
      <c r="K98" s="78"/>
      <c r="L98" s="59"/>
      <c r="M98" s="59"/>
      <c r="N98" s="110" t="e">
        <f>AC47*20%+AG47*25%+AK47*25%+AO47*30%</f>
        <v>#DIV/0!</v>
      </c>
      <c r="O98" s="100"/>
      <c r="P98" s="100"/>
      <c r="Q98" s="100"/>
      <c r="R98" s="100"/>
      <c r="S98" s="100"/>
      <c r="T98" s="100"/>
      <c r="U98" s="101"/>
      <c r="V98" s="58"/>
      <c r="W98" s="58"/>
      <c r="X98" s="58"/>
      <c r="Y98" s="58"/>
      <c r="Z98" s="58"/>
      <c r="AA98" s="58"/>
      <c r="AB98" s="58"/>
      <c r="AC98" s="58"/>
      <c r="AD98" s="58"/>
      <c r="AE98" s="59"/>
      <c r="AF98" s="59"/>
      <c r="AG98" s="59"/>
      <c r="AH98" s="105"/>
      <c r="AI98" s="106"/>
      <c r="AJ98" s="106"/>
      <c r="AK98" s="106"/>
      <c r="AL98" s="106"/>
      <c r="AM98" s="106"/>
      <c r="AN98" s="106"/>
      <c r="AO98" s="107"/>
      <c r="AP98" s="58"/>
      <c r="AQ98" s="58"/>
      <c r="AR98" s="58"/>
    </row>
    <row r="99" spans="1:44" ht="15.75" hidden="1" customHeight="1" x14ac:dyDescent="0.25">
      <c r="A99" s="64"/>
      <c r="B99" s="62"/>
      <c r="C99" s="62"/>
      <c r="D99" s="56"/>
      <c r="E99" s="58"/>
      <c r="F99" s="58"/>
      <c r="G99" s="58"/>
      <c r="H99" s="58"/>
      <c r="I99" s="58"/>
      <c r="J99" s="58"/>
      <c r="K99" s="78"/>
      <c r="L99" s="59"/>
      <c r="M99" s="59"/>
      <c r="N99" s="105"/>
      <c r="O99" s="106"/>
      <c r="P99" s="106"/>
      <c r="Q99" s="106"/>
      <c r="R99" s="106"/>
      <c r="S99" s="106"/>
      <c r="T99" s="106"/>
      <c r="U99" s="107"/>
      <c r="V99" s="58"/>
      <c r="W99" s="58"/>
      <c r="X99" s="58"/>
      <c r="Y99" s="84"/>
      <c r="Z99" s="58"/>
      <c r="AA99" s="84" t="s">
        <v>126</v>
      </c>
      <c r="AB99" s="58"/>
      <c r="AC99" s="58"/>
      <c r="AD99" s="58"/>
      <c r="AE99" s="78"/>
      <c r="AF99" s="59"/>
      <c r="AG99" s="59"/>
      <c r="AH99" s="108"/>
      <c r="AI99" s="100"/>
      <c r="AJ99" s="100"/>
      <c r="AK99" s="100"/>
      <c r="AL99" s="100"/>
      <c r="AM99" s="100"/>
      <c r="AN99" s="100"/>
      <c r="AO99" s="101"/>
      <c r="AP99" s="58"/>
      <c r="AQ99" s="58"/>
      <c r="AR99" s="58"/>
    </row>
    <row r="100" spans="1:44" ht="15.75" hidden="1" customHeight="1" x14ac:dyDescent="0.25">
      <c r="A100" s="109" t="s">
        <v>127</v>
      </c>
      <c r="B100" s="103"/>
      <c r="C100" s="103"/>
      <c r="D100" s="103"/>
      <c r="E100" s="103"/>
      <c r="F100" s="103"/>
      <c r="G100" s="103"/>
      <c r="H100" s="103"/>
      <c r="I100" s="103"/>
      <c r="J100" s="103"/>
      <c r="K100" s="78"/>
      <c r="L100" s="59"/>
      <c r="M100" s="59"/>
      <c r="N100" s="110">
        <f>N77</f>
        <v>0</v>
      </c>
      <c r="O100" s="100"/>
      <c r="P100" s="100"/>
      <c r="Q100" s="100"/>
      <c r="R100" s="100"/>
      <c r="S100" s="100"/>
      <c r="T100" s="100"/>
      <c r="U100" s="101"/>
      <c r="V100" s="58"/>
      <c r="W100" s="58"/>
      <c r="X100" s="58"/>
      <c r="Y100" s="58"/>
      <c r="Z100" s="58"/>
      <c r="AA100" s="58"/>
      <c r="AB100" s="58"/>
      <c r="AC100" s="58"/>
      <c r="AD100" s="58"/>
      <c r="AE100" s="78"/>
      <c r="AF100" s="59"/>
      <c r="AG100" s="59"/>
      <c r="AH100" s="102"/>
      <c r="AI100" s="103"/>
      <c r="AJ100" s="103"/>
      <c r="AK100" s="103"/>
      <c r="AL100" s="103"/>
      <c r="AM100" s="103"/>
      <c r="AN100" s="103"/>
      <c r="AO100" s="104"/>
      <c r="AP100" s="58"/>
      <c r="AQ100" s="58"/>
      <c r="AR100" s="58"/>
    </row>
    <row r="101" spans="1:44" ht="15.75" hidden="1" customHeight="1" x14ac:dyDescent="0.25">
      <c r="A101" s="64"/>
      <c r="B101" s="62"/>
      <c r="C101" s="62"/>
      <c r="D101" s="62"/>
      <c r="E101" s="58"/>
      <c r="F101" s="58"/>
      <c r="G101" s="58"/>
      <c r="H101" s="58"/>
      <c r="I101" s="58"/>
      <c r="J101" s="58"/>
      <c r="K101" s="59"/>
      <c r="L101" s="59"/>
      <c r="M101" s="59"/>
      <c r="N101" s="105"/>
      <c r="O101" s="106"/>
      <c r="P101" s="106"/>
      <c r="Q101" s="106"/>
      <c r="R101" s="106"/>
      <c r="S101" s="106"/>
      <c r="T101" s="106"/>
      <c r="U101" s="107"/>
      <c r="V101" s="58"/>
      <c r="W101" s="58"/>
      <c r="X101" s="58"/>
      <c r="Y101" s="58"/>
      <c r="Z101" s="58"/>
      <c r="AA101" s="58"/>
      <c r="AB101" s="58"/>
      <c r="AC101" s="58"/>
      <c r="AD101" s="58"/>
      <c r="AE101" s="58"/>
      <c r="AF101" s="58"/>
      <c r="AG101" s="58"/>
      <c r="AH101" s="105"/>
      <c r="AI101" s="106"/>
      <c r="AJ101" s="106"/>
      <c r="AK101" s="106"/>
      <c r="AL101" s="106"/>
      <c r="AM101" s="106"/>
      <c r="AN101" s="106"/>
      <c r="AO101" s="107"/>
      <c r="AP101" s="58"/>
      <c r="AQ101" s="58"/>
      <c r="AR101" s="58"/>
    </row>
    <row r="102" spans="1:44" ht="15.75" hidden="1" customHeight="1" x14ac:dyDescent="0.25">
      <c r="A102" s="64"/>
      <c r="B102" s="62"/>
      <c r="C102" s="62"/>
      <c r="D102" s="62"/>
      <c r="E102" s="58"/>
      <c r="F102" s="58"/>
      <c r="G102" s="58"/>
      <c r="H102" s="58"/>
      <c r="I102" s="58"/>
      <c r="J102" s="58"/>
      <c r="K102" s="58"/>
      <c r="L102" s="58"/>
      <c r="M102" s="58"/>
      <c r="N102" s="58"/>
      <c r="O102" s="58"/>
      <c r="P102" s="58"/>
      <c r="Q102" s="58"/>
      <c r="R102" s="58"/>
      <c r="S102" s="58"/>
      <c r="T102" s="58"/>
      <c r="U102" s="79"/>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row>
    <row r="103" spans="1:44" ht="15" hidden="1" customHeight="1" x14ac:dyDescent="0.25">
      <c r="A103" s="83" t="s">
        <v>128</v>
      </c>
      <c r="B103" s="111" t="s">
        <v>129</v>
      </c>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c r="AA103" s="112"/>
      <c r="AB103" s="112"/>
      <c r="AC103" s="112"/>
      <c r="AD103" s="112"/>
      <c r="AE103" s="112"/>
      <c r="AF103" s="112"/>
      <c r="AG103" s="112"/>
      <c r="AH103" s="112"/>
      <c r="AI103" s="112"/>
      <c r="AJ103" s="112"/>
      <c r="AK103" s="112"/>
      <c r="AL103" s="112"/>
      <c r="AM103" s="112"/>
      <c r="AN103" s="112"/>
      <c r="AO103" s="112"/>
      <c r="AP103" s="112"/>
      <c r="AQ103" s="112"/>
      <c r="AR103" s="112"/>
    </row>
    <row r="104" spans="1:44" ht="8.25" hidden="1" customHeight="1" x14ac:dyDescent="0.25">
      <c r="A104" s="64"/>
      <c r="B104" s="62"/>
      <c r="C104" s="62"/>
      <c r="D104" s="62"/>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row>
    <row r="105" spans="1:44" ht="15.75" hidden="1" customHeight="1" x14ac:dyDescent="0.25">
      <c r="A105" s="113" t="s">
        <v>118</v>
      </c>
      <c r="B105" s="97"/>
      <c r="C105" s="97"/>
      <c r="D105" s="97"/>
      <c r="E105" s="97"/>
      <c r="F105" s="97"/>
      <c r="G105" s="97"/>
      <c r="H105" s="97"/>
      <c r="I105" s="97"/>
      <c r="J105" s="97"/>
      <c r="K105" s="97"/>
      <c r="L105" s="97"/>
      <c r="M105" s="97"/>
      <c r="N105" s="97"/>
      <c r="O105" s="98"/>
      <c r="P105" s="113" t="s">
        <v>130</v>
      </c>
      <c r="Q105" s="97"/>
      <c r="R105" s="97"/>
      <c r="S105" s="97"/>
      <c r="T105" s="97"/>
      <c r="U105" s="97"/>
      <c r="V105" s="97"/>
      <c r="W105" s="97"/>
      <c r="X105" s="97"/>
      <c r="Y105" s="97"/>
      <c r="Z105" s="97"/>
      <c r="AA105" s="97"/>
      <c r="AB105" s="97"/>
      <c r="AC105" s="97"/>
      <c r="AD105" s="98"/>
      <c r="AE105" s="113" t="s">
        <v>131</v>
      </c>
      <c r="AF105" s="97"/>
      <c r="AG105" s="97"/>
      <c r="AH105" s="97"/>
      <c r="AI105" s="97"/>
      <c r="AJ105" s="97"/>
      <c r="AK105" s="97"/>
      <c r="AL105" s="97"/>
      <c r="AM105" s="97"/>
      <c r="AN105" s="97"/>
      <c r="AO105" s="97"/>
      <c r="AP105" s="97"/>
      <c r="AQ105" s="97"/>
      <c r="AR105" s="98"/>
    </row>
    <row r="106" spans="1:44" ht="15.75" hidden="1" customHeight="1" x14ac:dyDescent="0.25">
      <c r="A106" s="99"/>
      <c r="B106" s="100"/>
      <c r="C106" s="100"/>
      <c r="D106" s="100"/>
      <c r="E106" s="100"/>
      <c r="F106" s="100"/>
      <c r="G106" s="100"/>
      <c r="H106" s="100"/>
      <c r="I106" s="100"/>
      <c r="J106" s="100"/>
      <c r="K106" s="100"/>
      <c r="L106" s="100"/>
      <c r="M106" s="100"/>
      <c r="N106" s="100"/>
      <c r="O106" s="101"/>
      <c r="P106" s="99"/>
      <c r="Q106" s="100"/>
      <c r="R106" s="100"/>
      <c r="S106" s="100"/>
      <c r="T106" s="100"/>
      <c r="U106" s="100"/>
      <c r="V106" s="100"/>
      <c r="W106" s="100"/>
      <c r="X106" s="100"/>
      <c r="Y106" s="100"/>
      <c r="Z106" s="100"/>
      <c r="AA106" s="100"/>
      <c r="AB106" s="100"/>
      <c r="AC106" s="100"/>
      <c r="AD106" s="101"/>
      <c r="AE106" s="99"/>
      <c r="AF106" s="100"/>
      <c r="AG106" s="100"/>
      <c r="AH106" s="100"/>
      <c r="AI106" s="100"/>
      <c r="AJ106" s="100"/>
      <c r="AK106" s="100"/>
      <c r="AL106" s="100"/>
      <c r="AM106" s="100"/>
      <c r="AN106" s="100"/>
      <c r="AO106" s="100"/>
      <c r="AP106" s="100"/>
      <c r="AQ106" s="100"/>
      <c r="AR106" s="101"/>
    </row>
    <row r="107" spans="1:44" ht="15.75" hidden="1" customHeight="1" x14ac:dyDescent="0.25">
      <c r="A107" s="102"/>
      <c r="B107" s="103"/>
      <c r="C107" s="103"/>
      <c r="D107" s="103"/>
      <c r="E107" s="103"/>
      <c r="F107" s="103"/>
      <c r="G107" s="103"/>
      <c r="H107" s="103"/>
      <c r="I107" s="103"/>
      <c r="J107" s="103"/>
      <c r="K107" s="103"/>
      <c r="L107" s="103"/>
      <c r="M107" s="103"/>
      <c r="N107" s="103"/>
      <c r="O107" s="104"/>
      <c r="P107" s="102"/>
      <c r="Q107" s="103"/>
      <c r="R107" s="103"/>
      <c r="S107" s="103"/>
      <c r="T107" s="103"/>
      <c r="U107" s="103"/>
      <c r="V107" s="103"/>
      <c r="W107" s="103"/>
      <c r="X107" s="103"/>
      <c r="Y107" s="103"/>
      <c r="Z107" s="103"/>
      <c r="AA107" s="103"/>
      <c r="AB107" s="103"/>
      <c r="AC107" s="103"/>
      <c r="AD107" s="104"/>
      <c r="AE107" s="102"/>
      <c r="AF107" s="103"/>
      <c r="AG107" s="103"/>
      <c r="AH107" s="103"/>
      <c r="AI107" s="103"/>
      <c r="AJ107" s="103"/>
      <c r="AK107" s="103"/>
      <c r="AL107" s="103"/>
      <c r="AM107" s="103"/>
      <c r="AN107" s="103"/>
      <c r="AO107" s="103"/>
      <c r="AP107" s="103"/>
      <c r="AQ107" s="103"/>
      <c r="AR107" s="104"/>
    </row>
    <row r="108" spans="1:44" ht="15.75" hidden="1" customHeight="1" x14ac:dyDescent="0.25">
      <c r="A108" s="102"/>
      <c r="B108" s="103"/>
      <c r="C108" s="103"/>
      <c r="D108" s="103"/>
      <c r="E108" s="103"/>
      <c r="F108" s="103"/>
      <c r="G108" s="103"/>
      <c r="H108" s="103"/>
      <c r="I108" s="103"/>
      <c r="J108" s="103"/>
      <c r="K108" s="103"/>
      <c r="L108" s="103"/>
      <c r="M108" s="103"/>
      <c r="N108" s="103"/>
      <c r="O108" s="104"/>
      <c r="P108" s="102"/>
      <c r="Q108" s="103"/>
      <c r="R108" s="103"/>
      <c r="S108" s="103"/>
      <c r="T108" s="103"/>
      <c r="U108" s="103"/>
      <c r="V108" s="103"/>
      <c r="W108" s="103"/>
      <c r="X108" s="103"/>
      <c r="Y108" s="103"/>
      <c r="Z108" s="103"/>
      <c r="AA108" s="103"/>
      <c r="AB108" s="103"/>
      <c r="AC108" s="103"/>
      <c r="AD108" s="104"/>
      <c r="AE108" s="102"/>
      <c r="AF108" s="103"/>
      <c r="AG108" s="103"/>
      <c r="AH108" s="103"/>
      <c r="AI108" s="103"/>
      <c r="AJ108" s="103"/>
      <c r="AK108" s="103"/>
      <c r="AL108" s="103"/>
      <c r="AM108" s="103"/>
      <c r="AN108" s="103"/>
      <c r="AO108" s="103"/>
      <c r="AP108" s="103"/>
      <c r="AQ108" s="103"/>
      <c r="AR108" s="104"/>
    </row>
    <row r="109" spans="1:44" ht="15.75" hidden="1" customHeight="1" x14ac:dyDescent="0.25">
      <c r="A109" s="102"/>
      <c r="B109" s="103"/>
      <c r="C109" s="103"/>
      <c r="D109" s="103"/>
      <c r="E109" s="103"/>
      <c r="F109" s="103"/>
      <c r="G109" s="103"/>
      <c r="H109" s="103"/>
      <c r="I109" s="103"/>
      <c r="J109" s="103"/>
      <c r="K109" s="103"/>
      <c r="L109" s="103"/>
      <c r="M109" s="103"/>
      <c r="N109" s="103"/>
      <c r="O109" s="104"/>
      <c r="P109" s="102"/>
      <c r="Q109" s="103"/>
      <c r="R109" s="103"/>
      <c r="S109" s="103"/>
      <c r="T109" s="103"/>
      <c r="U109" s="103"/>
      <c r="V109" s="103"/>
      <c r="W109" s="103"/>
      <c r="X109" s="103"/>
      <c r="Y109" s="103"/>
      <c r="Z109" s="103"/>
      <c r="AA109" s="103"/>
      <c r="AB109" s="103"/>
      <c r="AC109" s="103"/>
      <c r="AD109" s="104"/>
      <c r="AE109" s="102"/>
      <c r="AF109" s="103"/>
      <c r="AG109" s="103"/>
      <c r="AH109" s="103"/>
      <c r="AI109" s="103"/>
      <c r="AJ109" s="103"/>
      <c r="AK109" s="103"/>
      <c r="AL109" s="103"/>
      <c r="AM109" s="103"/>
      <c r="AN109" s="103"/>
      <c r="AO109" s="103"/>
      <c r="AP109" s="103"/>
      <c r="AQ109" s="103"/>
      <c r="AR109" s="104"/>
    </row>
    <row r="110" spans="1:44" ht="15.75" hidden="1" customHeight="1" x14ac:dyDescent="0.25">
      <c r="A110" s="102"/>
      <c r="B110" s="103"/>
      <c r="C110" s="103"/>
      <c r="D110" s="103"/>
      <c r="E110" s="103"/>
      <c r="F110" s="103"/>
      <c r="G110" s="103"/>
      <c r="H110" s="103"/>
      <c r="I110" s="103"/>
      <c r="J110" s="103"/>
      <c r="K110" s="103"/>
      <c r="L110" s="103"/>
      <c r="M110" s="103"/>
      <c r="N110" s="103"/>
      <c r="O110" s="104"/>
      <c r="P110" s="102"/>
      <c r="Q110" s="103"/>
      <c r="R110" s="103"/>
      <c r="S110" s="103"/>
      <c r="T110" s="103"/>
      <c r="U110" s="103"/>
      <c r="V110" s="103"/>
      <c r="W110" s="103"/>
      <c r="X110" s="103"/>
      <c r="Y110" s="103"/>
      <c r="Z110" s="103"/>
      <c r="AA110" s="103"/>
      <c r="AB110" s="103"/>
      <c r="AC110" s="103"/>
      <c r="AD110" s="104"/>
      <c r="AE110" s="102"/>
      <c r="AF110" s="103"/>
      <c r="AG110" s="103"/>
      <c r="AH110" s="103"/>
      <c r="AI110" s="103"/>
      <c r="AJ110" s="103"/>
      <c r="AK110" s="103"/>
      <c r="AL110" s="103"/>
      <c r="AM110" s="103"/>
      <c r="AN110" s="103"/>
      <c r="AO110" s="103"/>
      <c r="AP110" s="103"/>
      <c r="AQ110" s="103"/>
      <c r="AR110" s="104"/>
    </row>
    <row r="111" spans="1:44" ht="15.75" hidden="1" customHeight="1" x14ac:dyDescent="0.25">
      <c r="A111" s="105"/>
      <c r="B111" s="106"/>
      <c r="C111" s="106"/>
      <c r="D111" s="106"/>
      <c r="E111" s="106"/>
      <c r="F111" s="106"/>
      <c r="G111" s="106"/>
      <c r="H111" s="106"/>
      <c r="I111" s="106"/>
      <c r="J111" s="106"/>
      <c r="K111" s="106"/>
      <c r="L111" s="106"/>
      <c r="M111" s="106"/>
      <c r="N111" s="106"/>
      <c r="O111" s="107"/>
      <c r="P111" s="105"/>
      <c r="Q111" s="106"/>
      <c r="R111" s="106"/>
      <c r="S111" s="106"/>
      <c r="T111" s="106"/>
      <c r="U111" s="106"/>
      <c r="V111" s="106"/>
      <c r="W111" s="106"/>
      <c r="X111" s="106"/>
      <c r="Y111" s="106"/>
      <c r="Z111" s="106"/>
      <c r="AA111" s="106"/>
      <c r="AB111" s="106"/>
      <c r="AC111" s="106"/>
      <c r="AD111" s="107"/>
      <c r="AE111" s="105"/>
      <c r="AF111" s="106"/>
      <c r="AG111" s="106"/>
      <c r="AH111" s="106"/>
      <c r="AI111" s="106"/>
      <c r="AJ111" s="106"/>
      <c r="AK111" s="106"/>
      <c r="AL111" s="106"/>
      <c r="AM111" s="106"/>
      <c r="AN111" s="106"/>
      <c r="AO111" s="106"/>
      <c r="AP111" s="106"/>
      <c r="AQ111" s="106"/>
      <c r="AR111" s="107"/>
    </row>
    <row r="112" spans="1:44" ht="15.75" hidden="1" customHeight="1" x14ac:dyDescent="0.25">
      <c r="A112" s="96" t="s">
        <v>120</v>
      </c>
      <c r="B112" s="97"/>
      <c r="C112" s="97"/>
      <c r="D112" s="97"/>
      <c r="E112" s="97"/>
      <c r="F112" s="97"/>
      <c r="G112" s="97"/>
      <c r="H112" s="97"/>
      <c r="I112" s="97"/>
      <c r="J112" s="97"/>
      <c r="K112" s="97"/>
      <c r="L112" s="97"/>
      <c r="M112" s="97"/>
      <c r="N112" s="97"/>
      <c r="O112" s="98"/>
      <c r="P112" s="96" t="s">
        <v>120</v>
      </c>
      <c r="Q112" s="97"/>
      <c r="R112" s="97"/>
      <c r="S112" s="97"/>
      <c r="T112" s="97"/>
      <c r="U112" s="97"/>
      <c r="V112" s="97"/>
      <c r="W112" s="97"/>
      <c r="X112" s="97"/>
      <c r="Y112" s="97"/>
      <c r="Z112" s="97"/>
      <c r="AA112" s="97"/>
      <c r="AB112" s="97"/>
      <c r="AC112" s="97"/>
      <c r="AD112" s="98"/>
      <c r="AE112" s="96" t="s">
        <v>120</v>
      </c>
      <c r="AF112" s="97"/>
      <c r="AG112" s="97"/>
      <c r="AH112" s="97"/>
      <c r="AI112" s="97"/>
      <c r="AJ112" s="97"/>
      <c r="AK112" s="97"/>
      <c r="AL112" s="97"/>
      <c r="AM112" s="97"/>
      <c r="AN112" s="97"/>
      <c r="AO112" s="97"/>
      <c r="AP112" s="97"/>
      <c r="AQ112" s="97"/>
      <c r="AR112" s="98"/>
    </row>
    <row r="113" spans="1:44" ht="15.75" hidden="1" customHeight="1" x14ac:dyDescent="0.25">
      <c r="A113" s="96" t="s">
        <v>132</v>
      </c>
      <c r="B113" s="97"/>
      <c r="C113" s="97"/>
      <c r="D113" s="97"/>
      <c r="E113" s="97"/>
      <c r="F113" s="97"/>
      <c r="G113" s="97"/>
      <c r="H113" s="97"/>
      <c r="I113" s="97"/>
      <c r="J113" s="97"/>
      <c r="K113" s="97"/>
      <c r="L113" s="97"/>
      <c r="M113" s="97"/>
      <c r="N113" s="97"/>
      <c r="O113" s="98"/>
      <c r="P113" s="96" t="s">
        <v>132</v>
      </c>
      <c r="Q113" s="97"/>
      <c r="R113" s="97"/>
      <c r="S113" s="97"/>
      <c r="T113" s="97"/>
      <c r="U113" s="97"/>
      <c r="V113" s="97"/>
      <c r="W113" s="97"/>
      <c r="X113" s="97"/>
      <c r="Y113" s="97"/>
      <c r="Z113" s="97"/>
      <c r="AA113" s="97"/>
      <c r="AB113" s="97"/>
      <c r="AC113" s="97"/>
      <c r="AD113" s="98"/>
      <c r="AE113" s="96" t="s">
        <v>132</v>
      </c>
      <c r="AF113" s="97"/>
      <c r="AG113" s="97"/>
      <c r="AH113" s="97"/>
      <c r="AI113" s="97"/>
      <c r="AJ113" s="97"/>
      <c r="AK113" s="97"/>
      <c r="AL113" s="97"/>
      <c r="AM113" s="97"/>
      <c r="AN113" s="97"/>
      <c r="AO113" s="97"/>
      <c r="AP113" s="97"/>
      <c r="AQ113" s="97"/>
      <c r="AR113" s="98"/>
    </row>
    <row r="114" spans="1:44" ht="15.75" customHeight="1" x14ac:dyDescent="0.25">
      <c r="A114" s="64"/>
      <c r="B114" s="62"/>
      <c r="C114" s="62"/>
      <c r="D114" s="62"/>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row>
    <row r="115" spans="1:44" ht="15.75" customHeight="1" x14ac:dyDescent="0.25">
      <c r="A115" s="64"/>
      <c r="B115" s="62"/>
      <c r="C115" s="62"/>
      <c r="D115" s="62"/>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row>
    <row r="116" spans="1:44" ht="15.75" customHeight="1" x14ac:dyDescent="0.25">
      <c r="A116" s="64"/>
      <c r="B116" s="62"/>
      <c r="C116" s="62"/>
      <c r="D116" s="62"/>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row>
    <row r="117" spans="1:44" ht="15.75" customHeight="1" x14ac:dyDescent="0.25">
      <c r="A117" s="64"/>
      <c r="B117" s="62"/>
      <c r="C117" s="62"/>
      <c r="D117" s="62"/>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row>
    <row r="118" spans="1:44" ht="15.75" customHeight="1" x14ac:dyDescent="0.25">
      <c r="A118" s="64"/>
      <c r="B118" s="62"/>
      <c r="C118" s="62"/>
      <c r="D118" s="62"/>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row>
    <row r="119" spans="1:44" ht="15.75" customHeight="1" x14ac:dyDescent="0.25">
      <c r="A119" s="64"/>
      <c r="B119" s="62"/>
      <c r="C119" s="62"/>
      <c r="D119" s="62"/>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row>
    <row r="120" spans="1:44" ht="15.75" customHeight="1" x14ac:dyDescent="0.25">
      <c r="A120" s="64"/>
      <c r="B120" s="62"/>
      <c r="C120" s="62"/>
      <c r="D120" s="62"/>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row>
    <row r="121" spans="1:44" ht="15.75" customHeight="1" x14ac:dyDescent="0.25">
      <c r="A121" s="64"/>
      <c r="B121" s="62"/>
      <c r="C121" s="62"/>
      <c r="D121" s="62"/>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row>
    <row r="122" spans="1:44" ht="15.75" customHeight="1" x14ac:dyDescent="0.25">
      <c r="A122" s="64"/>
      <c r="B122" s="62"/>
      <c r="C122" s="62"/>
      <c r="D122" s="62"/>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row>
    <row r="123" spans="1:44" ht="15.75" customHeight="1" x14ac:dyDescent="0.25">
      <c r="A123" s="64"/>
      <c r="B123" s="62"/>
      <c r="C123" s="62"/>
      <c r="D123" s="62"/>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row>
    <row r="124" spans="1:44" ht="15.75" customHeight="1" x14ac:dyDescent="0.25">
      <c r="A124" s="64"/>
      <c r="B124" s="62"/>
      <c r="C124" s="62"/>
      <c r="D124" s="62"/>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row>
    <row r="125" spans="1:44" ht="15.75" customHeight="1" x14ac:dyDescent="0.25">
      <c r="A125" s="64"/>
      <c r="B125" s="62"/>
      <c r="C125" s="62"/>
      <c r="D125" s="62"/>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row>
    <row r="126" spans="1:44" ht="15.75" customHeight="1" x14ac:dyDescent="0.25">
      <c r="A126" s="64"/>
      <c r="B126" s="62"/>
      <c r="C126" s="62"/>
      <c r="D126" s="62"/>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row>
    <row r="127" spans="1:44" ht="15.75" customHeight="1" x14ac:dyDescent="0.25">
      <c r="A127" s="64"/>
      <c r="B127" s="62"/>
      <c r="C127" s="62"/>
      <c r="D127" s="62"/>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row>
    <row r="128" spans="1:44" ht="15.75" customHeight="1" x14ac:dyDescent="0.25">
      <c r="A128" s="64"/>
      <c r="B128" s="62"/>
      <c r="C128" s="62"/>
      <c r="D128" s="62"/>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row>
    <row r="129" spans="1:44" ht="15.75" customHeight="1" x14ac:dyDescent="0.25">
      <c r="A129" s="64"/>
      <c r="B129" s="62"/>
      <c r="C129" s="62"/>
      <c r="D129" s="62"/>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row>
    <row r="130" spans="1:44" ht="15.75" customHeight="1" x14ac:dyDescent="0.25">
      <c r="A130" s="64"/>
      <c r="B130" s="62"/>
      <c r="C130" s="62"/>
      <c r="D130" s="62"/>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row>
    <row r="131" spans="1:44" ht="15.75" customHeight="1" x14ac:dyDescent="0.25">
      <c r="A131" s="64"/>
      <c r="B131" s="62"/>
      <c r="C131" s="62"/>
      <c r="D131" s="62"/>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row>
    <row r="132" spans="1:44" ht="15.75" customHeight="1" x14ac:dyDescent="0.25">
      <c r="A132" s="64"/>
      <c r="B132" s="62"/>
      <c r="C132" s="62"/>
      <c r="D132" s="62"/>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row>
    <row r="133" spans="1:44" ht="15.75" customHeight="1" x14ac:dyDescent="0.25">
      <c r="A133" s="64"/>
      <c r="B133" s="62"/>
      <c r="C133" s="62"/>
      <c r="D133" s="62"/>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row>
    <row r="134" spans="1:44" ht="15.75" customHeight="1" x14ac:dyDescent="0.25">
      <c r="A134" s="64"/>
      <c r="B134" s="62"/>
      <c r="C134" s="62"/>
      <c r="D134" s="62"/>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row>
    <row r="135" spans="1:44" ht="15.75" customHeight="1" x14ac:dyDescent="0.25">
      <c r="A135" s="64"/>
      <c r="B135" s="62"/>
      <c r="C135" s="62"/>
      <c r="D135" s="62"/>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row>
    <row r="136" spans="1:44" ht="15.75" customHeight="1" x14ac:dyDescent="0.25">
      <c r="A136" s="64"/>
      <c r="B136" s="62"/>
      <c r="C136" s="62"/>
      <c r="D136" s="62"/>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row>
    <row r="137" spans="1:44" ht="15.75" customHeight="1" x14ac:dyDescent="0.25">
      <c r="A137" s="64"/>
      <c r="B137" s="62"/>
      <c r="C137" s="62"/>
      <c r="D137" s="62"/>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row>
    <row r="138" spans="1:44" ht="15.75" customHeight="1" x14ac:dyDescent="0.25">
      <c r="A138" s="64"/>
      <c r="B138" s="62"/>
      <c r="C138" s="62"/>
      <c r="D138" s="62"/>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row>
    <row r="139" spans="1:44" ht="15.75" customHeight="1" x14ac:dyDescent="0.25">
      <c r="A139" s="64"/>
      <c r="B139" s="62"/>
      <c r="C139" s="62"/>
      <c r="D139" s="62"/>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row>
    <row r="140" spans="1:44" ht="15.75" customHeight="1" x14ac:dyDescent="0.25">
      <c r="A140" s="64"/>
      <c r="B140" s="62"/>
      <c r="C140" s="62"/>
      <c r="D140" s="62"/>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row>
    <row r="141" spans="1:44" ht="15.75" customHeight="1" x14ac:dyDescent="0.25">
      <c r="A141" s="64"/>
      <c r="B141" s="62"/>
      <c r="C141" s="62"/>
      <c r="D141" s="62"/>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row>
    <row r="142" spans="1:44" ht="15.75" customHeight="1" x14ac:dyDescent="0.25">
      <c r="A142" s="64"/>
      <c r="B142" s="62"/>
      <c r="C142" s="62"/>
      <c r="D142" s="62"/>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row>
    <row r="143" spans="1:44" ht="15.75" customHeight="1" x14ac:dyDescent="0.25">
      <c r="A143" s="64"/>
      <c r="B143" s="62"/>
      <c r="C143" s="62"/>
      <c r="D143" s="62"/>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row>
    <row r="144" spans="1:44" ht="15.75" customHeight="1" x14ac:dyDescent="0.25">
      <c r="A144" s="64"/>
      <c r="B144" s="62"/>
      <c r="C144" s="62"/>
      <c r="D144" s="62"/>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row>
    <row r="145" spans="1:44" ht="15.75" customHeight="1" x14ac:dyDescent="0.25">
      <c r="A145" s="64"/>
      <c r="B145" s="62"/>
      <c r="C145" s="62"/>
      <c r="D145" s="62"/>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row>
    <row r="146" spans="1:44" ht="15.75" customHeight="1" x14ac:dyDescent="0.25">
      <c r="A146" s="64"/>
      <c r="B146" s="62"/>
      <c r="C146" s="62"/>
      <c r="D146" s="62"/>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row>
    <row r="147" spans="1:44" ht="15.75" customHeight="1" x14ac:dyDescent="0.25">
      <c r="A147" s="64"/>
      <c r="B147" s="62"/>
      <c r="C147" s="62"/>
      <c r="D147" s="62"/>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row>
    <row r="148" spans="1:44" ht="15.75" customHeight="1" x14ac:dyDescent="0.25">
      <c r="A148" s="64"/>
      <c r="B148" s="62"/>
      <c r="C148" s="62"/>
      <c r="D148" s="62"/>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row>
    <row r="149" spans="1:44" ht="15.75" customHeight="1" x14ac:dyDescent="0.25">
      <c r="A149" s="64"/>
      <c r="B149" s="62"/>
      <c r="C149" s="62"/>
      <c r="D149" s="62"/>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row>
    <row r="150" spans="1:44" ht="15.75" customHeight="1" x14ac:dyDescent="0.25">
      <c r="A150" s="64"/>
      <c r="B150" s="62"/>
      <c r="C150" s="62"/>
      <c r="D150" s="62"/>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row>
    <row r="151" spans="1:44" ht="15.75" customHeight="1" x14ac:dyDescent="0.25">
      <c r="A151" s="64"/>
      <c r="B151" s="62"/>
      <c r="C151" s="62"/>
      <c r="D151" s="62"/>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row>
    <row r="152" spans="1:44" ht="15.75" customHeight="1" x14ac:dyDescent="0.25">
      <c r="A152" s="64"/>
      <c r="B152" s="62"/>
      <c r="C152" s="62"/>
      <c r="D152" s="62"/>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row>
    <row r="153" spans="1:44" ht="15.75" customHeight="1" x14ac:dyDescent="0.25">
      <c r="A153" s="64"/>
      <c r="B153" s="62"/>
      <c r="C153" s="62"/>
      <c r="D153" s="62"/>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row>
    <row r="154" spans="1:44" ht="15.75" customHeight="1" x14ac:dyDescent="0.25">
      <c r="A154" s="64"/>
      <c r="B154" s="62"/>
      <c r="C154" s="62"/>
      <c r="D154" s="62"/>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row>
    <row r="155" spans="1:44" ht="15.75" customHeight="1" x14ac:dyDescent="0.25">
      <c r="A155" s="64"/>
      <c r="B155" s="62"/>
      <c r="C155" s="62"/>
      <c r="D155" s="62"/>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row>
    <row r="156" spans="1:44" ht="15.75" customHeight="1" x14ac:dyDescent="0.25">
      <c r="A156" s="64"/>
      <c r="B156" s="62"/>
      <c r="C156" s="62"/>
      <c r="D156" s="62"/>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row>
    <row r="157" spans="1:44" ht="15.75" customHeight="1" x14ac:dyDescent="0.25">
      <c r="A157" s="64"/>
      <c r="B157" s="62"/>
      <c r="C157" s="62"/>
      <c r="D157" s="62"/>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row>
    <row r="158" spans="1:44" ht="15.75" customHeight="1" x14ac:dyDescent="0.25">
      <c r="A158" s="64"/>
      <c r="B158" s="62"/>
      <c r="C158" s="62"/>
      <c r="D158" s="62"/>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row>
    <row r="159" spans="1:44" ht="15.75" customHeight="1" x14ac:dyDescent="0.25">
      <c r="A159" s="64"/>
      <c r="B159" s="62"/>
      <c r="C159" s="62"/>
      <c r="D159" s="62"/>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row>
    <row r="160" spans="1:44" ht="15.75" customHeight="1" x14ac:dyDescent="0.25">
      <c r="A160" s="64"/>
      <c r="B160" s="62"/>
      <c r="C160" s="62"/>
      <c r="D160" s="62"/>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row>
    <row r="161" spans="1:44" ht="15.75" customHeight="1" x14ac:dyDescent="0.25">
      <c r="A161" s="64"/>
      <c r="B161" s="62"/>
      <c r="C161" s="62"/>
      <c r="D161" s="62"/>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row>
    <row r="162" spans="1:44" ht="15.75" customHeight="1" x14ac:dyDescent="0.25">
      <c r="A162" s="64"/>
      <c r="B162" s="62"/>
      <c r="C162" s="62"/>
      <c r="D162" s="62"/>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row>
    <row r="163" spans="1:44" ht="15.75" customHeight="1" x14ac:dyDescent="0.25">
      <c r="A163" s="64"/>
      <c r="B163" s="62"/>
      <c r="C163" s="62"/>
      <c r="D163" s="62"/>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row>
    <row r="164" spans="1:44" ht="15.75" customHeight="1" x14ac:dyDescent="0.25">
      <c r="A164" s="64"/>
      <c r="B164" s="62"/>
      <c r="C164" s="62"/>
      <c r="D164" s="62"/>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row>
    <row r="165" spans="1:44" ht="15.75" customHeight="1" x14ac:dyDescent="0.25">
      <c r="A165" s="64"/>
      <c r="B165" s="62"/>
      <c r="C165" s="62"/>
      <c r="D165" s="62"/>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row>
    <row r="166" spans="1:44" ht="15.75" customHeight="1" x14ac:dyDescent="0.25">
      <c r="A166" s="64"/>
      <c r="B166" s="62"/>
      <c r="C166" s="62"/>
      <c r="D166" s="62"/>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row>
    <row r="167" spans="1:44" ht="15.75" customHeight="1" x14ac:dyDescent="0.25">
      <c r="A167" s="64"/>
      <c r="B167" s="62"/>
      <c r="C167" s="62"/>
      <c r="D167" s="62"/>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row>
    <row r="168" spans="1:44" ht="15.75" customHeight="1" x14ac:dyDescent="0.25">
      <c r="A168" s="64"/>
      <c r="B168" s="62"/>
      <c r="C168" s="62"/>
      <c r="D168" s="62"/>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row>
    <row r="169" spans="1:44" ht="15.75" customHeight="1" x14ac:dyDescent="0.25">
      <c r="A169" s="64"/>
      <c r="B169" s="62"/>
      <c r="C169" s="62"/>
      <c r="D169" s="62"/>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row>
    <row r="170" spans="1:44" ht="15.75" customHeight="1" x14ac:dyDescent="0.25">
      <c r="A170" s="64"/>
      <c r="B170" s="62"/>
      <c r="C170" s="62"/>
      <c r="D170" s="62"/>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row>
    <row r="171" spans="1:44" ht="15.75" customHeight="1" x14ac:dyDescent="0.25">
      <c r="A171" s="64"/>
      <c r="B171" s="62"/>
      <c r="C171" s="62"/>
      <c r="D171" s="62"/>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row>
    <row r="172" spans="1:44" ht="15.75" customHeight="1" x14ac:dyDescent="0.25">
      <c r="A172" s="64"/>
      <c r="B172" s="62"/>
      <c r="C172" s="62"/>
      <c r="D172" s="62"/>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row>
    <row r="173" spans="1:44" ht="15.75" customHeight="1" x14ac:dyDescent="0.25">
      <c r="A173" s="64"/>
      <c r="B173" s="62"/>
      <c r="C173" s="62"/>
      <c r="D173" s="62"/>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row>
    <row r="174" spans="1:44" ht="15.75" customHeight="1" x14ac:dyDescent="0.25">
      <c r="A174" s="64"/>
      <c r="B174" s="62"/>
      <c r="C174" s="62"/>
      <c r="D174" s="62"/>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row>
    <row r="175" spans="1:44" ht="15.75" customHeight="1" x14ac:dyDescent="0.25">
      <c r="A175" s="64"/>
      <c r="B175" s="62"/>
      <c r="C175" s="62"/>
      <c r="D175" s="62"/>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row>
    <row r="176" spans="1:44" ht="15.75" customHeight="1" x14ac:dyDescent="0.25">
      <c r="A176" s="64"/>
      <c r="B176" s="62"/>
      <c r="C176" s="62"/>
      <c r="D176" s="62"/>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row>
    <row r="177" spans="1:44" ht="15.75" customHeight="1" x14ac:dyDescent="0.25">
      <c r="A177" s="64"/>
      <c r="B177" s="62"/>
      <c r="C177" s="62"/>
      <c r="D177" s="62"/>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row>
    <row r="178" spans="1:44" ht="15.75" customHeight="1" x14ac:dyDescent="0.25">
      <c r="A178" s="64"/>
      <c r="B178" s="62"/>
      <c r="C178" s="62"/>
      <c r="D178" s="62"/>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row>
    <row r="179" spans="1:44" ht="15.75" customHeight="1" x14ac:dyDescent="0.25">
      <c r="A179" s="64"/>
      <c r="B179" s="62"/>
      <c r="C179" s="62"/>
      <c r="D179" s="62"/>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row>
    <row r="180" spans="1:44" ht="15.75" customHeight="1" x14ac:dyDescent="0.25">
      <c r="A180" s="64"/>
      <c r="B180" s="62"/>
      <c r="C180" s="62"/>
      <c r="D180" s="62"/>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row>
    <row r="181" spans="1:44" ht="15.75" customHeight="1" x14ac:dyDescent="0.25">
      <c r="A181" s="64"/>
      <c r="B181" s="62"/>
      <c r="C181" s="62"/>
      <c r="D181" s="62"/>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row>
    <row r="182" spans="1:44" ht="15.75" customHeight="1" x14ac:dyDescent="0.25">
      <c r="A182" s="64"/>
      <c r="B182" s="62"/>
      <c r="C182" s="62"/>
      <c r="D182" s="62"/>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row>
    <row r="183" spans="1:44" ht="15.75" customHeight="1" x14ac:dyDescent="0.25">
      <c r="A183" s="64"/>
      <c r="B183" s="62"/>
      <c r="C183" s="62"/>
      <c r="D183" s="62"/>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row>
    <row r="184" spans="1:44" ht="15.75" customHeight="1" x14ac:dyDescent="0.25">
      <c r="A184" s="64"/>
      <c r="B184" s="62"/>
      <c r="C184" s="62"/>
      <c r="D184" s="62"/>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row>
    <row r="185" spans="1:44" ht="15.75" customHeight="1" x14ac:dyDescent="0.25">
      <c r="A185" s="64"/>
      <c r="B185" s="62"/>
      <c r="C185" s="62"/>
      <c r="D185" s="62"/>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row>
    <row r="186" spans="1:44" ht="15.75" customHeight="1" x14ac:dyDescent="0.25">
      <c r="A186" s="64"/>
      <c r="B186" s="62"/>
      <c r="C186" s="62"/>
      <c r="D186" s="62"/>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row>
    <row r="187" spans="1:44" ht="15.75" customHeight="1" x14ac:dyDescent="0.25">
      <c r="A187" s="64"/>
      <c r="B187" s="62"/>
      <c r="C187" s="62"/>
      <c r="D187" s="62"/>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row>
    <row r="188" spans="1:44" ht="15.75" customHeight="1" x14ac:dyDescent="0.25">
      <c r="A188" s="64"/>
      <c r="B188" s="62"/>
      <c r="C188" s="62"/>
      <c r="D188" s="62"/>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row>
    <row r="189" spans="1:44" ht="15.75" customHeight="1" x14ac:dyDescent="0.25">
      <c r="A189" s="64"/>
      <c r="B189" s="62"/>
      <c r="C189" s="62"/>
      <c r="D189" s="62"/>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row>
    <row r="190" spans="1:44" ht="15.75" customHeight="1" x14ac:dyDescent="0.25">
      <c r="A190" s="64"/>
      <c r="B190" s="62"/>
      <c r="C190" s="62"/>
      <c r="D190" s="62"/>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row>
    <row r="191" spans="1:44" ht="15.75" customHeight="1" x14ac:dyDescent="0.25">
      <c r="A191" s="64"/>
      <c r="B191" s="62"/>
      <c r="C191" s="62"/>
      <c r="D191" s="62"/>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row>
    <row r="192" spans="1:44" ht="15.75" customHeight="1" x14ac:dyDescent="0.25">
      <c r="A192" s="64"/>
      <c r="B192" s="62"/>
      <c r="C192" s="62"/>
      <c r="D192" s="62"/>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row>
    <row r="193" spans="1:44" ht="15.75" customHeight="1" x14ac:dyDescent="0.25">
      <c r="A193" s="64"/>
      <c r="B193" s="62"/>
      <c r="C193" s="62"/>
      <c r="D193" s="62"/>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row>
    <row r="194" spans="1:44" ht="15.75" customHeight="1" x14ac:dyDescent="0.25">
      <c r="A194" s="64"/>
      <c r="B194" s="62"/>
      <c r="C194" s="62"/>
      <c r="D194" s="62"/>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row>
    <row r="195" spans="1:44" ht="15.75" customHeight="1" x14ac:dyDescent="0.25">
      <c r="A195" s="64"/>
      <c r="B195" s="62"/>
      <c r="C195" s="62"/>
      <c r="D195" s="62"/>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row>
    <row r="196" spans="1:44" ht="15.75" customHeight="1" x14ac:dyDescent="0.25">
      <c r="A196" s="64"/>
      <c r="B196" s="62"/>
      <c r="C196" s="62"/>
      <c r="D196" s="62"/>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row>
    <row r="197" spans="1:44" ht="15.75" customHeight="1" x14ac:dyDescent="0.25">
      <c r="A197" s="64"/>
      <c r="B197" s="62"/>
      <c r="C197" s="62"/>
      <c r="D197" s="62"/>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row>
    <row r="198" spans="1:44" ht="15.75" customHeight="1" x14ac:dyDescent="0.25">
      <c r="A198" s="64"/>
      <c r="B198" s="62"/>
      <c r="C198" s="62"/>
      <c r="D198" s="62"/>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row>
    <row r="199" spans="1:44" ht="15.75" customHeight="1" x14ac:dyDescent="0.25">
      <c r="A199" s="64"/>
      <c r="B199" s="62"/>
      <c r="C199" s="62"/>
      <c r="D199" s="62"/>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row>
    <row r="200" spans="1:44" ht="15.75" customHeight="1" x14ac:dyDescent="0.25">
      <c r="A200" s="64"/>
      <c r="B200" s="62"/>
      <c r="C200" s="62"/>
      <c r="D200" s="62"/>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row>
    <row r="201" spans="1:44" ht="15.75" customHeight="1" x14ac:dyDescent="0.25">
      <c r="A201" s="64"/>
      <c r="B201" s="62"/>
      <c r="C201" s="62"/>
      <c r="D201" s="62"/>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row>
    <row r="202" spans="1:44" ht="15.75" customHeight="1" x14ac:dyDescent="0.25">
      <c r="A202" s="64"/>
      <c r="B202" s="62"/>
      <c r="C202" s="62"/>
      <c r="D202" s="62"/>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row>
    <row r="203" spans="1:44" ht="15.75" customHeight="1" x14ac:dyDescent="0.25">
      <c r="A203" s="64"/>
      <c r="B203" s="62"/>
      <c r="C203" s="62"/>
      <c r="D203" s="62"/>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row>
    <row r="204" spans="1:44" ht="15.75" customHeight="1" x14ac:dyDescent="0.25">
      <c r="A204" s="64"/>
      <c r="B204" s="62"/>
      <c r="C204" s="62"/>
      <c r="D204" s="62"/>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row>
    <row r="205" spans="1:44" ht="15.75" customHeight="1" x14ac:dyDescent="0.25">
      <c r="A205" s="64"/>
      <c r="B205" s="62"/>
      <c r="C205" s="62"/>
      <c r="D205" s="62"/>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row>
    <row r="206" spans="1:44" ht="15.75" customHeight="1" x14ac:dyDescent="0.25">
      <c r="A206" s="64"/>
      <c r="B206" s="62"/>
      <c r="C206" s="62"/>
      <c r="D206" s="62"/>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row>
    <row r="207" spans="1:44" ht="15.75" customHeight="1" x14ac:dyDescent="0.25">
      <c r="A207" s="64"/>
      <c r="B207" s="62"/>
      <c r="C207" s="62"/>
      <c r="D207" s="62"/>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row>
    <row r="208" spans="1:44" ht="15.75" customHeight="1" x14ac:dyDescent="0.25">
      <c r="A208" s="64"/>
      <c r="B208" s="62"/>
      <c r="C208" s="62"/>
      <c r="D208" s="62"/>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row>
    <row r="209" spans="1:44" ht="15.75" customHeight="1" x14ac:dyDescent="0.25">
      <c r="A209" s="64"/>
      <c r="B209" s="62"/>
      <c r="C209" s="62"/>
      <c r="D209" s="62"/>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row>
    <row r="210" spans="1:44" ht="15.75" customHeight="1" x14ac:dyDescent="0.25">
      <c r="A210" s="64"/>
      <c r="B210" s="62"/>
      <c r="C210" s="62"/>
      <c r="D210" s="62"/>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row>
    <row r="211" spans="1:44" ht="15.75" customHeight="1" x14ac:dyDescent="0.25">
      <c r="A211" s="64"/>
      <c r="B211" s="62"/>
      <c r="C211" s="62"/>
      <c r="D211" s="62"/>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row>
    <row r="212" spans="1:44" ht="15.75" customHeight="1" x14ac:dyDescent="0.25">
      <c r="A212" s="64"/>
      <c r="B212" s="62"/>
      <c r="C212" s="62"/>
      <c r="D212" s="62"/>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row>
    <row r="213" spans="1:44" ht="15.75" customHeight="1" x14ac:dyDescent="0.25">
      <c r="A213" s="64"/>
      <c r="B213" s="62"/>
      <c r="C213" s="62"/>
      <c r="D213" s="62"/>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row>
    <row r="214" spans="1:44" ht="15.75" customHeight="1" x14ac:dyDescent="0.25">
      <c r="A214" s="64"/>
      <c r="B214" s="62"/>
      <c r="C214" s="62"/>
      <c r="D214" s="62"/>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row>
    <row r="215" spans="1:44" ht="15.75" customHeight="1" x14ac:dyDescent="0.25">
      <c r="A215" s="64"/>
      <c r="B215" s="62"/>
      <c r="C215" s="62"/>
      <c r="D215" s="62"/>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row>
    <row r="216" spans="1:44" ht="15.75" customHeight="1" x14ac:dyDescent="0.25">
      <c r="A216" s="64"/>
      <c r="B216" s="62"/>
      <c r="C216" s="62"/>
      <c r="D216" s="62"/>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row>
    <row r="217" spans="1:44" ht="15.75" customHeight="1" x14ac:dyDescent="0.25">
      <c r="A217" s="64"/>
      <c r="B217" s="62"/>
      <c r="C217" s="62"/>
      <c r="D217" s="62"/>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row>
    <row r="218" spans="1:44" ht="15.75" customHeight="1" x14ac:dyDescent="0.25">
      <c r="A218" s="64"/>
      <c r="B218" s="62"/>
      <c r="C218" s="62"/>
      <c r="D218" s="62"/>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row>
    <row r="219" spans="1:44" ht="15.75" customHeight="1" x14ac:dyDescent="0.25">
      <c r="A219" s="64"/>
      <c r="B219" s="62"/>
      <c r="C219" s="62"/>
      <c r="D219" s="62"/>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row>
    <row r="220" spans="1:44" ht="15.75" customHeight="1" x14ac:dyDescent="0.25">
      <c r="A220" s="64"/>
      <c r="B220" s="62"/>
      <c r="C220" s="62"/>
      <c r="D220" s="62"/>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row>
    <row r="221" spans="1:44" ht="15.75" customHeight="1" x14ac:dyDescent="0.25">
      <c r="A221" s="64"/>
      <c r="B221" s="62"/>
      <c r="C221" s="62"/>
      <c r="D221" s="62"/>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row>
    <row r="222" spans="1:44" ht="15.75" customHeight="1" x14ac:dyDescent="0.25">
      <c r="A222" s="64"/>
      <c r="B222" s="62"/>
      <c r="C222" s="62"/>
      <c r="D222" s="62"/>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row>
    <row r="223" spans="1:44" ht="15.75" customHeight="1" x14ac:dyDescent="0.25">
      <c r="A223" s="64"/>
      <c r="B223" s="62"/>
      <c r="C223" s="62"/>
      <c r="D223" s="62"/>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row>
    <row r="224" spans="1:44" ht="15.75" customHeight="1" x14ac:dyDescent="0.25">
      <c r="A224" s="64"/>
      <c r="B224" s="62"/>
      <c r="C224" s="62"/>
      <c r="D224" s="62"/>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row>
    <row r="225" spans="1:44" ht="15.75" customHeight="1" x14ac:dyDescent="0.25">
      <c r="A225" s="64"/>
      <c r="B225" s="62"/>
      <c r="C225" s="62"/>
      <c r="D225" s="62"/>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row>
    <row r="226" spans="1:44" ht="15.75" customHeight="1" x14ac:dyDescent="0.25">
      <c r="A226" s="64"/>
      <c r="B226" s="62"/>
      <c r="C226" s="62"/>
      <c r="D226" s="62"/>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row>
    <row r="227" spans="1:44" ht="15.75" customHeight="1" x14ac:dyDescent="0.25">
      <c r="A227" s="64"/>
      <c r="B227" s="62"/>
      <c r="C227" s="62"/>
      <c r="D227" s="62"/>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row>
    <row r="228" spans="1:44" ht="15.75" customHeight="1" x14ac:dyDescent="0.25">
      <c r="A228" s="64"/>
      <c r="B228" s="62"/>
      <c r="C228" s="62"/>
      <c r="D228" s="62"/>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row>
    <row r="229" spans="1:44" ht="15.75" customHeight="1" x14ac:dyDescent="0.25">
      <c r="A229" s="64"/>
      <c r="B229" s="62"/>
      <c r="C229" s="62"/>
      <c r="D229" s="62"/>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row>
    <row r="230" spans="1:44" ht="15.75" customHeight="1" x14ac:dyDescent="0.25">
      <c r="A230" s="64"/>
      <c r="B230" s="62"/>
      <c r="C230" s="62"/>
      <c r="D230" s="62"/>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row>
    <row r="231" spans="1:44" ht="15.75" customHeight="1" x14ac:dyDescent="0.25">
      <c r="A231" s="64"/>
      <c r="B231" s="62"/>
      <c r="C231" s="62"/>
      <c r="D231" s="62"/>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row>
    <row r="232" spans="1:44" ht="15.75" customHeight="1" x14ac:dyDescent="0.25">
      <c r="A232" s="64"/>
      <c r="B232" s="62"/>
      <c r="C232" s="62"/>
      <c r="D232" s="62"/>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row>
    <row r="233" spans="1:44" ht="15.75" customHeight="1" x14ac:dyDescent="0.25">
      <c r="A233" s="64"/>
      <c r="B233" s="62"/>
      <c r="C233" s="62"/>
      <c r="D233" s="62"/>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row>
    <row r="234" spans="1:44" ht="15.75" customHeight="1" x14ac:dyDescent="0.25">
      <c r="A234" s="64"/>
      <c r="B234" s="62"/>
      <c r="C234" s="62"/>
      <c r="D234" s="62"/>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row>
    <row r="235" spans="1:44" ht="15.75" customHeight="1" x14ac:dyDescent="0.25">
      <c r="A235" s="64"/>
      <c r="B235" s="62"/>
      <c r="C235" s="62"/>
      <c r="D235" s="62"/>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row>
    <row r="236" spans="1:44" ht="15.75" customHeight="1" x14ac:dyDescent="0.25">
      <c r="A236" s="64"/>
      <c r="B236" s="62"/>
      <c r="C236" s="62"/>
      <c r="D236" s="62"/>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row>
    <row r="237" spans="1:44" ht="15.75" customHeight="1" x14ac:dyDescent="0.25">
      <c r="A237" s="64"/>
      <c r="B237" s="62"/>
      <c r="C237" s="62"/>
      <c r="D237" s="62"/>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row>
    <row r="238" spans="1:44" ht="15.75" customHeight="1" x14ac:dyDescent="0.25">
      <c r="A238" s="64"/>
      <c r="B238" s="62"/>
      <c r="C238" s="62"/>
      <c r="D238" s="62"/>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row>
    <row r="239" spans="1:44" ht="15.75" customHeight="1" x14ac:dyDescent="0.25">
      <c r="A239" s="64"/>
      <c r="B239" s="62"/>
      <c r="C239" s="62"/>
      <c r="D239" s="62"/>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row>
    <row r="240" spans="1:44" ht="15.75" customHeight="1" x14ac:dyDescent="0.25">
      <c r="A240" s="64"/>
      <c r="B240" s="62"/>
      <c r="C240" s="62"/>
      <c r="D240" s="62"/>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row>
    <row r="241" spans="1:44" ht="15.75" customHeight="1" x14ac:dyDescent="0.25">
      <c r="A241" s="64"/>
      <c r="B241" s="62"/>
      <c r="C241" s="62"/>
      <c r="D241" s="62"/>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row>
    <row r="242" spans="1:44" ht="15.75" customHeight="1" x14ac:dyDescent="0.25">
      <c r="A242" s="64"/>
      <c r="B242" s="62"/>
      <c r="C242" s="62"/>
      <c r="D242" s="62"/>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row>
    <row r="243" spans="1:44" ht="15.75" customHeight="1" x14ac:dyDescent="0.25">
      <c r="A243" s="64"/>
      <c r="B243" s="62"/>
      <c r="C243" s="62"/>
      <c r="D243" s="62"/>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row>
    <row r="244" spans="1:44" ht="15.75" customHeight="1" x14ac:dyDescent="0.25">
      <c r="A244" s="64"/>
      <c r="B244" s="62"/>
      <c r="C244" s="62"/>
      <c r="D244" s="62"/>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row>
    <row r="245" spans="1:44" ht="15.75" customHeight="1" x14ac:dyDescent="0.25">
      <c r="A245" s="64"/>
      <c r="B245" s="62"/>
      <c r="C245" s="62"/>
      <c r="D245" s="62"/>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row>
    <row r="246" spans="1:44" ht="15.75" customHeight="1" x14ac:dyDescent="0.25">
      <c r="A246" s="64"/>
      <c r="B246" s="62"/>
      <c r="C246" s="62"/>
      <c r="D246" s="62"/>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row>
    <row r="247" spans="1:44" ht="15.75" customHeight="1" x14ac:dyDescent="0.25">
      <c r="A247" s="64"/>
      <c r="B247" s="62"/>
      <c r="C247" s="62"/>
      <c r="D247" s="62"/>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row>
    <row r="248" spans="1:44" ht="15.75" customHeight="1" x14ac:dyDescent="0.25">
      <c r="A248" s="64"/>
      <c r="B248" s="62"/>
      <c r="C248" s="62"/>
      <c r="D248" s="62"/>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row>
    <row r="249" spans="1:44" ht="15.75" customHeight="1" x14ac:dyDescent="0.25">
      <c r="A249" s="64"/>
      <c r="B249" s="62"/>
      <c r="C249" s="62"/>
      <c r="D249" s="62"/>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row>
    <row r="250" spans="1:44" ht="15.75" customHeight="1" x14ac:dyDescent="0.25">
      <c r="A250" s="64"/>
      <c r="B250" s="62"/>
      <c r="C250" s="62"/>
      <c r="D250" s="62"/>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row>
    <row r="251" spans="1:44" ht="15.75" customHeight="1" x14ac:dyDescent="0.25">
      <c r="A251" s="64"/>
      <c r="B251" s="62"/>
      <c r="C251" s="62"/>
      <c r="D251" s="62"/>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row>
    <row r="252" spans="1:44" ht="15.75" customHeight="1" x14ac:dyDescent="0.25">
      <c r="A252" s="64"/>
      <c r="B252" s="62"/>
      <c r="C252" s="62"/>
      <c r="D252" s="62"/>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row>
    <row r="253" spans="1:44" ht="15.75" customHeight="1" x14ac:dyDescent="0.25">
      <c r="A253" s="64"/>
      <c r="B253" s="62"/>
      <c r="C253" s="62"/>
      <c r="D253" s="62"/>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row>
    <row r="254" spans="1:44" ht="15.75" customHeight="1" x14ac:dyDescent="0.25">
      <c r="A254" s="64"/>
      <c r="B254" s="62"/>
      <c r="C254" s="62"/>
      <c r="D254" s="62"/>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row>
    <row r="255" spans="1:44" ht="15.75" customHeight="1" x14ac:dyDescent="0.25">
      <c r="A255" s="64"/>
      <c r="B255" s="62"/>
      <c r="C255" s="62"/>
      <c r="D255" s="62"/>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row>
    <row r="256" spans="1:44" ht="15.75" customHeight="1" x14ac:dyDescent="0.25">
      <c r="A256" s="64"/>
      <c r="B256" s="62"/>
      <c r="C256" s="62"/>
      <c r="D256" s="62"/>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row>
    <row r="257" spans="1:44" ht="15.75" customHeight="1" x14ac:dyDescent="0.25">
      <c r="A257" s="64"/>
      <c r="B257" s="62"/>
      <c r="C257" s="62"/>
      <c r="D257" s="62"/>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row>
    <row r="258" spans="1:44" ht="15.75" customHeight="1" x14ac:dyDescent="0.25">
      <c r="A258" s="64"/>
      <c r="B258" s="62"/>
      <c r="C258" s="62"/>
      <c r="D258" s="62"/>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row>
    <row r="259" spans="1:44" ht="15.75" customHeight="1" x14ac:dyDescent="0.25">
      <c r="A259" s="64"/>
      <c r="B259" s="62"/>
      <c r="C259" s="62"/>
      <c r="D259" s="62"/>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row>
    <row r="260" spans="1:44" ht="15.75" customHeight="1" x14ac:dyDescent="0.25">
      <c r="A260" s="64"/>
      <c r="B260" s="62"/>
      <c r="C260" s="62"/>
      <c r="D260" s="62"/>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row>
    <row r="261" spans="1:44" ht="15.75" customHeight="1" x14ac:dyDescent="0.25">
      <c r="A261" s="64"/>
      <c r="B261" s="62"/>
      <c r="C261" s="62"/>
      <c r="D261" s="62"/>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row>
    <row r="262" spans="1:44" ht="15.75" customHeight="1" x14ac:dyDescent="0.25">
      <c r="A262" s="64"/>
      <c r="B262" s="62"/>
      <c r="C262" s="62"/>
      <c r="D262" s="62"/>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row>
    <row r="263" spans="1:44" ht="15.75" customHeight="1" x14ac:dyDescent="0.25">
      <c r="A263" s="64"/>
      <c r="B263" s="62"/>
      <c r="C263" s="62"/>
      <c r="D263" s="62"/>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row>
    <row r="264" spans="1:44" ht="15.75" customHeight="1" x14ac:dyDescent="0.25">
      <c r="A264" s="64"/>
      <c r="B264" s="62"/>
      <c r="C264" s="62"/>
      <c r="D264" s="62"/>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row>
    <row r="265" spans="1:44" ht="15.75" customHeight="1" x14ac:dyDescent="0.25">
      <c r="A265" s="64"/>
      <c r="B265" s="62"/>
      <c r="C265" s="62"/>
      <c r="D265" s="62"/>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row>
    <row r="266" spans="1:44" ht="15.75" customHeight="1" x14ac:dyDescent="0.25">
      <c r="A266" s="64"/>
      <c r="B266" s="62"/>
      <c r="C266" s="62"/>
      <c r="D266" s="62"/>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row>
    <row r="267" spans="1:44" ht="15.75" customHeight="1" x14ac:dyDescent="0.25">
      <c r="A267" s="64"/>
      <c r="B267" s="62"/>
      <c r="C267" s="62"/>
      <c r="D267" s="62"/>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row>
    <row r="268" spans="1:44" ht="15.75" customHeight="1" x14ac:dyDescent="0.25">
      <c r="A268" s="64"/>
      <c r="B268" s="62"/>
      <c r="C268" s="62"/>
      <c r="D268" s="62"/>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row>
    <row r="269" spans="1:44" ht="15.75" customHeight="1" x14ac:dyDescent="0.25">
      <c r="A269" s="64"/>
      <c r="B269" s="62"/>
      <c r="C269" s="62"/>
      <c r="D269" s="62"/>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row>
    <row r="270" spans="1:44" ht="15.75" customHeight="1" x14ac:dyDescent="0.25">
      <c r="A270" s="64"/>
      <c r="B270" s="62"/>
      <c r="C270" s="62"/>
      <c r="D270" s="62"/>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row>
    <row r="271" spans="1:44" ht="15.75" customHeight="1" x14ac:dyDescent="0.25">
      <c r="A271" s="64"/>
      <c r="B271" s="62"/>
      <c r="C271" s="62"/>
      <c r="D271" s="62"/>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row>
    <row r="272" spans="1:44" ht="15.75" customHeight="1" x14ac:dyDescent="0.25">
      <c r="A272" s="64"/>
      <c r="B272" s="62"/>
      <c r="C272" s="62"/>
      <c r="D272" s="62"/>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row>
    <row r="273" spans="1:44" ht="15.75" customHeight="1" x14ac:dyDescent="0.25">
      <c r="A273" s="64"/>
      <c r="B273" s="62"/>
      <c r="C273" s="62"/>
      <c r="D273" s="62"/>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row>
    <row r="274" spans="1:44" ht="15.75" customHeight="1" x14ac:dyDescent="0.25">
      <c r="A274" s="64"/>
      <c r="B274" s="62"/>
      <c r="C274" s="62"/>
      <c r="D274" s="62"/>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row>
    <row r="275" spans="1:44" ht="15.75" customHeight="1" x14ac:dyDescent="0.25">
      <c r="A275" s="64"/>
      <c r="B275" s="62"/>
      <c r="C275" s="62"/>
      <c r="D275" s="62"/>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row>
    <row r="276" spans="1:44" ht="15.75" customHeight="1" x14ac:dyDescent="0.25">
      <c r="A276" s="64"/>
      <c r="B276" s="62"/>
      <c r="C276" s="62"/>
      <c r="D276" s="62"/>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row>
    <row r="277" spans="1:44" ht="15.75" customHeight="1" x14ac:dyDescent="0.25">
      <c r="A277" s="64"/>
      <c r="B277" s="62"/>
      <c r="C277" s="62"/>
      <c r="D277" s="62"/>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row>
    <row r="278" spans="1:44" ht="15.75" customHeight="1" x14ac:dyDescent="0.25">
      <c r="A278" s="64"/>
      <c r="B278" s="62"/>
      <c r="C278" s="62"/>
      <c r="D278" s="62"/>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row>
    <row r="279" spans="1:44" ht="15.75" customHeight="1" x14ac:dyDescent="0.25">
      <c r="A279" s="64"/>
      <c r="B279" s="62"/>
      <c r="C279" s="62"/>
      <c r="D279" s="62"/>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row>
    <row r="280" spans="1:44" ht="15.75" customHeight="1" x14ac:dyDescent="0.25">
      <c r="A280" s="64"/>
      <c r="B280" s="62"/>
      <c r="C280" s="62"/>
      <c r="D280" s="62"/>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row>
    <row r="281" spans="1:44" ht="15.75" customHeight="1" x14ac:dyDescent="0.25">
      <c r="A281" s="64"/>
      <c r="B281" s="62"/>
      <c r="C281" s="62"/>
      <c r="D281" s="62"/>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row>
    <row r="282" spans="1:44" ht="15.75" customHeight="1" x14ac:dyDescent="0.25">
      <c r="A282" s="64"/>
      <c r="B282" s="62"/>
      <c r="C282" s="62"/>
      <c r="D282" s="62"/>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row>
    <row r="283" spans="1:44" ht="15.75" customHeight="1" x14ac:dyDescent="0.25">
      <c r="A283" s="64"/>
      <c r="B283" s="62"/>
      <c r="C283" s="62"/>
      <c r="D283" s="62"/>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row>
    <row r="284" spans="1:44" ht="15.75" customHeight="1" x14ac:dyDescent="0.25">
      <c r="A284" s="64"/>
      <c r="B284" s="62"/>
      <c r="C284" s="62"/>
      <c r="D284" s="62"/>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row>
    <row r="285" spans="1:44" ht="15.75" customHeight="1" x14ac:dyDescent="0.25">
      <c r="A285" s="64"/>
      <c r="B285" s="62"/>
      <c r="C285" s="62"/>
      <c r="D285" s="62"/>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row>
    <row r="286" spans="1:44" ht="15.75" customHeight="1" x14ac:dyDescent="0.25">
      <c r="A286" s="64"/>
      <c r="B286" s="62"/>
      <c r="C286" s="62"/>
      <c r="D286" s="62"/>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row>
    <row r="287" spans="1:44" ht="15.75" customHeight="1" x14ac:dyDescent="0.25">
      <c r="A287" s="64"/>
      <c r="B287" s="62"/>
      <c r="C287" s="62"/>
      <c r="D287" s="62"/>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row>
    <row r="288" spans="1:44" ht="15.75" customHeight="1" x14ac:dyDescent="0.25">
      <c r="A288" s="64"/>
      <c r="B288" s="62"/>
      <c r="C288" s="62"/>
      <c r="D288" s="62"/>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row>
    <row r="289" spans="1:44" ht="15.75" customHeight="1" x14ac:dyDescent="0.25">
      <c r="A289" s="64"/>
      <c r="B289" s="62"/>
      <c r="C289" s="62"/>
      <c r="D289" s="62"/>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row>
    <row r="290" spans="1:44" ht="15.75" customHeight="1" x14ac:dyDescent="0.25">
      <c r="A290" s="64"/>
      <c r="B290" s="62"/>
      <c r="C290" s="62"/>
      <c r="D290" s="62"/>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row>
    <row r="291" spans="1:44" ht="15.75" customHeight="1" x14ac:dyDescent="0.25">
      <c r="A291" s="64"/>
      <c r="B291" s="62"/>
      <c r="C291" s="62"/>
      <c r="D291" s="62"/>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row>
    <row r="292" spans="1:44" ht="15.75" customHeight="1" x14ac:dyDescent="0.25">
      <c r="A292" s="64"/>
      <c r="B292" s="62"/>
      <c r="C292" s="62"/>
      <c r="D292" s="62"/>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row>
    <row r="293" spans="1:44" ht="15.75" customHeight="1" x14ac:dyDescent="0.25">
      <c r="A293" s="64"/>
      <c r="B293" s="62"/>
      <c r="C293" s="62"/>
      <c r="D293" s="62"/>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row>
    <row r="294" spans="1:44" ht="15.75" customHeight="1" x14ac:dyDescent="0.25">
      <c r="A294" s="64"/>
      <c r="B294" s="62"/>
      <c r="C294" s="62"/>
      <c r="D294" s="62"/>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row>
    <row r="295" spans="1:44" ht="15.75" customHeight="1" x14ac:dyDescent="0.25">
      <c r="A295" s="64"/>
      <c r="B295" s="62"/>
      <c r="C295" s="62"/>
      <c r="D295" s="62"/>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row>
    <row r="296" spans="1:44" ht="15.75" customHeight="1" x14ac:dyDescent="0.25">
      <c r="A296" s="64"/>
      <c r="B296" s="62"/>
      <c r="C296" s="62"/>
      <c r="D296" s="62"/>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row>
    <row r="297" spans="1:44" ht="15.75" customHeight="1" x14ac:dyDescent="0.25">
      <c r="A297" s="64"/>
      <c r="B297" s="62"/>
      <c r="C297" s="62"/>
      <c r="D297" s="62"/>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row>
    <row r="298" spans="1:44" ht="15.75" customHeight="1" x14ac:dyDescent="0.25">
      <c r="A298" s="64"/>
      <c r="B298" s="62"/>
      <c r="C298" s="62"/>
      <c r="D298" s="62"/>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row>
    <row r="299" spans="1:44" ht="15.75" customHeight="1" x14ac:dyDescent="0.25">
      <c r="A299" s="64"/>
      <c r="B299" s="62"/>
      <c r="C299" s="62"/>
      <c r="D299" s="62"/>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row>
    <row r="300" spans="1:44" ht="15.75" customHeight="1" x14ac:dyDescent="0.25">
      <c r="A300" s="64"/>
      <c r="B300" s="62"/>
      <c r="C300" s="62"/>
      <c r="D300" s="62"/>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row>
    <row r="301" spans="1:44" ht="15.75" customHeight="1" x14ac:dyDescent="0.25">
      <c r="A301" s="64"/>
      <c r="B301" s="62"/>
      <c r="C301" s="62"/>
      <c r="D301" s="62"/>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row>
    <row r="302" spans="1:44" ht="15.75" customHeight="1" x14ac:dyDescent="0.25">
      <c r="A302" s="64"/>
      <c r="B302" s="62"/>
      <c r="C302" s="62"/>
      <c r="D302" s="62"/>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row>
    <row r="303" spans="1:44" ht="15.75" customHeight="1" x14ac:dyDescent="0.25">
      <c r="A303" s="64"/>
      <c r="B303" s="62"/>
      <c r="C303" s="62"/>
      <c r="D303" s="62"/>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row>
    <row r="304" spans="1:44" ht="15.75" customHeight="1" x14ac:dyDescent="0.25">
      <c r="A304" s="64"/>
      <c r="B304" s="62"/>
      <c r="C304" s="62"/>
      <c r="D304" s="62"/>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row>
    <row r="305" spans="1:44" ht="15.75" customHeight="1" x14ac:dyDescent="0.25">
      <c r="A305" s="64"/>
      <c r="B305" s="62"/>
      <c r="C305" s="62"/>
      <c r="D305" s="62"/>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row>
    <row r="306" spans="1:44" ht="15.75" customHeight="1" x14ac:dyDescent="0.25">
      <c r="A306" s="64"/>
      <c r="B306" s="62"/>
      <c r="C306" s="62"/>
      <c r="D306" s="62"/>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row>
    <row r="307" spans="1:44" ht="15.75" customHeight="1" x14ac:dyDescent="0.25">
      <c r="A307" s="64"/>
      <c r="B307" s="62"/>
      <c r="C307" s="62"/>
      <c r="D307" s="62"/>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row>
    <row r="308" spans="1:44" ht="15.75" customHeight="1" x14ac:dyDescent="0.25">
      <c r="A308" s="64"/>
      <c r="B308" s="62"/>
      <c r="C308" s="62"/>
      <c r="D308" s="62"/>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row>
    <row r="309" spans="1:44" ht="15.75" customHeight="1" x14ac:dyDescent="0.25">
      <c r="A309" s="64"/>
      <c r="B309" s="62"/>
      <c r="C309" s="62"/>
      <c r="D309" s="62"/>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row>
    <row r="310" spans="1:44" ht="15.75" customHeight="1" x14ac:dyDescent="0.25">
      <c r="A310" s="64"/>
      <c r="B310" s="62"/>
      <c r="C310" s="62"/>
      <c r="D310" s="62"/>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row>
    <row r="311" spans="1:44" ht="15.75" customHeight="1" x14ac:dyDescent="0.25">
      <c r="A311" s="64"/>
      <c r="B311" s="62"/>
      <c r="C311" s="62"/>
      <c r="D311" s="62"/>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row>
    <row r="312" spans="1:44" ht="15.75" customHeight="1" x14ac:dyDescent="0.25">
      <c r="A312" s="64"/>
      <c r="B312" s="62"/>
      <c r="C312" s="62"/>
      <c r="D312" s="62"/>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row>
    <row r="313" spans="1:44" ht="15.75" customHeight="1" x14ac:dyDescent="0.25">
      <c r="A313" s="64"/>
      <c r="B313" s="62"/>
      <c r="C313" s="62"/>
      <c r="D313" s="62"/>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row>
    <row r="314" spans="1:44" ht="15.75" customHeight="1" x14ac:dyDescent="0.25">
      <c r="A314" s="64"/>
      <c r="B314" s="62"/>
      <c r="C314" s="62"/>
      <c r="D314" s="62"/>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row>
    <row r="315" spans="1:44" ht="15.75" customHeight="1" x14ac:dyDescent="0.25">
      <c r="A315" s="64"/>
      <c r="B315" s="62"/>
      <c r="C315" s="62"/>
      <c r="D315" s="62"/>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row>
    <row r="316" spans="1:44" ht="15.75" customHeight="1" x14ac:dyDescent="0.25">
      <c r="A316" s="64"/>
      <c r="B316" s="62"/>
      <c r="C316" s="62"/>
      <c r="D316" s="62"/>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58"/>
      <c r="AH316" s="58"/>
      <c r="AI316" s="58"/>
      <c r="AJ316" s="58"/>
      <c r="AK316" s="58"/>
      <c r="AL316" s="58"/>
      <c r="AM316" s="58"/>
      <c r="AN316" s="58"/>
      <c r="AO316" s="58"/>
      <c r="AP316" s="58"/>
      <c r="AQ316" s="58"/>
      <c r="AR316" s="58"/>
    </row>
    <row r="317" spans="1:44" ht="15.75" customHeight="1" x14ac:dyDescent="0.25">
      <c r="A317" s="64"/>
      <c r="B317" s="62"/>
      <c r="C317" s="62"/>
      <c r="D317" s="62"/>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58"/>
      <c r="AK317" s="58"/>
      <c r="AL317" s="58"/>
      <c r="AM317" s="58"/>
      <c r="AN317" s="58"/>
      <c r="AO317" s="58"/>
      <c r="AP317" s="58"/>
      <c r="AQ317" s="58"/>
      <c r="AR317" s="58"/>
    </row>
    <row r="318" spans="1:44" ht="15.75" customHeight="1" x14ac:dyDescent="0.25">
      <c r="A318" s="64"/>
      <c r="B318" s="62"/>
      <c r="C318" s="62"/>
      <c r="D318" s="62"/>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c r="AG318" s="58"/>
      <c r="AH318" s="58"/>
      <c r="AI318" s="58"/>
      <c r="AJ318" s="58"/>
      <c r="AK318" s="58"/>
      <c r="AL318" s="58"/>
      <c r="AM318" s="58"/>
      <c r="AN318" s="58"/>
      <c r="AO318" s="58"/>
      <c r="AP318" s="58"/>
      <c r="AQ318" s="58"/>
      <c r="AR318" s="58"/>
    </row>
    <row r="319" spans="1:44" ht="15.75" customHeight="1" x14ac:dyDescent="0.25">
      <c r="A319" s="64"/>
      <c r="B319" s="62"/>
      <c r="C319" s="62"/>
      <c r="D319" s="62"/>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c r="AG319" s="58"/>
      <c r="AH319" s="58"/>
      <c r="AI319" s="58"/>
      <c r="AJ319" s="58"/>
      <c r="AK319" s="58"/>
      <c r="AL319" s="58"/>
      <c r="AM319" s="58"/>
      <c r="AN319" s="58"/>
      <c r="AO319" s="58"/>
      <c r="AP319" s="58"/>
      <c r="AQ319" s="58"/>
      <c r="AR319" s="58"/>
    </row>
    <row r="320" spans="1:44" ht="15.75" customHeight="1" x14ac:dyDescent="0.25">
      <c r="A320" s="64"/>
      <c r="B320" s="62"/>
      <c r="C320" s="62"/>
      <c r="D320" s="62"/>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c r="AI320" s="58"/>
      <c r="AJ320" s="58"/>
      <c r="AK320" s="58"/>
      <c r="AL320" s="58"/>
      <c r="AM320" s="58"/>
      <c r="AN320" s="58"/>
      <c r="AO320" s="58"/>
      <c r="AP320" s="58"/>
      <c r="AQ320" s="58"/>
      <c r="AR320" s="58"/>
    </row>
    <row r="321" spans="1:44" ht="15.75" customHeight="1" x14ac:dyDescent="0.25">
      <c r="A321" s="64"/>
      <c r="B321" s="62"/>
      <c r="C321" s="62"/>
      <c r="D321" s="62"/>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c r="AG321" s="58"/>
      <c r="AH321" s="58"/>
      <c r="AI321" s="58"/>
      <c r="AJ321" s="58"/>
      <c r="AK321" s="58"/>
      <c r="AL321" s="58"/>
      <c r="AM321" s="58"/>
      <c r="AN321" s="58"/>
      <c r="AO321" s="58"/>
      <c r="AP321" s="58"/>
      <c r="AQ321" s="58"/>
      <c r="AR321" s="58"/>
    </row>
    <row r="322" spans="1:44" ht="15.75" customHeight="1" x14ac:dyDescent="0.25">
      <c r="A322" s="64"/>
      <c r="B322" s="62"/>
      <c r="C322" s="62"/>
      <c r="D322" s="62"/>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c r="AG322" s="58"/>
      <c r="AH322" s="58"/>
      <c r="AI322" s="58"/>
      <c r="AJ322" s="58"/>
      <c r="AK322" s="58"/>
      <c r="AL322" s="58"/>
      <c r="AM322" s="58"/>
      <c r="AN322" s="58"/>
      <c r="AO322" s="58"/>
      <c r="AP322" s="58"/>
      <c r="AQ322" s="58"/>
      <c r="AR322" s="58"/>
    </row>
    <row r="323" spans="1:44" ht="15.75" customHeight="1" x14ac:dyDescent="0.25">
      <c r="A323" s="64"/>
      <c r="B323" s="62"/>
      <c r="C323" s="62"/>
      <c r="D323" s="62"/>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c r="AG323" s="58"/>
      <c r="AH323" s="58"/>
      <c r="AI323" s="58"/>
      <c r="AJ323" s="58"/>
      <c r="AK323" s="58"/>
      <c r="AL323" s="58"/>
      <c r="AM323" s="58"/>
      <c r="AN323" s="58"/>
      <c r="AO323" s="58"/>
      <c r="AP323" s="58"/>
      <c r="AQ323" s="58"/>
      <c r="AR323" s="58"/>
    </row>
    <row r="324" spans="1:44" ht="15.75" customHeight="1" x14ac:dyDescent="0.25">
      <c r="A324" s="64"/>
      <c r="B324" s="62"/>
      <c r="C324" s="62"/>
      <c r="D324" s="62"/>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c r="AE324" s="58"/>
      <c r="AF324" s="58"/>
      <c r="AG324" s="58"/>
      <c r="AH324" s="58"/>
      <c r="AI324" s="58"/>
      <c r="AJ324" s="58"/>
      <c r="AK324" s="58"/>
      <c r="AL324" s="58"/>
      <c r="AM324" s="58"/>
      <c r="AN324" s="58"/>
      <c r="AO324" s="58"/>
      <c r="AP324" s="58"/>
      <c r="AQ324" s="58"/>
      <c r="AR324" s="58"/>
    </row>
    <row r="325" spans="1:44" ht="15.75" customHeight="1" x14ac:dyDescent="0.25">
      <c r="A325" s="64"/>
      <c r="B325" s="62"/>
      <c r="C325" s="62"/>
      <c r="D325" s="62"/>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c r="AG325" s="58"/>
      <c r="AH325" s="58"/>
      <c r="AI325" s="58"/>
      <c r="AJ325" s="58"/>
      <c r="AK325" s="58"/>
      <c r="AL325" s="58"/>
      <c r="AM325" s="58"/>
      <c r="AN325" s="58"/>
      <c r="AO325" s="58"/>
      <c r="AP325" s="58"/>
      <c r="AQ325" s="58"/>
      <c r="AR325" s="58"/>
    </row>
    <row r="326" spans="1:44" ht="15.75" customHeight="1" x14ac:dyDescent="0.25">
      <c r="A326" s="64"/>
      <c r="B326" s="62"/>
      <c r="C326" s="62"/>
      <c r="D326" s="62"/>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c r="AG326" s="58"/>
      <c r="AH326" s="58"/>
      <c r="AI326" s="58"/>
      <c r="AJ326" s="58"/>
      <c r="AK326" s="58"/>
      <c r="AL326" s="58"/>
      <c r="AM326" s="58"/>
      <c r="AN326" s="58"/>
      <c r="AO326" s="58"/>
      <c r="AP326" s="58"/>
      <c r="AQ326" s="58"/>
      <c r="AR326" s="58"/>
    </row>
    <row r="327" spans="1:44" ht="15.75" customHeight="1" x14ac:dyDescent="0.25">
      <c r="A327" s="64"/>
      <c r="B327" s="62"/>
      <c r="C327" s="62"/>
      <c r="D327" s="62"/>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c r="AG327" s="58"/>
      <c r="AH327" s="58"/>
      <c r="AI327" s="58"/>
      <c r="AJ327" s="58"/>
      <c r="AK327" s="58"/>
      <c r="AL327" s="58"/>
      <c r="AM327" s="58"/>
      <c r="AN327" s="58"/>
      <c r="AO327" s="58"/>
      <c r="AP327" s="58"/>
      <c r="AQ327" s="58"/>
      <c r="AR327" s="58"/>
    </row>
    <row r="328" spans="1:44" ht="15.75" customHeight="1" x14ac:dyDescent="0.25">
      <c r="A328" s="64"/>
      <c r="B328" s="62"/>
      <c r="C328" s="62"/>
      <c r="D328" s="62"/>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8"/>
      <c r="AI328" s="58"/>
      <c r="AJ328" s="58"/>
      <c r="AK328" s="58"/>
      <c r="AL328" s="58"/>
      <c r="AM328" s="58"/>
      <c r="AN328" s="58"/>
      <c r="AO328" s="58"/>
      <c r="AP328" s="58"/>
      <c r="AQ328" s="58"/>
      <c r="AR328" s="58"/>
    </row>
    <row r="329" spans="1:44" ht="15.75" customHeight="1" x14ac:dyDescent="0.25">
      <c r="A329" s="64"/>
      <c r="B329" s="62"/>
      <c r="C329" s="62"/>
      <c r="D329" s="62"/>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c r="AI329" s="58"/>
      <c r="AJ329" s="58"/>
      <c r="AK329" s="58"/>
      <c r="AL329" s="58"/>
      <c r="AM329" s="58"/>
      <c r="AN329" s="58"/>
      <c r="AO329" s="58"/>
      <c r="AP329" s="58"/>
      <c r="AQ329" s="58"/>
      <c r="AR329" s="58"/>
    </row>
    <row r="330" spans="1:44" ht="15.75" customHeight="1" x14ac:dyDescent="0.25">
      <c r="A330" s="64"/>
      <c r="B330" s="62"/>
      <c r="C330" s="62"/>
      <c r="D330" s="62"/>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c r="AG330" s="58"/>
      <c r="AH330" s="58"/>
      <c r="AI330" s="58"/>
      <c r="AJ330" s="58"/>
      <c r="AK330" s="58"/>
      <c r="AL330" s="58"/>
      <c r="AM330" s="58"/>
      <c r="AN330" s="58"/>
      <c r="AO330" s="58"/>
      <c r="AP330" s="58"/>
      <c r="AQ330" s="58"/>
      <c r="AR330" s="58"/>
    </row>
    <row r="331" spans="1:44" ht="15.75" customHeight="1" x14ac:dyDescent="0.25">
      <c r="A331" s="64"/>
      <c r="B331" s="62"/>
      <c r="C331" s="62"/>
      <c r="D331" s="62"/>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c r="AG331" s="58"/>
      <c r="AH331" s="58"/>
      <c r="AI331" s="58"/>
      <c r="AJ331" s="58"/>
      <c r="AK331" s="58"/>
      <c r="AL331" s="58"/>
      <c r="AM331" s="58"/>
      <c r="AN331" s="58"/>
      <c r="AO331" s="58"/>
      <c r="AP331" s="58"/>
      <c r="AQ331" s="58"/>
      <c r="AR331" s="58"/>
    </row>
    <row r="332" spans="1:44" ht="15.75" customHeight="1" x14ac:dyDescent="0.25">
      <c r="A332" s="64"/>
      <c r="B332" s="62"/>
      <c r="C332" s="62"/>
      <c r="D332" s="62"/>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8"/>
      <c r="AI332" s="58"/>
      <c r="AJ332" s="58"/>
      <c r="AK332" s="58"/>
      <c r="AL332" s="58"/>
      <c r="AM332" s="58"/>
      <c r="AN332" s="58"/>
      <c r="AO332" s="58"/>
      <c r="AP332" s="58"/>
      <c r="AQ332" s="58"/>
      <c r="AR332" s="58"/>
    </row>
    <row r="333" spans="1:44" ht="15.75" customHeight="1" x14ac:dyDescent="0.25">
      <c r="A333" s="64"/>
      <c r="B333" s="62"/>
      <c r="C333" s="62"/>
      <c r="D333" s="62"/>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E333" s="58"/>
      <c r="AF333" s="58"/>
      <c r="AG333" s="58"/>
      <c r="AH333" s="58"/>
      <c r="AI333" s="58"/>
      <c r="AJ333" s="58"/>
      <c r="AK333" s="58"/>
      <c r="AL333" s="58"/>
      <c r="AM333" s="58"/>
      <c r="AN333" s="58"/>
      <c r="AO333" s="58"/>
      <c r="AP333" s="58"/>
      <c r="AQ333" s="58"/>
      <c r="AR333" s="58"/>
    </row>
    <row r="334" spans="1:44" ht="15.75" customHeight="1" x14ac:dyDescent="0.25">
      <c r="A334" s="64"/>
      <c r="B334" s="62"/>
      <c r="C334" s="62"/>
      <c r="D334" s="62"/>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E334" s="58"/>
      <c r="AF334" s="58"/>
      <c r="AG334" s="58"/>
      <c r="AH334" s="58"/>
      <c r="AI334" s="58"/>
      <c r="AJ334" s="58"/>
      <c r="AK334" s="58"/>
      <c r="AL334" s="58"/>
      <c r="AM334" s="58"/>
      <c r="AN334" s="58"/>
      <c r="AO334" s="58"/>
      <c r="AP334" s="58"/>
      <c r="AQ334" s="58"/>
      <c r="AR334" s="58"/>
    </row>
    <row r="335" spans="1:44" ht="15.75" customHeight="1" x14ac:dyDescent="0.25">
      <c r="A335" s="64"/>
      <c r="B335" s="62"/>
      <c r="C335" s="62"/>
      <c r="D335" s="62"/>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c r="AJ335" s="58"/>
      <c r="AK335" s="58"/>
      <c r="AL335" s="58"/>
      <c r="AM335" s="58"/>
      <c r="AN335" s="58"/>
      <c r="AO335" s="58"/>
      <c r="AP335" s="58"/>
      <c r="AQ335" s="58"/>
      <c r="AR335" s="58"/>
    </row>
    <row r="336" spans="1:44" ht="15.75" customHeight="1" x14ac:dyDescent="0.25">
      <c r="A336" s="64"/>
      <c r="B336" s="62"/>
      <c r="C336" s="62"/>
      <c r="D336" s="62"/>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E336" s="58"/>
      <c r="AF336" s="58"/>
      <c r="AG336" s="58"/>
      <c r="AH336" s="58"/>
      <c r="AI336" s="58"/>
      <c r="AJ336" s="58"/>
      <c r="AK336" s="58"/>
      <c r="AL336" s="58"/>
      <c r="AM336" s="58"/>
      <c r="AN336" s="58"/>
      <c r="AO336" s="58"/>
      <c r="AP336" s="58"/>
      <c r="AQ336" s="58"/>
      <c r="AR336" s="58"/>
    </row>
    <row r="337" spans="1:44" ht="15.75" customHeight="1" x14ac:dyDescent="0.25">
      <c r="A337" s="64"/>
      <c r="B337" s="62"/>
      <c r="C337" s="62"/>
      <c r="D337" s="62"/>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E337" s="58"/>
      <c r="AF337" s="58"/>
      <c r="AG337" s="58"/>
      <c r="AH337" s="58"/>
      <c r="AI337" s="58"/>
      <c r="AJ337" s="58"/>
      <c r="AK337" s="58"/>
      <c r="AL337" s="58"/>
      <c r="AM337" s="58"/>
      <c r="AN337" s="58"/>
      <c r="AO337" s="58"/>
      <c r="AP337" s="58"/>
      <c r="AQ337" s="58"/>
      <c r="AR337" s="58"/>
    </row>
    <row r="338" spans="1:44" ht="15.75" customHeight="1" x14ac:dyDescent="0.25">
      <c r="A338" s="64"/>
      <c r="B338" s="62"/>
      <c r="C338" s="62"/>
      <c r="D338" s="62"/>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E338" s="58"/>
      <c r="AF338" s="58"/>
      <c r="AG338" s="58"/>
      <c r="AH338" s="58"/>
      <c r="AI338" s="58"/>
      <c r="AJ338" s="58"/>
      <c r="AK338" s="58"/>
      <c r="AL338" s="58"/>
      <c r="AM338" s="58"/>
      <c r="AN338" s="58"/>
      <c r="AO338" s="58"/>
      <c r="AP338" s="58"/>
      <c r="AQ338" s="58"/>
      <c r="AR338" s="58"/>
    </row>
    <row r="339" spans="1:44" ht="15.75" customHeight="1" x14ac:dyDescent="0.25">
      <c r="A339" s="64"/>
      <c r="B339" s="62"/>
      <c r="C339" s="62"/>
      <c r="D339" s="62"/>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E339" s="58"/>
      <c r="AF339" s="58"/>
      <c r="AG339" s="58"/>
      <c r="AH339" s="58"/>
      <c r="AI339" s="58"/>
      <c r="AJ339" s="58"/>
      <c r="AK339" s="58"/>
      <c r="AL339" s="58"/>
      <c r="AM339" s="58"/>
      <c r="AN339" s="58"/>
      <c r="AO339" s="58"/>
      <c r="AP339" s="58"/>
      <c r="AQ339" s="58"/>
      <c r="AR339" s="58"/>
    </row>
    <row r="340" spans="1:44" ht="15.75" customHeight="1" x14ac:dyDescent="0.25">
      <c r="A340" s="64"/>
      <c r="B340" s="62"/>
      <c r="C340" s="62"/>
      <c r="D340" s="62"/>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c r="AG340" s="58"/>
      <c r="AH340" s="58"/>
      <c r="AI340" s="58"/>
      <c r="AJ340" s="58"/>
      <c r="AK340" s="58"/>
      <c r="AL340" s="58"/>
      <c r="AM340" s="58"/>
      <c r="AN340" s="58"/>
      <c r="AO340" s="58"/>
      <c r="AP340" s="58"/>
      <c r="AQ340" s="58"/>
      <c r="AR340" s="58"/>
    </row>
    <row r="341" spans="1:44" ht="15.75" customHeight="1" x14ac:dyDescent="0.25">
      <c r="A341" s="64"/>
      <c r="B341" s="62"/>
      <c r="C341" s="62"/>
      <c r="D341" s="62"/>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c r="AG341" s="58"/>
      <c r="AH341" s="58"/>
      <c r="AI341" s="58"/>
      <c r="AJ341" s="58"/>
      <c r="AK341" s="58"/>
      <c r="AL341" s="58"/>
      <c r="AM341" s="58"/>
      <c r="AN341" s="58"/>
      <c r="AO341" s="58"/>
      <c r="AP341" s="58"/>
      <c r="AQ341" s="58"/>
      <c r="AR341" s="58"/>
    </row>
    <row r="342" spans="1:44" ht="15.75" customHeight="1" x14ac:dyDescent="0.25">
      <c r="A342" s="64"/>
      <c r="B342" s="62"/>
      <c r="C342" s="62"/>
      <c r="D342" s="62"/>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c r="AG342" s="58"/>
      <c r="AH342" s="58"/>
      <c r="AI342" s="58"/>
      <c r="AJ342" s="58"/>
      <c r="AK342" s="58"/>
      <c r="AL342" s="58"/>
      <c r="AM342" s="58"/>
      <c r="AN342" s="58"/>
      <c r="AO342" s="58"/>
      <c r="AP342" s="58"/>
      <c r="AQ342" s="58"/>
      <c r="AR342" s="58"/>
    </row>
    <row r="343" spans="1:44" ht="15.75" customHeight="1" x14ac:dyDescent="0.25">
      <c r="A343" s="64"/>
      <c r="B343" s="62"/>
      <c r="C343" s="62"/>
      <c r="D343" s="62"/>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c r="AG343" s="58"/>
      <c r="AH343" s="58"/>
      <c r="AI343" s="58"/>
      <c r="AJ343" s="58"/>
      <c r="AK343" s="58"/>
      <c r="AL343" s="58"/>
      <c r="AM343" s="58"/>
      <c r="AN343" s="58"/>
      <c r="AO343" s="58"/>
      <c r="AP343" s="58"/>
      <c r="AQ343" s="58"/>
      <c r="AR343" s="58"/>
    </row>
    <row r="344" spans="1:44" ht="15.75" customHeight="1" x14ac:dyDescent="0.25">
      <c r="A344" s="64"/>
      <c r="B344" s="62"/>
      <c r="C344" s="62"/>
      <c r="D344" s="62"/>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c r="AJ344" s="58"/>
      <c r="AK344" s="58"/>
      <c r="AL344" s="58"/>
      <c r="AM344" s="58"/>
      <c r="AN344" s="58"/>
      <c r="AO344" s="58"/>
      <c r="AP344" s="58"/>
      <c r="AQ344" s="58"/>
      <c r="AR344" s="58"/>
    </row>
    <row r="345" spans="1:44" ht="15.75" customHeight="1" x14ac:dyDescent="0.25">
      <c r="A345" s="64"/>
      <c r="B345" s="62"/>
      <c r="C345" s="62"/>
      <c r="D345" s="62"/>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c r="AH345" s="58"/>
      <c r="AI345" s="58"/>
      <c r="AJ345" s="58"/>
      <c r="AK345" s="58"/>
      <c r="AL345" s="58"/>
      <c r="AM345" s="58"/>
      <c r="AN345" s="58"/>
      <c r="AO345" s="58"/>
      <c r="AP345" s="58"/>
      <c r="AQ345" s="58"/>
      <c r="AR345" s="58"/>
    </row>
    <row r="346" spans="1:44" ht="15.75" customHeight="1" x14ac:dyDescent="0.25">
      <c r="A346" s="64"/>
      <c r="B346" s="62"/>
      <c r="C346" s="62"/>
      <c r="D346" s="62"/>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c r="AI346" s="58"/>
      <c r="AJ346" s="58"/>
      <c r="AK346" s="58"/>
      <c r="AL346" s="58"/>
      <c r="AM346" s="58"/>
      <c r="AN346" s="58"/>
      <c r="AO346" s="58"/>
      <c r="AP346" s="58"/>
      <c r="AQ346" s="58"/>
      <c r="AR346" s="58"/>
    </row>
    <row r="347" spans="1:44" ht="15.75" customHeight="1" x14ac:dyDescent="0.25">
      <c r="A347" s="64"/>
      <c r="B347" s="62"/>
      <c r="C347" s="62"/>
      <c r="D347" s="62"/>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c r="AJ347" s="58"/>
      <c r="AK347" s="58"/>
      <c r="AL347" s="58"/>
      <c r="AM347" s="58"/>
      <c r="AN347" s="58"/>
      <c r="AO347" s="58"/>
      <c r="AP347" s="58"/>
      <c r="AQ347" s="58"/>
      <c r="AR347" s="58"/>
    </row>
    <row r="348" spans="1:44" ht="15.75" customHeight="1" x14ac:dyDescent="0.25">
      <c r="A348" s="64"/>
      <c r="B348" s="62"/>
      <c r="C348" s="62"/>
      <c r="D348" s="62"/>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c r="AI348" s="58"/>
      <c r="AJ348" s="58"/>
      <c r="AK348" s="58"/>
      <c r="AL348" s="58"/>
      <c r="AM348" s="58"/>
      <c r="AN348" s="58"/>
      <c r="AO348" s="58"/>
      <c r="AP348" s="58"/>
      <c r="AQ348" s="58"/>
      <c r="AR348" s="58"/>
    </row>
    <row r="349" spans="1:44" ht="15.75" customHeight="1" x14ac:dyDescent="0.25">
      <c r="A349" s="64"/>
      <c r="B349" s="62"/>
      <c r="C349" s="62"/>
      <c r="D349" s="62"/>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c r="AJ349" s="58"/>
      <c r="AK349" s="58"/>
      <c r="AL349" s="58"/>
      <c r="AM349" s="58"/>
      <c r="AN349" s="58"/>
      <c r="AO349" s="58"/>
      <c r="AP349" s="58"/>
      <c r="AQ349" s="58"/>
      <c r="AR349" s="58"/>
    </row>
    <row r="350" spans="1:44" ht="15.75" customHeight="1" x14ac:dyDescent="0.25">
      <c r="A350" s="64"/>
      <c r="B350" s="62"/>
      <c r="C350" s="62"/>
      <c r="D350" s="62"/>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c r="AJ350" s="58"/>
      <c r="AK350" s="58"/>
      <c r="AL350" s="58"/>
      <c r="AM350" s="58"/>
      <c r="AN350" s="58"/>
      <c r="AO350" s="58"/>
      <c r="AP350" s="58"/>
      <c r="AQ350" s="58"/>
      <c r="AR350" s="58"/>
    </row>
    <row r="351" spans="1:44" ht="15.75" customHeight="1" x14ac:dyDescent="0.25">
      <c r="A351" s="64"/>
      <c r="B351" s="62"/>
      <c r="C351" s="62"/>
      <c r="D351" s="62"/>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c r="AJ351" s="58"/>
      <c r="AK351" s="58"/>
      <c r="AL351" s="58"/>
      <c r="AM351" s="58"/>
      <c r="AN351" s="58"/>
      <c r="AO351" s="58"/>
      <c r="AP351" s="58"/>
      <c r="AQ351" s="58"/>
      <c r="AR351" s="58"/>
    </row>
    <row r="352" spans="1:44" ht="15.75" customHeight="1" x14ac:dyDescent="0.25">
      <c r="A352" s="64"/>
      <c r="B352" s="62"/>
      <c r="C352" s="62"/>
      <c r="D352" s="62"/>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c r="AJ352" s="58"/>
      <c r="AK352" s="58"/>
      <c r="AL352" s="58"/>
      <c r="AM352" s="58"/>
      <c r="AN352" s="58"/>
      <c r="AO352" s="58"/>
      <c r="AP352" s="58"/>
      <c r="AQ352" s="58"/>
      <c r="AR352" s="58"/>
    </row>
    <row r="353" spans="1:44" ht="15.75" customHeight="1" x14ac:dyDescent="0.25">
      <c r="A353" s="64"/>
      <c r="B353" s="62"/>
      <c r="C353" s="62"/>
      <c r="D353" s="62"/>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c r="AJ353" s="58"/>
      <c r="AK353" s="58"/>
      <c r="AL353" s="58"/>
      <c r="AM353" s="58"/>
      <c r="AN353" s="58"/>
      <c r="AO353" s="58"/>
      <c r="AP353" s="58"/>
      <c r="AQ353" s="58"/>
      <c r="AR353" s="58"/>
    </row>
    <row r="354" spans="1:44" ht="15.75" customHeight="1" x14ac:dyDescent="0.25">
      <c r="A354" s="64"/>
      <c r="B354" s="62"/>
      <c r="C354" s="62"/>
      <c r="D354" s="62"/>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8"/>
      <c r="AI354" s="58"/>
      <c r="AJ354" s="58"/>
      <c r="AK354" s="58"/>
      <c r="AL354" s="58"/>
      <c r="AM354" s="58"/>
      <c r="AN354" s="58"/>
      <c r="AO354" s="58"/>
      <c r="AP354" s="58"/>
      <c r="AQ354" s="58"/>
      <c r="AR354" s="58"/>
    </row>
    <row r="355" spans="1:44" ht="15.75" customHeight="1" x14ac:dyDescent="0.25">
      <c r="A355" s="64"/>
      <c r="B355" s="62"/>
      <c r="C355" s="62"/>
      <c r="D355" s="62"/>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c r="AG355" s="58"/>
      <c r="AH355" s="58"/>
      <c r="AI355" s="58"/>
      <c r="AJ355" s="58"/>
      <c r="AK355" s="58"/>
      <c r="AL355" s="58"/>
      <c r="AM355" s="58"/>
      <c r="AN355" s="58"/>
      <c r="AO355" s="58"/>
      <c r="AP355" s="58"/>
      <c r="AQ355" s="58"/>
      <c r="AR355" s="58"/>
    </row>
    <row r="356" spans="1:44" ht="15.75" customHeight="1" x14ac:dyDescent="0.25">
      <c r="A356" s="64"/>
      <c r="B356" s="62"/>
      <c r="C356" s="62"/>
      <c r="D356" s="62"/>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c r="AJ356" s="58"/>
      <c r="AK356" s="58"/>
      <c r="AL356" s="58"/>
      <c r="AM356" s="58"/>
      <c r="AN356" s="58"/>
      <c r="AO356" s="58"/>
      <c r="AP356" s="58"/>
      <c r="AQ356" s="58"/>
      <c r="AR356" s="58"/>
    </row>
    <row r="357" spans="1:44" ht="15.75" customHeight="1" x14ac:dyDescent="0.25">
      <c r="A357" s="64"/>
      <c r="B357" s="62"/>
      <c r="C357" s="62"/>
      <c r="D357" s="62"/>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c r="AJ357" s="58"/>
      <c r="AK357" s="58"/>
      <c r="AL357" s="58"/>
      <c r="AM357" s="58"/>
      <c r="AN357" s="58"/>
      <c r="AO357" s="58"/>
      <c r="AP357" s="58"/>
      <c r="AQ357" s="58"/>
      <c r="AR357" s="58"/>
    </row>
    <row r="358" spans="1:44" ht="15.75" customHeight="1" x14ac:dyDescent="0.25">
      <c r="A358" s="64"/>
      <c r="B358" s="62"/>
      <c r="C358" s="62"/>
      <c r="D358" s="62"/>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c r="AJ358" s="58"/>
      <c r="AK358" s="58"/>
      <c r="AL358" s="58"/>
      <c r="AM358" s="58"/>
      <c r="AN358" s="58"/>
      <c r="AO358" s="58"/>
      <c r="AP358" s="58"/>
      <c r="AQ358" s="58"/>
      <c r="AR358" s="58"/>
    </row>
    <row r="359" spans="1:44" ht="15.75" customHeight="1" x14ac:dyDescent="0.25">
      <c r="A359" s="64"/>
      <c r="B359" s="62"/>
      <c r="C359" s="62"/>
      <c r="D359" s="62"/>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c r="AJ359" s="58"/>
      <c r="AK359" s="58"/>
      <c r="AL359" s="58"/>
      <c r="AM359" s="58"/>
      <c r="AN359" s="58"/>
      <c r="AO359" s="58"/>
      <c r="AP359" s="58"/>
      <c r="AQ359" s="58"/>
      <c r="AR359" s="58"/>
    </row>
    <row r="360" spans="1:44" ht="15.75" customHeight="1" x14ac:dyDescent="0.25">
      <c r="A360" s="64"/>
      <c r="B360" s="62"/>
      <c r="C360" s="62"/>
      <c r="D360" s="62"/>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c r="AI360" s="58"/>
      <c r="AJ360" s="58"/>
      <c r="AK360" s="58"/>
      <c r="AL360" s="58"/>
      <c r="AM360" s="58"/>
      <c r="AN360" s="58"/>
      <c r="AO360" s="58"/>
      <c r="AP360" s="58"/>
      <c r="AQ360" s="58"/>
      <c r="AR360" s="58"/>
    </row>
    <row r="361" spans="1:44" ht="15.75" customHeight="1" x14ac:dyDescent="0.25">
      <c r="A361" s="64"/>
      <c r="B361" s="62"/>
      <c r="C361" s="62"/>
      <c r="D361" s="62"/>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c r="AI361" s="58"/>
      <c r="AJ361" s="58"/>
      <c r="AK361" s="58"/>
      <c r="AL361" s="58"/>
      <c r="AM361" s="58"/>
      <c r="AN361" s="58"/>
      <c r="AO361" s="58"/>
      <c r="AP361" s="58"/>
      <c r="AQ361" s="58"/>
      <c r="AR361" s="58"/>
    </row>
    <row r="362" spans="1:44" ht="15.75" customHeight="1" x14ac:dyDescent="0.25">
      <c r="A362" s="64"/>
      <c r="B362" s="62"/>
      <c r="C362" s="62"/>
      <c r="D362" s="62"/>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c r="AJ362" s="58"/>
      <c r="AK362" s="58"/>
      <c r="AL362" s="58"/>
      <c r="AM362" s="58"/>
      <c r="AN362" s="58"/>
      <c r="AO362" s="58"/>
      <c r="AP362" s="58"/>
      <c r="AQ362" s="58"/>
      <c r="AR362" s="58"/>
    </row>
    <row r="363" spans="1:44" ht="15.75" customHeight="1" x14ac:dyDescent="0.25">
      <c r="A363" s="64"/>
      <c r="B363" s="62"/>
      <c r="C363" s="62"/>
      <c r="D363" s="62"/>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c r="AJ363" s="58"/>
      <c r="AK363" s="58"/>
      <c r="AL363" s="58"/>
      <c r="AM363" s="58"/>
      <c r="AN363" s="58"/>
      <c r="AO363" s="58"/>
      <c r="AP363" s="58"/>
      <c r="AQ363" s="58"/>
      <c r="AR363" s="58"/>
    </row>
    <row r="364" spans="1:44" ht="15.75" customHeight="1" x14ac:dyDescent="0.25">
      <c r="A364" s="64"/>
      <c r="B364" s="62"/>
      <c r="C364" s="62"/>
      <c r="D364" s="62"/>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c r="AG364" s="58"/>
      <c r="AH364" s="58"/>
      <c r="AI364" s="58"/>
      <c r="AJ364" s="58"/>
      <c r="AK364" s="58"/>
      <c r="AL364" s="58"/>
      <c r="AM364" s="58"/>
      <c r="AN364" s="58"/>
      <c r="AO364" s="58"/>
      <c r="AP364" s="58"/>
      <c r="AQ364" s="58"/>
      <c r="AR364" s="58"/>
    </row>
    <row r="365" spans="1:44" ht="15.75" customHeight="1" x14ac:dyDescent="0.25">
      <c r="A365" s="64"/>
      <c r="B365" s="62"/>
      <c r="C365" s="62"/>
      <c r="D365" s="62"/>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8"/>
      <c r="AI365" s="58"/>
      <c r="AJ365" s="58"/>
      <c r="AK365" s="58"/>
      <c r="AL365" s="58"/>
      <c r="AM365" s="58"/>
      <c r="AN365" s="58"/>
      <c r="AO365" s="58"/>
      <c r="AP365" s="58"/>
      <c r="AQ365" s="58"/>
      <c r="AR365" s="58"/>
    </row>
    <row r="366" spans="1:44" ht="15.75" customHeight="1" x14ac:dyDescent="0.25">
      <c r="A366" s="64"/>
      <c r="B366" s="62"/>
      <c r="C366" s="62"/>
      <c r="D366" s="62"/>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c r="AI366" s="58"/>
      <c r="AJ366" s="58"/>
      <c r="AK366" s="58"/>
      <c r="AL366" s="58"/>
      <c r="AM366" s="58"/>
      <c r="AN366" s="58"/>
      <c r="AO366" s="58"/>
      <c r="AP366" s="58"/>
      <c r="AQ366" s="58"/>
      <c r="AR366" s="58"/>
    </row>
    <row r="367" spans="1:44" ht="15.75" customHeight="1" x14ac:dyDescent="0.25">
      <c r="A367" s="64"/>
      <c r="B367" s="62"/>
      <c r="C367" s="62"/>
      <c r="D367" s="62"/>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c r="AP367" s="58"/>
      <c r="AQ367" s="58"/>
      <c r="AR367" s="58"/>
    </row>
    <row r="368" spans="1:44" ht="15.75" customHeight="1" x14ac:dyDescent="0.25">
      <c r="A368" s="64"/>
      <c r="B368" s="62"/>
      <c r="C368" s="62"/>
      <c r="D368" s="62"/>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c r="AJ368" s="58"/>
      <c r="AK368" s="58"/>
      <c r="AL368" s="58"/>
      <c r="AM368" s="58"/>
      <c r="AN368" s="58"/>
      <c r="AO368" s="58"/>
      <c r="AP368" s="58"/>
      <c r="AQ368" s="58"/>
      <c r="AR368" s="58"/>
    </row>
    <row r="369" spans="1:44" ht="15.75" customHeight="1" x14ac:dyDescent="0.25">
      <c r="A369" s="64"/>
      <c r="B369" s="62"/>
      <c r="C369" s="62"/>
      <c r="D369" s="62"/>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8"/>
      <c r="AI369" s="58"/>
      <c r="AJ369" s="58"/>
      <c r="AK369" s="58"/>
      <c r="AL369" s="58"/>
      <c r="AM369" s="58"/>
      <c r="AN369" s="58"/>
      <c r="AO369" s="58"/>
      <c r="AP369" s="58"/>
      <c r="AQ369" s="58"/>
      <c r="AR369" s="58"/>
    </row>
    <row r="370" spans="1:44" ht="15.75" customHeight="1" x14ac:dyDescent="0.25">
      <c r="A370" s="64"/>
      <c r="B370" s="62"/>
      <c r="C370" s="62"/>
      <c r="D370" s="62"/>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c r="AG370" s="58"/>
      <c r="AH370" s="58"/>
      <c r="AI370" s="58"/>
      <c r="AJ370" s="58"/>
      <c r="AK370" s="58"/>
      <c r="AL370" s="58"/>
      <c r="AM370" s="58"/>
      <c r="AN370" s="58"/>
      <c r="AO370" s="58"/>
      <c r="AP370" s="58"/>
      <c r="AQ370" s="58"/>
      <c r="AR370" s="58"/>
    </row>
    <row r="371" spans="1:44" ht="15.75" customHeight="1" x14ac:dyDescent="0.25">
      <c r="A371" s="64"/>
      <c r="B371" s="62"/>
      <c r="C371" s="62"/>
      <c r="D371" s="62"/>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c r="AI371" s="58"/>
      <c r="AJ371" s="58"/>
      <c r="AK371" s="58"/>
      <c r="AL371" s="58"/>
      <c r="AM371" s="58"/>
      <c r="AN371" s="58"/>
      <c r="AO371" s="58"/>
      <c r="AP371" s="58"/>
      <c r="AQ371" s="58"/>
      <c r="AR371" s="58"/>
    </row>
    <row r="372" spans="1:44" ht="15.75" customHeight="1" x14ac:dyDescent="0.25">
      <c r="A372" s="64"/>
      <c r="B372" s="62"/>
      <c r="C372" s="62"/>
      <c r="D372" s="62"/>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c r="AG372" s="58"/>
      <c r="AH372" s="58"/>
      <c r="AI372" s="58"/>
      <c r="AJ372" s="58"/>
      <c r="AK372" s="58"/>
      <c r="AL372" s="58"/>
      <c r="AM372" s="58"/>
      <c r="AN372" s="58"/>
      <c r="AO372" s="58"/>
      <c r="AP372" s="58"/>
      <c r="AQ372" s="58"/>
      <c r="AR372" s="58"/>
    </row>
    <row r="373" spans="1:44" ht="15.75" customHeight="1" x14ac:dyDescent="0.25">
      <c r="A373" s="64"/>
      <c r="B373" s="62"/>
      <c r="C373" s="62"/>
      <c r="D373" s="62"/>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c r="AG373" s="58"/>
      <c r="AH373" s="58"/>
      <c r="AI373" s="58"/>
      <c r="AJ373" s="58"/>
      <c r="AK373" s="58"/>
      <c r="AL373" s="58"/>
      <c r="AM373" s="58"/>
      <c r="AN373" s="58"/>
      <c r="AO373" s="58"/>
      <c r="AP373" s="58"/>
      <c r="AQ373" s="58"/>
      <c r="AR373" s="58"/>
    </row>
    <row r="374" spans="1:44" ht="15.75" customHeight="1" x14ac:dyDescent="0.25">
      <c r="A374" s="64"/>
      <c r="B374" s="62"/>
      <c r="C374" s="62"/>
      <c r="D374" s="62"/>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58"/>
      <c r="AK374" s="58"/>
      <c r="AL374" s="58"/>
      <c r="AM374" s="58"/>
      <c r="AN374" s="58"/>
      <c r="AO374" s="58"/>
      <c r="AP374" s="58"/>
      <c r="AQ374" s="58"/>
      <c r="AR374" s="58"/>
    </row>
    <row r="375" spans="1:44" ht="15.75" customHeight="1" x14ac:dyDescent="0.25">
      <c r="A375" s="64"/>
      <c r="B375" s="62"/>
      <c r="C375" s="62"/>
      <c r="D375" s="62"/>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c r="AP375" s="58"/>
      <c r="AQ375" s="58"/>
      <c r="AR375" s="58"/>
    </row>
    <row r="376" spans="1:44" ht="15.75" customHeight="1" x14ac:dyDescent="0.25">
      <c r="A376" s="64"/>
      <c r="B376" s="62"/>
      <c r="C376" s="62"/>
      <c r="D376" s="62"/>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c r="AI376" s="58"/>
      <c r="AJ376" s="58"/>
      <c r="AK376" s="58"/>
      <c r="AL376" s="58"/>
      <c r="AM376" s="58"/>
      <c r="AN376" s="58"/>
      <c r="AO376" s="58"/>
      <c r="AP376" s="58"/>
      <c r="AQ376" s="58"/>
      <c r="AR376" s="58"/>
    </row>
    <row r="377" spans="1:44" ht="15.75" customHeight="1" x14ac:dyDescent="0.25">
      <c r="A377" s="64"/>
      <c r="B377" s="62"/>
      <c r="C377" s="62"/>
      <c r="D377" s="62"/>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58"/>
      <c r="AK377" s="58"/>
      <c r="AL377" s="58"/>
      <c r="AM377" s="58"/>
      <c r="AN377" s="58"/>
      <c r="AO377" s="58"/>
      <c r="AP377" s="58"/>
      <c r="AQ377" s="58"/>
      <c r="AR377" s="58"/>
    </row>
    <row r="378" spans="1:44" ht="15.75" customHeight="1" x14ac:dyDescent="0.25">
      <c r="A378" s="64"/>
      <c r="B378" s="62"/>
      <c r="C378" s="62"/>
      <c r="D378" s="62"/>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c r="AP378" s="58"/>
      <c r="AQ378" s="58"/>
      <c r="AR378" s="58"/>
    </row>
    <row r="379" spans="1:44" ht="15.75" customHeight="1" x14ac:dyDescent="0.25">
      <c r="A379" s="64"/>
      <c r="B379" s="62"/>
      <c r="C379" s="62"/>
      <c r="D379" s="62"/>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c r="AP379" s="58"/>
      <c r="AQ379" s="58"/>
      <c r="AR379" s="58"/>
    </row>
    <row r="380" spans="1:44" ht="15.75" customHeight="1" x14ac:dyDescent="0.25">
      <c r="A380" s="64"/>
      <c r="B380" s="62"/>
      <c r="C380" s="62"/>
      <c r="D380" s="62"/>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c r="AP380" s="58"/>
      <c r="AQ380" s="58"/>
      <c r="AR380" s="58"/>
    </row>
    <row r="381" spans="1:44" ht="15.75" customHeight="1" x14ac:dyDescent="0.25">
      <c r="A381" s="64"/>
      <c r="B381" s="62"/>
      <c r="C381" s="62"/>
      <c r="D381" s="62"/>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c r="AP381" s="58"/>
      <c r="AQ381" s="58"/>
      <c r="AR381" s="58"/>
    </row>
    <row r="382" spans="1:44" ht="15.75" customHeight="1" x14ac:dyDescent="0.25">
      <c r="A382" s="64"/>
      <c r="B382" s="62"/>
      <c r="C382" s="62"/>
      <c r="D382" s="62"/>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c r="AO382" s="58"/>
      <c r="AP382" s="58"/>
      <c r="AQ382" s="58"/>
      <c r="AR382" s="58"/>
    </row>
    <row r="383" spans="1:44" ht="15.75" customHeight="1" x14ac:dyDescent="0.25">
      <c r="A383" s="64"/>
      <c r="B383" s="62"/>
      <c r="C383" s="62"/>
      <c r="D383" s="62"/>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58"/>
      <c r="AK383" s="58"/>
      <c r="AL383" s="58"/>
      <c r="AM383" s="58"/>
      <c r="AN383" s="58"/>
      <c r="AO383" s="58"/>
      <c r="AP383" s="58"/>
      <c r="AQ383" s="58"/>
      <c r="AR383" s="58"/>
    </row>
    <row r="384" spans="1:44" ht="15.75" customHeight="1" x14ac:dyDescent="0.25">
      <c r="A384" s="64"/>
      <c r="B384" s="62"/>
      <c r="C384" s="62"/>
      <c r="D384" s="62"/>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c r="AG384" s="58"/>
      <c r="AH384" s="58"/>
      <c r="AI384" s="58"/>
      <c r="AJ384" s="58"/>
      <c r="AK384" s="58"/>
      <c r="AL384" s="58"/>
      <c r="AM384" s="58"/>
      <c r="AN384" s="58"/>
      <c r="AO384" s="58"/>
      <c r="AP384" s="58"/>
      <c r="AQ384" s="58"/>
      <c r="AR384" s="58"/>
    </row>
    <row r="385" spans="1:44" ht="15.75" customHeight="1" x14ac:dyDescent="0.25">
      <c r="A385" s="64"/>
      <c r="B385" s="62"/>
      <c r="C385" s="62"/>
      <c r="D385" s="62"/>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c r="AG385" s="58"/>
      <c r="AH385" s="58"/>
      <c r="AI385" s="58"/>
      <c r="AJ385" s="58"/>
      <c r="AK385" s="58"/>
      <c r="AL385" s="58"/>
      <c r="AM385" s="58"/>
      <c r="AN385" s="58"/>
      <c r="AO385" s="58"/>
      <c r="AP385" s="58"/>
      <c r="AQ385" s="58"/>
      <c r="AR385" s="58"/>
    </row>
    <row r="386" spans="1:44" ht="15.75" customHeight="1" x14ac:dyDescent="0.25">
      <c r="A386" s="64"/>
      <c r="B386" s="62"/>
      <c r="C386" s="62"/>
      <c r="D386" s="62"/>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c r="AI386" s="58"/>
      <c r="AJ386" s="58"/>
      <c r="AK386" s="58"/>
      <c r="AL386" s="58"/>
      <c r="AM386" s="58"/>
      <c r="AN386" s="58"/>
      <c r="AO386" s="58"/>
      <c r="AP386" s="58"/>
      <c r="AQ386" s="58"/>
      <c r="AR386" s="58"/>
    </row>
    <row r="387" spans="1:44" ht="15.75" customHeight="1" x14ac:dyDescent="0.25">
      <c r="A387" s="64"/>
      <c r="B387" s="62"/>
      <c r="C387" s="62"/>
      <c r="D387" s="62"/>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c r="AG387" s="58"/>
      <c r="AH387" s="58"/>
      <c r="AI387" s="58"/>
      <c r="AJ387" s="58"/>
      <c r="AK387" s="58"/>
      <c r="AL387" s="58"/>
      <c r="AM387" s="58"/>
      <c r="AN387" s="58"/>
      <c r="AO387" s="58"/>
      <c r="AP387" s="58"/>
      <c r="AQ387" s="58"/>
      <c r="AR387" s="58"/>
    </row>
    <row r="388" spans="1:44" ht="15.75" customHeight="1" x14ac:dyDescent="0.25">
      <c r="A388" s="64"/>
      <c r="B388" s="62"/>
      <c r="C388" s="62"/>
      <c r="D388" s="62"/>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c r="AG388" s="58"/>
      <c r="AH388" s="58"/>
      <c r="AI388" s="58"/>
      <c r="AJ388" s="58"/>
      <c r="AK388" s="58"/>
      <c r="AL388" s="58"/>
      <c r="AM388" s="58"/>
      <c r="AN388" s="58"/>
      <c r="AO388" s="58"/>
      <c r="AP388" s="58"/>
      <c r="AQ388" s="58"/>
      <c r="AR388" s="58"/>
    </row>
    <row r="389" spans="1:44" ht="15.75" customHeight="1" x14ac:dyDescent="0.25">
      <c r="A389" s="64"/>
      <c r="B389" s="62"/>
      <c r="C389" s="62"/>
      <c r="D389" s="62"/>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c r="AI389" s="58"/>
      <c r="AJ389" s="58"/>
      <c r="AK389" s="58"/>
      <c r="AL389" s="58"/>
      <c r="AM389" s="58"/>
      <c r="AN389" s="58"/>
      <c r="AO389" s="58"/>
      <c r="AP389" s="58"/>
      <c r="AQ389" s="58"/>
      <c r="AR389" s="58"/>
    </row>
    <row r="390" spans="1:44" ht="15.75" customHeight="1" x14ac:dyDescent="0.25">
      <c r="A390" s="64"/>
      <c r="B390" s="62"/>
      <c r="C390" s="62"/>
      <c r="D390" s="62"/>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c r="AG390" s="58"/>
      <c r="AH390" s="58"/>
      <c r="AI390" s="58"/>
      <c r="AJ390" s="58"/>
      <c r="AK390" s="58"/>
      <c r="AL390" s="58"/>
      <c r="AM390" s="58"/>
      <c r="AN390" s="58"/>
      <c r="AO390" s="58"/>
      <c r="AP390" s="58"/>
      <c r="AQ390" s="58"/>
      <c r="AR390" s="58"/>
    </row>
    <row r="391" spans="1:44" ht="15.75" customHeight="1" x14ac:dyDescent="0.25">
      <c r="A391" s="64"/>
      <c r="B391" s="62"/>
      <c r="C391" s="62"/>
      <c r="D391" s="62"/>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c r="AG391" s="58"/>
      <c r="AH391" s="58"/>
      <c r="AI391" s="58"/>
      <c r="AJ391" s="58"/>
      <c r="AK391" s="58"/>
      <c r="AL391" s="58"/>
      <c r="AM391" s="58"/>
      <c r="AN391" s="58"/>
      <c r="AO391" s="58"/>
      <c r="AP391" s="58"/>
      <c r="AQ391" s="58"/>
      <c r="AR391" s="58"/>
    </row>
    <row r="392" spans="1:44" ht="15.75" customHeight="1" x14ac:dyDescent="0.25">
      <c r="A392" s="64"/>
      <c r="B392" s="62"/>
      <c r="C392" s="62"/>
      <c r="D392" s="62"/>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c r="AR392" s="58"/>
    </row>
    <row r="393" spans="1:44" ht="15.75" customHeight="1" x14ac:dyDescent="0.25">
      <c r="A393" s="64"/>
      <c r="B393" s="62"/>
      <c r="C393" s="62"/>
      <c r="D393" s="62"/>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c r="AR393" s="58"/>
    </row>
    <row r="394" spans="1:44" ht="15.75" customHeight="1" x14ac:dyDescent="0.25">
      <c r="A394" s="64"/>
      <c r="B394" s="62"/>
      <c r="C394" s="62"/>
      <c r="D394" s="62"/>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row>
    <row r="395" spans="1:44" ht="15.75" customHeight="1" x14ac:dyDescent="0.25">
      <c r="A395" s="64"/>
      <c r="B395" s="62"/>
      <c r="C395" s="62"/>
      <c r="D395" s="62"/>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row>
    <row r="396" spans="1:44" ht="15.75" customHeight="1" x14ac:dyDescent="0.25">
      <c r="A396" s="64"/>
      <c r="B396" s="62"/>
      <c r="C396" s="62"/>
      <c r="D396" s="62"/>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row>
    <row r="397" spans="1:44" ht="15.75" customHeight="1" x14ac:dyDescent="0.25">
      <c r="A397" s="64"/>
      <c r="B397" s="62"/>
      <c r="C397" s="62"/>
      <c r="D397" s="62"/>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row>
    <row r="398" spans="1:44" ht="15.75" customHeight="1" x14ac:dyDescent="0.25">
      <c r="A398" s="64"/>
      <c r="B398" s="62"/>
      <c r="C398" s="62"/>
      <c r="D398" s="62"/>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row>
    <row r="399" spans="1:44" ht="15.75" customHeight="1" x14ac:dyDescent="0.25">
      <c r="A399" s="64"/>
      <c r="B399" s="62"/>
      <c r="C399" s="62"/>
      <c r="D399" s="62"/>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row>
    <row r="400" spans="1:44" ht="15.75" customHeight="1" x14ac:dyDescent="0.25">
      <c r="A400" s="64"/>
      <c r="B400" s="62"/>
      <c r="C400" s="62"/>
      <c r="D400" s="62"/>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row>
    <row r="401" spans="1:44" ht="15.75" customHeight="1" x14ac:dyDescent="0.25">
      <c r="A401" s="64"/>
      <c r="B401" s="62"/>
      <c r="C401" s="62"/>
      <c r="D401" s="62"/>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row>
    <row r="402" spans="1:44" ht="15.75" customHeight="1" x14ac:dyDescent="0.25">
      <c r="A402" s="64"/>
      <c r="B402" s="62"/>
      <c r="C402" s="62"/>
      <c r="D402" s="62"/>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row>
    <row r="403" spans="1:44" ht="15.75" customHeight="1" x14ac:dyDescent="0.25">
      <c r="A403" s="64"/>
      <c r="B403" s="62"/>
      <c r="C403" s="62"/>
      <c r="D403" s="62"/>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row>
    <row r="404" spans="1:44" ht="15.75" customHeight="1" x14ac:dyDescent="0.25">
      <c r="A404" s="64"/>
      <c r="B404" s="62"/>
      <c r="C404" s="62"/>
      <c r="D404" s="62"/>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row>
    <row r="405" spans="1:44" ht="15.75" customHeight="1" x14ac:dyDescent="0.25">
      <c r="A405" s="64"/>
      <c r="B405" s="62"/>
      <c r="C405" s="62"/>
      <c r="D405" s="62"/>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row>
    <row r="406" spans="1:44" ht="15.75" customHeight="1" x14ac:dyDescent="0.25">
      <c r="A406" s="64"/>
      <c r="B406" s="62"/>
      <c r="C406" s="62"/>
      <c r="D406" s="62"/>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c r="AG406" s="58"/>
      <c r="AH406" s="58"/>
      <c r="AI406" s="58"/>
      <c r="AJ406" s="58"/>
      <c r="AK406" s="58"/>
      <c r="AL406" s="58"/>
      <c r="AM406" s="58"/>
      <c r="AN406" s="58"/>
      <c r="AO406" s="58"/>
      <c r="AP406" s="58"/>
      <c r="AQ406" s="58"/>
      <c r="AR406" s="58"/>
    </row>
    <row r="407" spans="1:44" ht="15.75" customHeight="1" x14ac:dyDescent="0.25">
      <c r="A407" s="64"/>
      <c r="B407" s="62"/>
      <c r="C407" s="62"/>
      <c r="D407" s="62"/>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8"/>
      <c r="AI407" s="58"/>
      <c r="AJ407" s="58"/>
      <c r="AK407" s="58"/>
      <c r="AL407" s="58"/>
      <c r="AM407" s="58"/>
      <c r="AN407" s="58"/>
      <c r="AO407" s="58"/>
      <c r="AP407" s="58"/>
      <c r="AQ407" s="58"/>
      <c r="AR407" s="58"/>
    </row>
    <row r="408" spans="1:44" ht="15.75" customHeight="1" x14ac:dyDescent="0.25">
      <c r="A408" s="64"/>
      <c r="B408" s="62"/>
      <c r="C408" s="62"/>
      <c r="D408" s="62"/>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c r="AE408" s="58"/>
      <c r="AF408" s="58"/>
      <c r="AG408" s="58"/>
      <c r="AH408" s="58"/>
      <c r="AI408" s="58"/>
      <c r="AJ408" s="58"/>
      <c r="AK408" s="58"/>
      <c r="AL408" s="58"/>
      <c r="AM408" s="58"/>
      <c r="AN408" s="58"/>
      <c r="AO408" s="58"/>
      <c r="AP408" s="58"/>
      <c r="AQ408" s="58"/>
      <c r="AR408" s="58"/>
    </row>
    <row r="409" spans="1:44" ht="15.75" customHeight="1" x14ac:dyDescent="0.25">
      <c r="A409" s="64"/>
      <c r="B409" s="62"/>
      <c r="C409" s="62"/>
      <c r="D409" s="62"/>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c r="AE409" s="58"/>
      <c r="AF409" s="58"/>
      <c r="AG409" s="58"/>
      <c r="AH409" s="58"/>
      <c r="AI409" s="58"/>
      <c r="AJ409" s="58"/>
      <c r="AK409" s="58"/>
      <c r="AL409" s="58"/>
      <c r="AM409" s="58"/>
      <c r="AN409" s="58"/>
      <c r="AO409" s="58"/>
      <c r="AP409" s="58"/>
      <c r="AQ409" s="58"/>
      <c r="AR409" s="58"/>
    </row>
    <row r="410" spans="1:44" ht="15.75" customHeight="1" x14ac:dyDescent="0.25">
      <c r="A410" s="64"/>
      <c r="B410" s="62"/>
      <c r="C410" s="62"/>
      <c r="D410" s="62"/>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8"/>
      <c r="AI410" s="58"/>
      <c r="AJ410" s="58"/>
      <c r="AK410" s="58"/>
      <c r="AL410" s="58"/>
      <c r="AM410" s="58"/>
      <c r="AN410" s="58"/>
      <c r="AO410" s="58"/>
      <c r="AP410" s="58"/>
      <c r="AQ410" s="58"/>
      <c r="AR410" s="58"/>
    </row>
    <row r="411" spans="1:44" ht="15.75" customHeight="1" x14ac:dyDescent="0.25">
      <c r="A411" s="64"/>
      <c r="B411" s="62"/>
      <c r="C411" s="62"/>
      <c r="D411" s="62"/>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c r="AG411" s="58"/>
      <c r="AH411" s="58"/>
      <c r="AI411" s="58"/>
      <c r="AJ411" s="58"/>
      <c r="AK411" s="58"/>
      <c r="AL411" s="58"/>
      <c r="AM411" s="58"/>
      <c r="AN411" s="58"/>
      <c r="AO411" s="58"/>
      <c r="AP411" s="58"/>
      <c r="AQ411" s="58"/>
      <c r="AR411" s="58"/>
    </row>
    <row r="412" spans="1:44" ht="15.75" customHeight="1" x14ac:dyDescent="0.25">
      <c r="A412" s="64"/>
      <c r="B412" s="62"/>
      <c r="C412" s="62"/>
      <c r="D412" s="62"/>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c r="AG412" s="58"/>
      <c r="AH412" s="58"/>
      <c r="AI412" s="58"/>
      <c r="AJ412" s="58"/>
      <c r="AK412" s="58"/>
      <c r="AL412" s="58"/>
      <c r="AM412" s="58"/>
      <c r="AN412" s="58"/>
      <c r="AO412" s="58"/>
      <c r="AP412" s="58"/>
      <c r="AQ412" s="58"/>
      <c r="AR412" s="58"/>
    </row>
    <row r="413" spans="1:44" ht="15.75" customHeight="1" x14ac:dyDescent="0.25">
      <c r="A413" s="64"/>
      <c r="B413" s="62"/>
      <c r="C413" s="62"/>
      <c r="D413" s="62"/>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8"/>
      <c r="AI413" s="58"/>
      <c r="AJ413" s="58"/>
      <c r="AK413" s="58"/>
      <c r="AL413" s="58"/>
      <c r="AM413" s="58"/>
      <c r="AN413" s="58"/>
      <c r="AO413" s="58"/>
      <c r="AP413" s="58"/>
      <c r="AQ413" s="58"/>
      <c r="AR413" s="58"/>
    </row>
    <row r="414" spans="1:44" ht="15.75" customHeight="1" x14ac:dyDescent="0.25">
      <c r="A414" s="64"/>
      <c r="B414" s="62"/>
      <c r="C414" s="62"/>
      <c r="D414" s="62"/>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c r="AE414" s="58"/>
      <c r="AF414" s="58"/>
      <c r="AG414" s="58"/>
      <c r="AH414" s="58"/>
      <c r="AI414" s="58"/>
      <c r="AJ414" s="58"/>
      <c r="AK414" s="58"/>
      <c r="AL414" s="58"/>
      <c r="AM414" s="58"/>
      <c r="AN414" s="58"/>
      <c r="AO414" s="58"/>
      <c r="AP414" s="58"/>
      <c r="AQ414" s="58"/>
      <c r="AR414" s="58"/>
    </row>
    <row r="415" spans="1:44" ht="15.75" customHeight="1" x14ac:dyDescent="0.25">
      <c r="A415" s="64"/>
      <c r="B415" s="62"/>
      <c r="C415" s="62"/>
      <c r="D415" s="62"/>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c r="AG415" s="58"/>
      <c r="AH415" s="58"/>
      <c r="AI415" s="58"/>
      <c r="AJ415" s="58"/>
      <c r="AK415" s="58"/>
      <c r="AL415" s="58"/>
      <c r="AM415" s="58"/>
      <c r="AN415" s="58"/>
      <c r="AO415" s="58"/>
      <c r="AP415" s="58"/>
      <c r="AQ415" s="58"/>
      <c r="AR415" s="58"/>
    </row>
    <row r="416" spans="1:44" ht="15.75" customHeight="1" x14ac:dyDescent="0.25">
      <c r="A416" s="64"/>
      <c r="B416" s="62"/>
      <c r="C416" s="62"/>
      <c r="D416" s="62"/>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8"/>
      <c r="AI416" s="58"/>
      <c r="AJ416" s="58"/>
      <c r="AK416" s="58"/>
      <c r="AL416" s="58"/>
      <c r="AM416" s="58"/>
      <c r="AN416" s="58"/>
      <c r="AO416" s="58"/>
      <c r="AP416" s="58"/>
      <c r="AQ416" s="58"/>
      <c r="AR416" s="58"/>
    </row>
    <row r="417" spans="1:44" ht="15.75" customHeight="1" x14ac:dyDescent="0.25">
      <c r="A417" s="64"/>
      <c r="B417" s="62"/>
      <c r="C417" s="62"/>
      <c r="D417" s="62"/>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c r="AG417" s="58"/>
      <c r="AH417" s="58"/>
      <c r="AI417" s="58"/>
      <c r="AJ417" s="58"/>
      <c r="AK417" s="58"/>
      <c r="AL417" s="58"/>
      <c r="AM417" s="58"/>
      <c r="AN417" s="58"/>
      <c r="AO417" s="58"/>
      <c r="AP417" s="58"/>
      <c r="AQ417" s="58"/>
      <c r="AR417" s="58"/>
    </row>
    <row r="418" spans="1:44" ht="15.75" customHeight="1" x14ac:dyDescent="0.25">
      <c r="A418" s="64"/>
      <c r="B418" s="62"/>
      <c r="C418" s="62"/>
      <c r="D418" s="62"/>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c r="AG418" s="58"/>
      <c r="AH418" s="58"/>
      <c r="AI418" s="58"/>
      <c r="AJ418" s="58"/>
      <c r="AK418" s="58"/>
      <c r="AL418" s="58"/>
      <c r="AM418" s="58"/>
      <c r="AN418" s="58"/>
      <c r="AO418" s="58"/>
      <c r="AP418" s="58"/>
      <c r="AQ418" s="58"/>
      <c r="AR418" s="58"/>
    </row>
    <row r="419" spans="1:44" ht="15.75" customHeight="1" x14ac:dyDescent="0.25">
      <c r="A419" s="64"/>
      <c r="B419" s="62"/>
      <c r="C419" s="62"/>
      <c r="D419" s="62"/>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8"/>
      <c r="AI419" s="58"/>
      <c r="AJ419" s="58"/>
      <c r="AK419" s="58"/>
      <c r="AL419" s="58"/>
      <c r="AM419" s="58"/>
      <c r="AN419" s="58"/>
      <c r="AO419" s="58"/>
      <c r="AP419" s="58"/>
      <c r="AQ419" s="58"/>
      <c r="AR419" s="58"/>
    </row>
    <row r="420" spans="1:44" ht="15.75" customHeight="1" x14ac:dyDescent="0.25">
      <c r="A420" s="64"/>
      <c r="B420" s="62"/>
      <c r="C420" s="62"/>
      <c r="D420" s="62"/>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c r="AG420" s="58"/>
      <c r="AH420" s="58"/>
      <c r="AI420" s="58"/>
      <c r="AJ420" s="58"/>
      <c r="AK420" s="58"/>
      <c r="AL420" s="58"/>
      <c r="AM420" s="58"/>
      <c r="AN420" s="58"/>
      <c r="AO420" s="58"/>
      <c r="AP420" s="58"/>
      <c r="AQ420" s="58"/>
      <c r="AR420" s="58"/>
    </row>
    <row r="421" spans="1:44" ht="15.75" customHeight="1" x14ac:dyDescent="0.25">
      <c r="A421" s="64"/>
      <c r="B421" s="62"/>
      <c r="C421" s="62"/>
      <c r="D421" s="62"/>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c r="AE421" s="58"/>
      <c r="AF421" s="58"/>
      <c r="AG421" s="58"/>
      <c r="AH421" s="58"/>
      <c r="AI421" s="58"/>
      <c r="AJ421" s="58"/>
      <c r="AK421" s="58"/>
      <c r="AL421" s="58"/>
      <c r="AM421" s="58"/>
      <c r="AN421" s="58"/>
      <c r="AO421" s="58"/>
      <c r="AP421" s="58"/>
      <c r="AQ421" s="58"/>
      <c r="AR421" s="58"/>
    </row>
    <row r="422" spans="1:44" ht="15.75" customHeight="1" x14ac:dyDescent="0.25">
      <c r="A422" s="64"/>
      <c r="B422" s="62"/>
      <c r="C422" s="62"/>
      <c r="D422" s="62"/>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8"/>
      <c r="AI422" s="58"/>
      <c r="AJ422" s="58"/>
      <c r="AK422" s="58"/>
      <c r="AL422" s="58"/>
      <c r="AM422" s="58"/>
      <c r="AN422" s="58"/>
      <c r="AO422" s="58"/>
      <c r="AP422" s="58"/>
      <c r="AQ422" s="58"/>
      <c r="AR422" s="58"/>
    </row>
    <row r="423" spans="1:44" ht="15.75" customHeight="1" x14ac:dyDescent="0.25">
      <c r="A423" s="64"/>
      <c r="B423" s="62"/>
      <c r="C423" s="62"/>
      <c r="D423" s="62"/>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c r="AG423" s="58"/>
      <c r="AH423" s="58"/>
      <c r="AI423" s="58"/>
      <c r="AJ423" s="58"/>
      <c r="AK423" s="58"/>
      <c r="AL423" s="58"/>
      <c r="AM423" s="58"/>
      <c r="AN423" s="58"/>
      <c r="AO423" s="58"/>
      <c r="AP423" s="58"/>
      <c r="AQ423" s="58"/>
      <c r="AR423" s="58"/>
    </row>
    <row r="424" spans="1:44" ht="15.75" customHeight="1" x14ac:dyDescent="0.25">
      <c r="A424" s="64"/>
      <c r="B424" s="62"/>
      <c r="C424" s="62"/>
      <c r="D424" s="62"/>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c r="AG424" s="58"/>
      <c r="AH424" s="58"/>
      <c r="AI424" s="58"/>
      <c r="AJ424" s="58"/>
      <c r="AK424" s="58"/>
      <c r="AL424" s="58"/>
      <c r="AM424" s="58"/>
      <c r="AN424" s="58"/>
      <c r="AO424" s="58"/>
      <c r="AP424" s="58"/>
      <c r="AQ424" s="58"/>
      <c r="AR424" s="58"/>
    </row>
    <row r="425" spans="1:44" ht="15.75" customHeight="1" x14ac:dyDescent="0.25">
      <c r="A425" s="64"/>
      <c r="B425" s="62"/>
      <c r="C425" s="62"/>
      <c r="D425" s="62"/>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8"/>
      <c r="AI425" s="58"/>
      <c r="AJ425" s="58"/>
      <c r="AK425" s="58"/>
      <c r="AL425" s="58"/>
      <c r="AM425" s="58"/>
      <c r="AN425" s="58"/>
      <c r="AO425" s="58"/>
      <c r="AP425" s="58"/>
      <c r="AQ425" s="58"/>
      <c r="AR425" s="58"/>
    </row>
    <row r="426" spans="1:44" ht="15.75" customHeight="1" x14ac:dyDescent="0.25">
      <c r="A426" s="64"/>
      <c r="B426" s="62"/>
      <c r="C426" s="62"/>
      <c r="D426" s="62"/>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c r="AG426" s="58"/>
      <c r="AH426" s="58"/>
      <c r="AI426" s="58"/>
      <c r="AJ426" s="58"/>
      <c r="AK426" s="58"/>
      <c r="AL426" s="58"/>
      <c r="AM426" s="58"/>
      <c r="AN426" s="58"/>
      <c r="AO426" s="58"/>
      <c r="AP426" s="58"/>
      <c r="AQ426" s="58"/>
      <c r="AR426" s="58"/>
    </row>
    <row r="427" spans="1:44" ht="15.75" customHeight="1" x14ac:dyDescent="0.25">
      <c r="A427" s="64"/>
      <c r="B427" s="62"/>
      <c r="C427" s="62"/>
      <c r="D427" s="62"/>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c r="AG427" s="58"/>
      <c r="AH427" s="58"/>
      <c r="AI427" s="58"/>
      <c r="AJ427" s="58"/>
      <c r="AK427" s="58"/>
      <c r="AL427" s="58"/>
      <c r="AM427" s="58"/>
      <c r="AN427" s="58"/>
      <c r="AO427" s="58"/>
      <c r="AP427" s="58"/>
      <c r="AQ427" s="58"/>
      <c r="AR427" s="58"/>
    </row>
    <row r="428" spans="1:44" ht="15.75" customHeight="1" x14ac:dyDescent="0.25">
      <c r="A428" s="64"/>
      <c r="B428" s="62"/>
      <c r="C428" s="62"/>
      <c r="D428" s="62"/>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8"/>
      <c r="AI428" s="58"/>
      <c r="AJ428" s="58"/>
      <c r="AK428" s="58"/>
      <c r="AL428" s="58"/>
      <c r="AM428" s="58"/>
      <c r="AN428" s="58"/>
      <c r="AO428" s="58"/>
      <c r="AP428" s="58"/>
      <c r="AQ428" s="58"/>
      <c r="AR428" s="58"/>
    </row>
    <row r="429" spans="1:44" ht="15.75" customHeight="1" x14ac:dyDescent="0.25">
      <c r="A429" s="64"/>
      <c r="B429" s="62"/>
      <c r="C429" s="62"/>
      <c r="D429" s="62"/>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c r="AG429" s="58"/>
      <c r="AH429" s="58"/>
      <c r="AI429" s="58"/>
      <c r="AJ429" s="58"/>
      <c r="AK429" s="58"/>
      <c r="AL429" s="58"/>
      <c r="AM429" s="58"/>
      <c r="AN429" s="58"/>
      <c r="AO429" s="58"/>
      <c r="AP429" s="58"/>
      <c r="AQ429" s="58"/>
      <c r="AR429" s="58"/>
    </row>
    <row r="430" spans="1:44" ht="15.75" customHeight="1" x14ac:dyDescent="0.25">
      <c r="A430" s="64"/>
      <c r="B430" s="62"/>
      <c r="C430" s="62"/>
      <c r="D430" s="62"/>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c r="AE430" s="58"/>
      <c r="AF430" s="58"/>
      <c r="AG430" s="58"/>
      <c r="AH430" s="58"/>
      <c r="AI430" s="58"/>
      <c r="AJ430" s="58"/>
      <c r="AK430" s="58"/>
      <c r="AL430" s="58"/>
      <c r="AM430" s="58"/>
      <c r="AN430" s="58"/>
      <c r="AO430" s="58"/>
      <c r="AP430" s="58"/>
      <c r="AQ430" s="58"/>
      <c r="AR430" s="58"/>
    </row>
    <row r="431" spans="1:44" ht="15.75" customHeight="1" x14ac:dyDescent="0.25">
      <c r="A431" s="64"/>
      <c r="B431" s="62"/>
      <c r="C431" s="62"/>
      <c r="D431" s="62"/>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8"/>
      <c r="AI431" s="58"/>
      <c r="AJ431" s="58"/>
      <c r="AK431" s="58"/>
      <c r="AL431" s="58"/>
      <c r="AM431" s="58"/>
      <c r="AN431" s="58"/>
      <c r="AO431" s="58"/>
      <c r="AP431" s="58"/>
      <c r="AQ431" s="58"/>
      <c r="AR431" s="58"/>
    </row>
    <row r="432" spans="1:44" ht="15.75" customHeight="1" x14ac:dyDescent="0.25">
      <c r="A432" s="64"/>
      <c r="B432" s="62"/>
      <c r="C432" s="62"/>
      <c r="D432" s="62"/>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c r="AE432" s="58"/>
      <c r="AF432" s="58"/>
      <c r="AG432" s="58"/>
      <c r="AH432" s="58"/>
      <c r="AI432" s="58"/>
      <c r="AJ432" s="58"/>
      <c r="AK432" s="58"/>
      <c r="AL432" s="58"/>
      <c r="AM432" s="58"/>
      <c r="AN432" s="58"/>
      <c r="AO432" s="58"/>
      <c r="AP432" s="58"/>
      <c r="AQ432" s="58"/>
      <c r="AR432" s="58"/>
    </row>
    <row r="433" spans="1:44" ht="15.75" customHeight="1" x14ac:dyDescent="0.25">
      <c r="A433" s="64"/>
      <c r="B433" s="62"/>
      <c r="C433" s="62"/>
      <c r="D433" s="62"/>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8"/>
      <c r="AI433" s="58"/>
      <c r="AJ433" s="58"/>
      <c r="AK433" s="58"/>
      <c r="AL433" s="58"/>
      <c r="AM433" s="58"/>
      <c r="AN433" s="58"/>
      <c r="AO433" s="58"/>
      <c r="AP433" s="58"/>
      <c r="AQ433" s="58"/>
      <c r="AR433" s="58"/>
    </row>
    <row r="434" spans="1:44" ht="15.75" customHeight="1" x14ac:dyDescent="0.25">
      <c r="A434" s="64"/>
      <c r="B434" s="62"/>
      <c r="C434" s="62"/>
      <c r="D434" s="62"/>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58"/>
      <c r="AK434" s="58"/>
      <c r="AL434" s="58"/>
      <c r="AM434" s="58"/>
      <c r="AN434" s="58"/>
      <c r="AO434" s="58"/>
      <c r="AP434" s="58"/>
      <c r="AQ434" s="58"/>
      <c r="AR434" s="58"/>
    </row>
    <row r="435" spans="1:44" ht="15.75" customHeight="1" x14ac:dyDescent="0.25">
      <c r="A435" s="64"/>
      <c r="B435" s="62"/>
      <c r="C435" s="62"/>
      <c r="D435" s="62"/>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8"/>
      <c r="AI435" s="58"/>
      <c r="AJ435" s="58"/>
      <c r="AK435" s="58"/>
      <c r="AL435" s="58"/>
      <c r="AM435" s="58"/>
      <c r="AN435" s="58"/>
      <c r="AO435" s="58"/>
      <c r="AP435" s="58"/>
      <c r="AQ435" s="58"/>
      <c r="AR435" s="58"/>
    </row>
    <row r="436" spans="1:44" ht="15.75" customHeight="1" x14ac:dyDescent="0.25">
      <c r="A436" s="64"/>
      <c r="B436" s="62"/>
      <c r="C436" s="62"/>
      <c r="D436" s="62"/>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8"/>
      <c r="AI436" s="58"/>
      <c r="AJ436" s="58"/>
      <c r="AK436" s="58"/>
      <c r="AL436" s="58"/>
      <c r="AM436" s="58"/>
      <c r="AN436" s="58"/>
      <c r="AO436" s="58"/>
      <c r="AP436" s="58"/>
      <c r="AQ436" s="58"/>
      <c r="AR436" s="58"/>
    </row>
    <row r="437" spans="1:44" ht="15.75" customHeight="1" x14ac:dyDescent="0.25">
      <c r="A437" s="64"/>
      <c r="B437" s="62"/>
      <c r="C437" s="62"/>
      <c r="D437" s="62"/>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58"/>
      <c r="AK437" s="58"/>
      <c r="AL437" s="58"/>
      <c r="AM437" s="58"/>
      <c r="AN437" s="58"/>
      <c r="AO437" s="58"/>
      <c r="AP437" s="58"/>
      <c r="AQ437" s="58"/>
      <c r="AR437" s="58"/>
    </row>
    <row r="438" spans="1:44" ht="15.75" customHeight="1" x14ac:dyDescent="0.25">
      <c r="A438" s="64"/>
      <c r="B438" s="62"/>
      <c r="C438" s="62"/>
      <c r="D438" s="62"/>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c r="AI438" s="58"/>
      <c r="AJ438" s="58"/>
      <c r="AK438" s="58"/>
      <c r="AL438" s="58"/>
      <c r="AM438" s="58"/>
      <c r="AN438" s="58"/>
      <c r="AO438" s="58"/>
      <c r="AP438" s="58"/>
      <c r="AQ438" s="58"/>
      <c r="AR438" s="58"/>
    </row>
    <row r="439" spans="1:44" ht="15.75" customHeight="1" x14ac:dyDescent="0.25">
      <c r="A439" s="64"/>
      <c r="B439" s="62"/>
      <c r="C439" s="62"/>
      <c r="D439" s="62"/>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8"/>
      <c r="AI439" s="58"/>
      <c r="AJ439" s="58"/>
      <c r="AK439" s="58"/>
      <c r="AL439" s="58"/>
      <c r="AM439" s="58"/>
      <c r="AN439" s="58"/>
      <c r="AO439" s="58"/>
      <c r="AP439" s="58"/>
      <c r="AQ439" s="58"/>
      <c r="AR439" s="58"/>
    </row>
    <row r="440" spans="1:44" ht="15.75" customHeight="1" x14ac:dyDescent="0.25">
      <c r="A440" s="64"/>
      <c r="B440" s="62"/>
      <c r="C440" s="62"/>
      <c r="D440" s="62"/>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58"/>
      <c r="AK440" s="58"/>
      <c r="AL440" s="58"/>
      <c r="AM440" s="58"/>
      <c r="AN440" s="58"/>
      <c r="AO440" s="58"/>
      <c r="AP440" s="58"/>
      <c r="AQ440" s="58"/>
      <c r="AR440" s="58"/>
    </row>
    <row r="441" spans="1:44" ht="15.75" customHeight="1" x14ac:dyDescent="0.25">
      <c r="A441" s="64"/>
      <c r="B441" s="62"/>
      <c r="C441" s="62"/>
      <c r="D441" s="62"/>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8"/>
      <c r="AI441" s="58"/>
      <c r="AJ441" s="58"/>
      <c r="AK441" s="58"/>
      <c r="AL441" s="58"/>
      <c r="AM441" s="58"/>
      <c r="AN441" s="58"/>
      <c r="AO441" s="58"/>
      <c r="AP441" s="58"/>
      <c r="AQ441" s="58"/>
      <c r="AR441" s="58"/>
    </row>
    <row r="442" spans="1:44" ht="15.75" customHeight="1" x14ac:dyDescent="0.25">
      <c r="A442" s="64"/>
      <c r="B442" s="62"/>
      <c r="C442" s="62"/>
      <c r="D442" s="62"/>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8"/>
      <c r="AI442" s="58"/>
      <c r="AJ442" s="58"/>
      <c r="AK442" s="58"/>
      <c r="AL442" s="58"/>
      <c r="AM442" s="58"/>
      <c r="AN442" s="58"/>
      <c r="AO442" s="58"/>
      <c r="AP442" s="58"/>
      <c r="AQ442" s="58"/>
      <c r="AR442" s="58"/>
    </row>
    <row r="443" spans="1:44" ht="15.75" customHeight="1" x14ac:dyDescent="0.25">
      <c r="A443" s="64"/>
      <c r="B443" s="62"/>
      <c r="C443" s="62"/>
      <c r="D443" s="62"/>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58"/>
      <c r="AK443" s="58"/>
      <c r="AL443" s="58"/>
      <c r="AM443" s="58"/>
      <c r="AN443" s="58"/>
      <c r="AO443" s="58"/>
      <c r="AP443" s="58"/>
      <c r="AQ443" s="58"/>
      <c r="AR443" s="58"/>
    </row>
    <row r="444" spans="1:44" ht="15.75" customHeight="1" x14ac:dyDescent="0.25">
      <c r="A444" s="64"/>
      <c r="B444" s="62"/>
      <c r="C444" s="62"/>
      <c r="D444" s="62"/>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8"/>
      <c r="AI444" s="58"/>
      <c r="AJ444" s="58"/>
      <c r="AK444" s="58"/>
      <c r="AL444" s="58"/>
      <c r="AM444" s="58"/>
      <c r="AN444" s="58"/>
      <c r="AO444" s="58"/>
      <c r="AP444" s="58"/>
      <c r="AQ444" s="58"/>
      <c r="AR444" s="58"/>
    </row>
    <row r="445" spans="1:44" ht="15.75" customHeight="1" x14ac:dyDescent="0.25">
      <c r="A445" s="64"/>
      <c r="B445" s="62"/>
      <c r="C445" s="62"/>
      <c r="D445" s="62"/>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8"/>
      <c r="AI445" s="58"/>
      <c r="AJ445" s="58"/>
      <c r="AK445" s="58"/>
      <c r="AL445" s="58"/>
      <c r="AM445" s="58"/>
      <c r="AN445" s="58"/>
      <c r="AO445" s="58"/>
      <c r="AP445" s="58"/>
      <c r="AQ445" s="58"/>
      <c r="AR445" s="58"/>
    </row>
    <row r="446" spans="1:44" ht="15.75" customHeight="1" x14ac:dyDescent="0.25">
      <c r="A446" s="64"/>
      <c r="B446" s="62"/>
      <c r="C446" s="62"/>
      <c r="D446" s="62"/>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58"/>
      <c r="AK446" s="58"/>
      <c r="AL446" s="58"/>
      <c r="AM446" s="58"/>
      <c r="AN446" s="58"/>
      <c r="AO446" s="58"/>
      <c r="AP446" s="58"/>
      <c r="AQ446" s="58"/>
      <c r="AR446" s="58"/>
    </row>
    <row r="447" spans="1:44" ht="15.75" customHeight="1" x14ac:dyDescent="0.25">
      <c r="A447" s="64"/>
      <c r="B447" s="62"/>
      <c r="C447" s="62"/>
      <c r="D447" s="62"/>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8"/>
      <c r="AI447" s="58"/>
      <c r="AJ447" s="58"/>
      <c r="AK447" s="58"/>
      <c r="AL447" s="58"/>
      <c r="AM447" s="58"/>
      <c r="AN447" s="58"/>
      <c r="AO447" s="58"/>
      <c r="AP447" s="58"/>
      <c r="AQ447" s="58"/>
      <c r="AR447" s="58"/>
    </row>
    <row r="448" spans="1:44" ht="15.75" customHeight="1" x14ac:dyDescent="0.25">
      <c r="A448" s="64"/>
      <c r="B448" s="62"/>
      <c r="C448" s="62"/>
      <c r="D448" s="62"/>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8"/>
      <c r="AI448" s="58"/>
      <c r="AJ448" s="58"/>
      <c r="AK448" s="58"/>
      <c r="AL448" s="58"/>
      <c r="AM448" s="58"/>
      <c r="AN448" s="58"/>
      <c r="AO448" s="58"/>
      <c r="AP448" s="58"/>
      <c r="AQ448" s="58"/>
      <c r="AR448" s="58"/>
    </row>
    <row r="449" spans="1:44" ht="15.75" customHeight="1" x14ac:dyDescent="0.25">
      <c r="A449" s="64"/>
      <c r="B449" s="62"/>
      <c r="C449" s="62"/>
      <c r="D449" s="62"/>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58"/>
      <c r="AK449" s="58"/>
      <c r="AL449" s="58"/>
      <c r="AM449" s="58"/>
      <c r="AN449" s="58"/>
      <c r="AO449" s="58"/>
      <c r="AP449" s="58"/>
      <c r="AQ449" s="58"/>
      <c r="AR449" s="58"/>
    </row>
    <row r="450" spans="1:44" ht="15.75" customHeight="1" x14ac:dyDescent="0.25">
      <c r="A450" s="64"/>
      <c r="B450" s="62"/>
      <c r="C450" s="62"/>
      <c r="D450" s="62"/>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8"/>
      <c r="AI450" s="58"/>
      <c r="AJ450" s="58"/>
      <c r="AK450" s="58"/>
      <c r="AL450" s="58"/>
      <c r="AM450" s="58"/>
      <c r="AN450" s="58"/>
      <c r="AO450" s="58"/>
      <c r="AP450" s="58"/>
      <c r="AQ450" s="58"/>
      <c r="AR450" s="58"/>
    </row>
    <row r="451" spans="1:44" ht="15.75" customHeight="1" x14ac:dyDescent="0.25">
      <c r="A451" s="64"/>
      <c r="B451" s="62"/>
      <c r="C451" s="62"/>
      <c r="D451" s="62"/>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8"/>
      <c r="AI451" s="58"/>
      <c r="AJ451" s="58"/>
      <c r="AK451" s="58"/>
      <c r="AL451" s="58"/>
      <c r="AM451" s="58"/>
      <c r="AN451" s="58"/>
      <c r="AO451" s="58"/>
      <c r="AP451" s="58"/>
      <c r="AQ451" s="58"/>
      <c r="AR451" s="58"/>
    </row>
    <row r="452" spans="1:44" ht="15.75" customHeight="1" x14ac:dyDescent="0.25">
      <c r="A452" s="64"/>
      <c r="B452" s="62"/>
      <c r="C452" s="62"/>
      <c r="D452" s="62"/>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58"/>
      <c r="AK452" s="58"/>
      <c r="AL452" s="58"/>
      <c r="AM452" s="58"/>
      <c r="AN452" s="58"/>
      <c r="AO452" s="58"/>
      <c r="AP452" s="58"/>
      <c r="AQ452" s="58"/>
      <c r="AR452" s="58"/>
    </row>
    <row r="453" spans="1:44" ht="15.75" customHeight="1" x14ac:dyDescent="0.25">
      <c r="A453" s="64"/>
      <c r="B453" s="62"/>
      <c r="C453" s="62"/>
      <c r="D453" s="62"/>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8"/>
      <c r="AI453" s="58"/>
      <c r="AJ453" s="58"/>
      <c r="AK453" s="58"/>
      <c r="AL453" s="58"/>
      <c r="AM453" s="58"/>
      <c r="AN453" s="58"/>
      <c r="AO453" s="58"/>
      <c r="AP453" s="58"/>
      <c r="AQ453" s="58"/>
      <c r="AR453" s="58"/>
    </row>
    <row r="454" spans="1:44" ht="15.75" customHeight="1" x14ac:dyDescent="0.25">
      <c r="A454" s="64"/>
      <c r="B454" s="62"/>
      <c r="C454" s="62"/>
      <c r="D454" s="62"/>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8"/>
      <c r="AI454" s="58"/>
      <c r="AJ454" s="58"/>
      <c r="AK454" s="58"/>
      <c r="AL454" s="58"/>
      <c r="AM454" s="58"/>
      <c r="AN454" s="58"/>
      <c r="AO454" s="58"/>
      <c r="AP454" s="58"/>
      <c r="AQ454" s="58"/>
      <c r="AR454" s="58"/>
    </row>
    <row r="455" spans="1:44" ht="15.75" customHeight="1" x14ac:dyDescent="0.25">
      <c r="A455" s="64"/>
      <c r="B455" s="62"/>
      <c r="C455" s="62"/>
      <c r="D455" s="62"/>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58"/>
      <c r="AK455" s="58"/>
      <c r="AL455" s="58"/>
      <c r="AM455" s="58"/>
      <c r="AN455" s="58"/>
      <c r="AO455" s="58"/>
      <c r="AP455" s="58"/>
      <c r="AQ455" s="58"/>
      <c r="AR455" s="58"/>
    </row>
    <row r="456" spans="1:44" ht="15.75" customHeight="1" x14ac:dyDescent="0.25">
      <c r="A456" s="64"/>
      <c r="B456" s="62"/>
      <c r="C456" s="62"/>
      <c r="D456" s="62"/>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8"/>
      <c r="AI456" s="58"/>
      <c r="AJ456" s="58"/>
      <c r="AK456" s="58"/>
      <c r="AL456" s="58"/>
      <c r="AM456" s="58"/>
      <c r="AN456" s="58"/>
      <c r="AO456" s="58"/>
      <c r="AP456" s="58"/>
      <c r="AQ456" s="58"/>
      <c r="AR456" s="58"/>
    </row>
    <row r="457" spans="1:44" ht="15.75" customHeight="1" x14ac:dyDescent="0.25">
      <c r="A457" s="64"/>
      <c r="B457" s="62"/>
      <c r="C457" s="62"/>
      <c r="D457" s="62"/>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8"/>
      <c r="AI457" s="58"/>
      <c r="AJ457" s="58"/>
      <c r="AK457" s="58"/>
      <c r="AL457" s="58"/>
      <c r="AM457" s="58"/>
      <c r="AN457" s="58"/>
      <c r="AO457" s="58"/>
      <c r="AP457" s="58"/>
      <c r="AQ457" s="58"/>
      <c r="AR457" s="58"/>
    </row>
    <row r="458" spans="1:44" ht="15.75" customHeight="1" x14ac:dyDescent="0.25">
      <c r="A458" s="64"/>
      <c r="B458" s="62"/>
      <c r="C458" s="62"/>
      <c r="D458" s="62"/>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58"/>
      <c r="AK458" s="58"/>
      <c r="AL458" s="58"/>
      <c r="AM458" s="58"/>
      <c r="AN458" s="58"/>
      <c r="AO458" s="58"/>
      <c r="AP458" s="58"/>
      <c r="AQ458" s="58"/>
      <c r="AR458" s="58"/>
    </row>
    <row r="459" spans="1:44" ht="15.75" customHeight="1" x14ac:dyDescent="0.25">
      <c r="A459" s="64"/>
      <c r="B459" s="62"/>
      <c r="C459" s="62"/>
      <c r="D459" s="62"/>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8"/>
      <c r="AI459" s="58"/>
      <c r="AJ459" s="58"/>
      <c r="AK459" s="58"/>
      <c r="AL459" s="58"/>
      <c r="AM459" s="58"/>
      <c r="AN459" s="58"/>
      <c r="AO459" s="58"/>
      <c r="AP459" s="58"/>
      <c r="AQ459" s="58"/>
      <c r="AR459" s="58"/>
    </row>
    <row r="460" spans="1:44" ht="15.75" customHeight="1" x14ac:dyDescent="0.25">
      <c r="A460" s="64"/>
      <c r="B460" s="62"/>
      <c r="C460" s="62"/>
      <c r="D460" s="62"/>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8"/>
      <c r="AI460" s="58"/>
      <c r="AJ460" s="58"/>
      <c r="AK460" s="58"/>
      <c r="AL460" s="58"/>
      <c r="AM460" s="58"/>
      <c r="AN460" s="58"/>
      <c r="AO460" s="58"/>
      <c r="AP460" s="58"/>
      <c r="AQ460" s="58"/>
      <c r="AR460" s="58"/>
    </row>
    <row r="461" spans="1:44" ht="15.75" customHeight="1" x14ac:dyDescent="0.25">
      <c r="A461" s="64"/>
      <c r="B461" s="62"/>
      <c r="C461" s="62"/>
      <c r="D461" s="62"/>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58"/>
      <c r="AK461" s="58"/>
      <c r="AL461" s="58"/>
      <c r="AM461" s="58"/>
      <c r="AN461" s="58"/>
      <c r="AO461" s="58"/>
      <c r="AP461" s="58"/>
      <c r="AQ461" s="58"/>
      <c r="AR461" s="58"/>
    </row>
    <row r="462" spans="1:44" ht="15.75" customHeight="1" x14ac:dyDescent="0.25">
      <c r="A462" s="64"/>
      <c r="B462" s="62"/>
      <c r="C462" s="62"/>
      <c r="D462" s="62"/>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8"/>
      <c r="AI462" s="58"/>
      <c r="AJ462" s="58"/>
      <c r="AK462" s="58"/>
      <c r="AL462" s="58"/>
      <c r="AM462" s="58"/>
      <c r="AN462" s="58"/>
      <c r="AO462" s="58"/>
      <c r="AP462" s="58"/>
      <c r="AQ462" s="58"/>
      <c r="AR462" s="58"/>
    </row>
    <row r="463" spans="1:44" ht="15.75" customHeight="1" x14ac:dyDescent="0.25">
      <c r="A463" s="64"/>
      <c r="B463" s="62"/>
      <c r="C463" s="62"/>
      <c r="D463" s="62"/>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8"/>
      <c r="AI463" s="58"/>
      <c r="AJ463" s="58"/>
      <c r="AK463" s="58"/>
      <c r="AL463" s="58"/>
      <c r="AM463" s="58"/>
      <c r="AN463" s="58"/>
      <c r="AO463" s="58"/>
      <c r="AP463" s="58"/>
      <c r="AQ463" s="58"/>
      <c r="AR463" s="58"/>
    </row>
    <row r="464" spans="1:44" ht="15.75" customHeight="1" x14ac:dyDescent="0.25">
      <c r="A464" s="64"/>
      <c r="B464" s="62"/>
      <c r="C464" s="62"/>
      <c r="D464" s="62"/>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58"/>
      <c r="AK464" s="58"/>
      <c r="AL464" s="58"/>
      <c r="AM464" s="58"/>
      <c r="AN464" s="58"/>
      <c r="AO464" s="58"/>
      <c r="AP464" s="58"/>
      <c r="AQ464" s="58"/>
      <c r="AR464" s="58"/>
    </row>
    <row r="465" spans="1:44" ht="15.75" customHeight="1" x14ac:dyDescent="0.25">
      <c r="A465" s="64"/>
      <c r="B465" s="62"/>
      <c r="C465" s="62"/>
      <c r="D465" s="62"/>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8"/>
      <c r="AI465" s="58"/>
      <c r="AJ465" s="58"/>
      <c r="AK465" s="58"/>
      <c r="AL465" s="58"/>
      <c r="AM465" s="58"/>
      <c r="AN465" s="58"/>
      <c r="AO465" s="58"/>
      <c r="AP465" s="58"/>
      <c r="AQ465" s="58"/>
      <c r="AR465" s="58"/>
    </row>
    <row r="466" spans="1:44" ht="15.75" customHeight="1" x14ac:dyDescent="0.25">
      <c r="A466" s="64"/>
      <c r="B466" s="62"/>
      <c r="C466" s="62"/>
      <c r="D466" s="62"/>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8"/>
      <c r="AI466" s="58"/>
      <c r="AJ466" s="58"/>
      <c r="AK466" s="58"/>
      <c r="AL466" s="58"/>
      <c r="AM466" s="58"/>
      <c r="AN466" s="58"/>
      <c r="AO466" s="58"/>
      <c r="AP466" s="58"/>
      <c r="AQ466" s="58"/>
      <c r="AR466" s="58"/>
    </row>
    <row r="467" spans="1:44" ht="15.75" customHeight="1" x14ac:dyDescent="0.25">
      <c r="A467" s="64"/>
      <c r="B467" s="62"/>
      <c r="C467" s="62"/>
      <c r="D467" s="62"/>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58"/>
      <c r="AK467" s="58"/>
      <c r="AL467" s="58"/>
      <c r="AM467" s="58"/>
      <c r="AN467" s="58"/>
      <c r="AO467" s="58"/>
      <c r="AP467" s="58"/>
      <c r="AQ467" s="58"/>
      <c r="AR467" s="58"/>
    </row>
    <row r="468" spans="1:44" ht="15.75" customHeight="1" x14ac:dyDescent="0.25">
      <c r="A468" s="64"/>
      <c r="B468" s="62"/>
      <c r="C468" s="62"/>
      <c r="D468" s="62"/>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8"/>
      <c r="AI468" s="58"/>
      <c r="AJ468" s="58"/>
      <c r="AK468" s="58"/>
      <c r="AL468" s="58"/>
      <c r="AM468" s="58"/>
      <c r="AN468" s="58"/>
      <c r="AO468" s="58"/>
      <c r="AP468" s="58"/>
      <c r="AQ468" s="58"/>
      <c r="AR468" s="58"/>
    </row>
    <row r="469" spans="1:44" ht="15.75" customHeight="1" x14ac:dyDescent="0.25">
      <c r="A469" s="64"/>
      <c r="B469" s="62"/>
      <c r="C469" s="62"/>
      <c r="D469" s="62"/>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8"/>
      <c r="AI469" s="58"/>
      <c r="AJ469" s="58"/>
      <c r="AK469" s="58"/>
      <c r="AL469" s="58"/>
      <c r="AM469" s="58"/>
      <c r="AN469" s="58"/>
      <c r="AO469" s="58"/>
      <c r="AP469" s="58"/>
      <c r="AQ469" s="58"/>
      <c r="AR469" s="58"/>
    </row>
    <row r="470" spans="1:44" ht="15.75" customHeight="1" x14ac:dyDescent="0.25">
      <c r="A470" s="64"/>
      <c r="B470" s="62"/>
      <c r="C470" s="62"/>
      <c r="D470" s="62"/>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58"/>
      <c r="AK470" s="58"/>
      <c r="AL470" s="58"/>
      <c r="AM470" s="58"/>
      <c r="AN470" s="58"/>
      <c r="AO470" s="58"/>
      <c r="AP470" s="58"/>
      <c r="AQ470" s="58"/>
      <c r="AR470" s="58"/>
    </row>
    <row r="471" spans="1:44" ht="15.75" customHeight="1" x14ac:dyDescent="0.25">
      <c r="A471" s="64"/>
      <c r="B471" s="62"/>
      <c r="C471" s="62"/>
      <c r="D471" s="62"/>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c r="AG471" s="58"/>
      <c r="AH471" s="58"/>
      <c r="AI471" s="58"/>
      <c r="AJ471" s="58"/>
      <c r="AK471" s="58"/>
      <c r="AL471" s="58"/>
      <c r="AM471" s="58"/>
      <c r="AN471" s="58"/>
      <c r="AO471" s="58"/>
      <c r="AP471" s="58"/>
      <c r="AQ471" s="58"/>
      <c r="AR471" s="58"/>
    </row>
    <row r="472" spans="1:44" ht="15.75" customHeight="1" x14ac:dyDescent="0.25">
      <c r="A472" s="64"/>
      <c r="B472" s="62"/>
      <c r="C472" s="62"/>
      <c r="D472" s="62"/>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c r="AG472" s="58"/>
      <c r="AH472" s="58"/>
      <c r="AI472" s="58"/>
      <c r="AJ472" s="58"/>
      <c r="AK472" s="58"/>
      <c r="AL472" s="58"/>
      <c r="AM472" s="58"/>
      <c r="AN472" s="58"/>
      <c r="AO472" s="58"/>
      <c r="AP472" s="58"/>
      <c r="AQ472" s="58"/>
      <c r="AR472" s="58"/>
    </row>
    <row r="473" spans="1:44" ht="15.75" customHeight="1" x14ac:dyDescent="0.25">
      <c r="A473" s="64"/>
      <c r="B473" s="62"/>
      <c r="C473" s="62"/>
      <c r="D473" s="62"/>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8"/>
      <c r="AI473" s="58"/>
      <c r="AJ473" s="58"/>
      <c r="AK473" s="58"/>
      <c r="AL473" s="58"/>
      <c r="AM473" s="58"/>
      <c r="AN473" s="58"/>
      <c r="AO473" s="58"/>
      <c r="AP473" s="58"/>
      <c r="AQ473" s="58"/>
      <c r="AR473" s="58"/>
    </row>
    <row r="474" spans="1:44" ht="15.75" customHeight="1" x14ac:dyDescent="0.25">
      <c r="A474" s="64"/>
      <c r="B474" s="62"/>
      <c r="C474" s="62"/>
      <c r="D474" s="62"/>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c r="AE474" s="58"/>
      <c r="AF474" s="58"/>
      <c r="AG474" s="58"/>
      <c r="AH474" s="58"/>
      <c r="AI474" s="58"/>
      <c r="AJ474" s="58"/>
      <c r="AK474" s="58"/>
      <c r="AL474" s="58"/>
      <c r="AM474" s="58"/>
      <c r="AN474" s="58"/>
      <c r="AO474" s="58"/>
      <c r="AP474" s="58"/>
      <c r="AQ474" s="58"/>
      <c r="AR474" s="58"/>
    </row>
    <row r="475" spans="1:44" ht="15.75" customHeight="1" x14ac:dyDescent="0.25">
      <c r="A475" s="64"/>
      <c r="B475" s="62"/>
      <c r="C475" s="62"/>
      <c r="D475" s="62"/>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c r="AG475" s="58"/>
      <c r="AH475" s="58"/>
      <c r="AI475" s="58"/>
      <c r="AJ475" s="58"/>
      <c r="AK475" s="58"/>
      <c r="AL475" s="58"/>
      <c r="AM475" s="58"/>
      <c r="AN475" s="58"/>
      <c r="AO475" s="58"/>
      <c r="AP475" s="58"/>
      <c r="AQ475" s="58"/>
      <c r="AR475" s="58"/>
    </row>
    <row r="476" spans="1:44" ht="15.75" customHeight="1" x14ac:dyDescent="0.25">
      <c r="A476" s="64"/>
      <c r="B476" s="62"/>
      <c r="C476" s="62"/>
      <c r="D476" s="62"/>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8"/>
      <c r="AI476" s="58"/>
      <c r="AJ476" s="58"/>
      <c r="AK476" s="58"/>
      <c r="AL476" s="58"/>
      <c r="AM476" s="58"/>
      <c r="AN476" s="58"/>
      <c r="AO476" s="58"/>
      <c r="AP476" s="58"/>
      <c r="AQ476" s="58"/>
      <c r="AR476" s="58"/>
    </row>
    <row r="477" spans="1:44" ht="15.75" customHeight="1" x14ac:dyDescent="0.25">
      <c r="A477" s="64"/>
      <c r="B477" s="62"/>
      <c r="C477" s="62"/>
      <c r="D477" s="62"/>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c r="AG477" s="58"/>
      <c r="AH477" s="58"/>
      <c r="AI477" s="58"/>
      <c r="AJ477" s="58"/>
      <c r="AK477" s="58"/>
      <c r="AL477" s="58"/>
      <c r="AM477" s="58"/>
      <c r="AN477" s="58"/>
      <c r="AO477" s="58"/>
      <c r="AP477" s="58"/>
      <c r="AQ477" s="58"/>
      <c r="AR477" s="58"/>
    </row>
    <row r="478" spans="1:44" ht="15.75" customHeight="1" x14ac:dyDescent="0.25">
      <c r="A478" s="64"/>
      <c r="B478" s="62"/>
      <c r="C478" s="62"/>
      <c r="D478" s="62"/>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c r="AG478" s="58"/>
      <c r="AH478" s="58"/>
      <c r="AI478" s="58"/>
      <c r="AJ478" s="58"/>
      <c r="AK478" s="58"/>
      <c r="AL478" s="58"/>
      <c r="AM478" s="58"/>
      <c r="AN478" s="58"/>
      <c r="AO478" s="58"/>
      <c r="AP478" s="58"/>
      <c r="AQ478" s="58"/>
      <c r="AR478" s="58"/>
    </row>
    <row r="479" spans="1:44" ht="15.75" customHeight="1" x14ac:dyDescent="0.25">
      <c r="A479" s="64"/>
      <c r="B479" s="62"/>
      <c r="C479" s="62"/>
      <c r="D479" s="62"/>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8"/>
      <c r="AI479" s="58"/>
      <c r="AJ479" s="58"/>
      <c r="AK479" s="58"/>
      <c r="AL479" s="58"/>
      <c r="AM479" s="58"/>
      <c r="AN479" s="58"/>
      <c r="AO479" s="58"/>
      <c r="AP479" s="58"/>
      <c r="AQ479" s="58"/>
      <c r="AR479" s="58"/>
    </row>
    <row r="480" spans="1:44" ht="15.75" customHeight="1" x14ac:dyDescent="0.25">
      <c r="A480" s="64"/>
      <c r="B480" s="62"/>
      <c r="C480" s="62"/>
      <c r="D480" s="62"/>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c r="AG480" s="58"/>
      <c r="AH480" s="58"/>
      <c r="AI480" s="58"/>
      <c r="AJ480" s="58"/>
      <c r="AK480" s="58"/>
      <c r="AL480" s="58"/>
      <c r="AM480" s="58"/>
      <c r="AN480" s="58"/>
      <c r="AO480" s="58"/>
      <c r="AP480" s="58"/>
      <c r="AQ480" s="58"/>
      <c r="AR480" s="58"/>
    </row>
    <row r="481" spans="1:44" ht="15.75" customHeight="1" x14ac:dyDescent="0.25">
      <c r="A481" s="64"/>
      <c r="B481" s="62"/>
      <c r="C481" s="62"/>
      <c r="D481" s="62"/>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c r="AG481" s="58"/>
      <c r="AH481" s="58"/>
      <c r="AI481" s="58"/>
      <c r="AJ481" s="58"/>
      <c r="AK481" s="58"/>
      <c r="AL481" s="58"/>
      <c r="AM481" s="58"/>
      <c r="AN481" s="58"/>
      <c r="AO481" s="58"/>
      <c r="AP481" s="58"/>
      <c r="AQ481" s="58"/>
      <c r="AR481" s="58"/>
    </row>
    <row r="482" spans="1:44" ht="15.75" customHeight="1" x14ac:dyDescent="0.25">
      <c r="A482" s="64"/>
      <c r="B482" s="62"/>
      <c r="C482" s="62"/>
      <c r="D482" s="62"/>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8"/>
      <c r="AI482" s="58"/>
      <c r="AJ482" s="58"/>
      <c r="AK482" s="58"/>
      <c r="AL482" s="58"/>
      <c r="AM482" s="58"/>
      <c r="AN482" s="58"/>
      <c r="AO482" s="58"/>
      <c r="AP482" s="58"/>
      <c r="AQ482" s="58"/>
      <c r="AR482" s="58"/>
    </row>
    <row r="483" spans="1:44" ht="15.75" customHeight="1" x14ac:dyDescent="0.25">
      <c r="A483" s="64"/>
      <c r="B483" s="62"/>
      <c r="C483" s="62"/>
      <c r="D483" s="62"/>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c r="AG483" s="58"/>
      <c r="AH483" s="58"/>
      <c r="AI483" s="58"/>
      <c r="AJ483" s="58"/>
      <c r="AK483" s="58"/>
      <c r="AL483" s="58"/>
      <c r="AM483" s="58"/>
      <c r="AN483" s="58"/>
      <c r="AO483" s="58"/>
      <c r="AP483" s="58"/>
      <c r="AQ483" s="58"/>
      <c r="AR483" s="58"/>
    </row>
    <row r="484" spans="1:44" ht="15.75" customHeight="1" x14ac:dyDescent="0.25">
      <c r="A484" s="64"/>
      <c r="B484" s="62"/>
      <c r="C484" s="62"/>
      <c r="D484" s="62"/>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c r="AE484" s="58"/>
      <c r="AF484" s="58"/>
      <c r="AG484" s="58"/>
      <c r="AH484" s="58"/>
      <c r="AI484" s="58"/>
      <c r="AJ484" s="58"/>
      <c r="AK484" s="58"/>
      <c r="AL484" s="58"/>
      <c r="AM484" s="58"/>
      <c r="AN484" s="58"/>
      <c r="AO484" s="58"/>
      <c r="AP484" s="58"/>
      <c r="AQ484" s="58"/>
      <c r="AR484" s="58"/>
    </row>
    <row r="485" spans="1:44" ht="15.75" customHeight="1" x14ac:dyDescent="0.25">
      <c r="A485" s="64"/>
      <c r="B485" s="62"/>
      <c r="C485" s="62"/>
      <c r="D485" s="62"/>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8"/>
      <c r="AI485" s="58"/>
      <c r="AJ485" s="58"/>
      <c r="AK485" s="58"/>
      <c r="AL485" s="58"/>
      <c r="AM485" s="58"/>
      <c r="AN485" s="58"/>
      <c r="AO485" s="58"/>
      <c r="AP485" s="58"/>
      <c r="AQ485" s="58"/>
      <c r="AR485" s="58"/>
    </row>
    <row r="486" spans="1:44" ht="15.75" customHeight="1" x14ac:dyDescent="0.25">
      <c r="A486" s="64"/>
      <c r="B486" s="62"/>
      <c r="C486" s="62"/>
      <c r="D486" s="62"/>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c r="AE486" s="58"/>
      <c r="AF486" s="58"/>
      <c r="AG486" s="58"/>
      <c r="AH486" s="58"/>
      <c r="AI486" s="58"/>
      <c r="AJ486" s="58"/>
      <c r="AK486" s="58"/>
      <c r="AL486" s="58"/>
      <c r="AM486" s="58"/>
      <c r="AN486" s="58"/>
      <c r="AO486" s="58"/>
      <c r="AP486" s="58"/>
      <c r="AQ486" s="58"/>
      <c r="AR486" s="58"/>
    </row>
    <row r="487" spans="1:44" ht="15.75" customHeight="1" x14ac:dyDescent="0.25">
      <c r="A487" s="64"/>
      <c r="B487" s="62"/>
      <c r="C487" s="62"/>
      <c r="D487" s="62"/>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c r="AG487" s="58"/>
      <c r="AH487" s="58"/>
      <c r="AI487" s="58"/>
      <c r="AJ487" s="58"/>
      <c r="AK487" s="58"/>
      <c r="AL487" s="58"/>
      <c r="AM487" s="58"/>
      <c r="AN487" s="58"/>
      <c r="AO487" s="58"/>
      <c r="AP487" s="58"/>
      <c r="AQ487" s="58"/>
      <c r="AR487" s="58"/>
    </row>
    <row r="488" spans="1:44" ht="15.75" customHeight="1" x14ac:dyDescent="0.25">
      <c r="A488" s="64"/>
      <c r="B488" s="62"/>
      <c r="C488" s="62"/>
      <c r="D488" s="62"/>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8"/>
      <c r="AI488" s="58"/>
      <c r="AJ488" s="58"/>
      <c r="AK488" s="58"/>
      <c r="AL488" s="58"/>
      <c r="AM488" s="58"/>
      <c r="AN488" s="58"/>
      <c r="AO488" s="58"/>
      <c r="AP488" s="58"/>
      <c r="AQ488" s="58"/>
      <c r="AR488" s="58"/>
    </row>
    <row r="489" spans="1:44" ht="15.75" customHeight="1" x14ac:dyDescent="0.25">
      <c r="A489" s="64"/>
      <c r="B489" s="62"/>
      <c r="C489" s="62"/>
      <c r="D489" s="62"/>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c r="AE489" s="58"/>
      <c r="AF489" s="58"/>
      <c r="AG489" s="58"/>
      <c r="AH489" s="58"/>
      <c r="AI489" s="58"/>
      <c r="AJ489" s="58"/>
      <c r="AK489" s="58"/>
      <c r="AL489" s="58"/>
      <c r="AM489" s="58"/>
      <c r="AN489" s="58"/>
      <c r="AO489" s="58"/>
      <c r="AP489" s="58"/>
      <c r="AQ489" s="58"/>
      <c r="AR489" s="58"/>
    </row>
    <row r="490" spans="1:44" ht="15.75" customHeight="1" x14ac:dyDescent="0.25">
      <c r="A490" s="64"/>
      <c r="B490" s="62"/>
      <c r="C490" s="62"/>
      <c r="D490" s="62"/>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c r="AE490" s="58"/>
      <c r="AF490" s="58"/>
      <c r="AG490" s="58"/>
      <c r="AH490" s="58"/>
      <c r="AI490" s="58"/>
      <c r="AJ490" s="58"/>
      <c r="AK490" s="58"/>
      <c r="AL490" s="58"/>
      <c r="AM490" s="58"/>
      <c r="AN490" s="58"/>
      <c r="AO490" s="58"/>
      <c r="AP490" s="58"/>
      <c r="AQ490" s="58"/>
      <c r="AR490" s="58"/>
    </row>
    <row r="491" spans="1:44" ht="15.75" customHeight="1" x14ac:dyDescent="0.25">
      <c r="A491" s="64"/>
      <c r="B491" s="62"/>
      <c r="C491" s="62"/>
      <c r="D491" s="62"/>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8"/>
      <c r="AI491" s="58"/>
      <c r="AJ491" s="58"/>
      <c r="AK491" s="58"/>
      <c r="AL491" s="58"/>
      <c r="AM491" s="58"/>
      <c r="AN491" s="58"/>
      <c r="AO491" s="58"/>
      <c r="AP491" s="58"/>
      <c r="AQ491" s="58"/>
      <c r="AR491" s="58"/>
    </row>
    <row r="492" spans="1:44" ht="15.75" customHeight="1" x14ac:dyDescent="0.25">
      <c r="A492" s="64"/>
      <c r="B492" s="62"/>
      <c r="C492" s="62"/>
      <c r="D492" s="62"/>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c r="AG492" s="58"/>
      <c r="AH492" s="58"/>
      <c r="AI492" s="58"/>
      <c r="AJ492" s="58"/>
      <c r="AK492" s="58"/>
      <c r="AL492" s="58"/>
      <c r="AM492" s="58"/>
      <c r="AN492" s="58"/>
      <c r="AO492" s="58"/>
      <c r="AP492" s="58"/>
      <c r="AQ492" s="58"/>
      <c r="AR492" s="58"/>
    </row>
    <row r="493" spans="1:44" ht="15.75" customHeight="1" x14ac:dyDescent="0.25">
      <c r="A493" s="64"/>
      <c r="B493" s="62"/>
      <c r="C493" s="62"/>
      <c r="D493" s="62"/>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c r="AE493" s="58"/>
      <c r="AF493" s="58"/>
      <c r="AG493" s="58"/>
      <c r="AH493" s="58"/>
      <c r="AI493" s="58"/>
      <c r="AJ493" s="58"/>
      <c r="AK493" s="58"/>
      <c r="AL493" s="58"/>
      <c r="AM493" s="58"/>
      <c r="AN493" s="58"/>
      <c r="AO493" s="58"/>
      <c r="AP493" s="58"/>
      <c r="AQ493" s="58"/>
      <c r="AR493" s="58"/>
    </row>
    <row r="494" spans="1:44" ht="15.75" customHeight="1" x14ac:dyDescent="0.25">
      <c r="A494" s="64"/>
      <c r="B494" s="62"/>
      <c r="C494" s="62"/>
      <c r="D494" s="62"/>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8"/>
      <c r="AI494" s="58"/>
      <c r="AJ494" s="58"/>
      <c r="AK494" s="58"/>
      <c r="AL494" s="58"/>
      <c r="AM494" s="58"/>
      <c r="AN494" s="58"/>
      <c r="AO494" s="58"/>
      <c r="AP494" s="58"/>
      <c r="AQ494" s="58"/>
      <c r="AR494" s="58"/>
    </row>
    <row r="495" spans="1:44" ht="15.75" customHeight="1" x14ac:dyDescent="0.25">
      <c r="A495" s="64"/>
      <c r="B495" s="62"/>
      <c r="C495" s="62"/>
      <c r="D495" s="62"/>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c r="AG495" s="58"/>
      <c r="AH495" s="58"/>
      <c r="AI495" s="58"/>
      <c r="AJ495" s="58"/>
      <c r="AK495" s="58"/>
      <c r="AL495" s="58"/>
      <c r="AM495" s="58"/>
      <c r="AN495" s="58"/>
      <c r="AO495" s="58"/>
      <c r="AP495" s="58"/>
      <c r="AQ495" s="58"/>
      <c r="AR495" s="58"/>
    </row>
    <row r="496" spans="1:44" ht="15.75" customHeight="1" x14ac:dyDescent="0.25">
      <c r="A496" s="64"/>
      <c r="B496" s="62"/>
      <c r="C496" s="62"/>
      <c r="D496" s="62"/>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c r="AE496" s="58"/>
      <c r="AF496" s="58"/>
      <c r="AG496" s="58"/>
      <c r="AH496" s="58"/>
      <c r="AI496" s="58"/>
      <c r="AJ496" s="58"/>
      <c r="AK496" s="58"/>
      <c r="AL496" s="58"/>
      <c r="AM496" s="58"/>
      <c r="AN496" s="58"/>
      <c r="AO496" s="58"/>
      <c r="AP496" s="58"/>
      <c r="AQ496" s="58"/>
      <c r="AR496" s="58"/>
    </row>
    <row r="497" spans="1:44" ht="15.75" customHeight="1" x14ac:dyDescent="0.25">
      <c r="A497" s="64"/>
      <c r="B497" s="62"/>
      <c r="C497" s="62"/>
      <c r="D497" s="62"/>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8"/>
      <c r="AI497" s="58"/>
      <c r="AJ497" s="58"/>
      <c r="AK497" s="58"/>
      <c r="AL497" s="58"/>
      <c r="AM497" s="58"/>
      <c r="AN497" s="58"/>
      <c r="AO497" s="58"/>
      <c r="AP497" s="58"/>
      <c r="AQ497" s="58"/>
      <c r="AR497" s="58"/>
    </row>
    <row r="498" spans="1:44" ht="15.75" customHeight="1" x14ac:dyDescent="0.25">
      <c r="A498" s="64"/>
      <c r="B498" s="62"/>
      <c r="C498" s="62"/>
      <c r="D498" s="62"/>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c r="AG498" s="58"/>
      <c r="AH498" s="58"/>
      <c r="AI498" s="58"/>
      <c r="AJ498" s="58"/>
      <c r="AK498" s="58"/>
      <c r="AL498" s="58"/>
      <c r="AM498" s="58"/>
      <c r="AN498" s="58"/>
      <c r="AO498" s="58"/>
      <c r="AP498" s="58"/>
      <c r="AQ498" s="58"/>
      <c r="AR498" s="58"/>
    </row>
    <row r="499" spans="1:44" ht="15.75" customHeight="1" x14ac:dyDescent="0.25">
      <c r="A499" s="64"/>
      <c r="B499" s="62"/>
      <c r="C499" s="62"/>
      <c r="D499" s="62"/>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c r="AG499" s="58"/>
      <c r="AH499" s="58"/>
      <c r="AI499" s="58"/>
      <c r="AJ499" s="58"/>
      <c r="AK499" s="58"/>
      <c r="AL499" s="58"/>
      <c r="AM499" s="58"/>
      <c r="AN499" s="58"/>
      <c r="AO499" s="58"/>
      <c r="AP499" s="58"/>
      <c r="AQ499" s="58"/>
      <c r="AR499" s="58"/>
    </row>
    <row r="500" spans="1:44" ht="15.75" customHeight="1" x14ac:dyDescent="0.25">
      <c r="A500" s="64"/>
      <c r="B500" s="62"/>
      <c r="C500" s="62"/>
      <c r="D500" s="62"/>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c r="AI500" s="58"/>
      <c r="AJ500" s="58"/>
      <c r="AK500" s="58"/>
      <c r="AL500" s="58"/>
      <c r="AM500" s="58"/>
      <c r="AN500" s="58"/>
      <c r="AO500" s="58"/>
      <c r="AP500" s="58"/>
      <c r="AQ500" s="58"/>
      <c r="AR500" s="58"/>
    </row>
    <row r="501" spans="1:44" ht="15.75" customHeight="1" x14ac:dyDescent="0.25">
      <c r="A501" s="64"/>
      <c r="B501" s="62"/>
      <c r="C501" s="62"/>
      <c r="D501" s="62"/>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c r="AE501" s="58"/>
      <c r="AF501" s="58"/>
      <c r="AG501" s="58"/>
      <c r="AH501" s="58"/>
      <c r="AI501" s="58"/>
      <c r="AJ501" s="58"/>
      <c r="AK501" s="58"/>
      <c r="AL501" s="58"/>
      <c r="AM501" s="58"/>
      <c r="AN501" s="58"/>
      <c r="AO501" s="58"/>
      <c r="AP501" s="58"/>
      <c r="AQ501" s="58"/>
      <c r="AR501" s="58"/>
    </row>
    <row r="502" spans="1:44" ht="15.75" customHeight="1" x14ac:dyDescent="0.25">
      <c r="A502" s="64"/>
      <c r="B502" s="62"/>
      <c r="C502" s="62"/>
      <c r="D502" s="62"/>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c r="AE502" s="58"/>
      <c r="AF502" s="58"/>
      <c r="AG502" s="58"/>
      <c r="AH502" s="58"/>
      <c r="AI502" s="58"/>
      <c r="AJ502" s="58"/>
      <c r="AK502" s="58"/>
      <c r="AL502" s="58"/>
      <c r="AM502" s="58"/>
      <c r="AN502" s="58"/>
      <c r="AO502" s="58"/>
      <c r="AP502" s="58"/>
      <c r="AQ502" s="58"/>
      <c r="AR502" s="58"/>
    </row>
    <row r="503" spans="1:44" ht="15.75" customHeight="1" x14ac:dyDescent="0.25">
      <c r="A503" s="64"/>
      <c r="B503" s="62"/>
      <c r="C503" s="62"/>
      <c r="D503" s="62"/>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c r="AE503" s="58"/>
      <c r="AF503" s="58"/>
      <c r="AG503" s="58"/>
      <c r="AH503" s="58"/>
      <c r="AI503" s="58"/>
      <c r="AJ503" s="58"/>
      <c r="AK503" s="58"/>
      <c r="AL503" s="58"/>
      <c r="AM503" s="58"/>
      <c r="AN503" s="58"/>
      <c r="AO503" s="58"/>
      <c r="AP503" s="58"/>
      <c r="AQ503" s="58"/>
      <c r="AR503" s="58"/>
    </row>
    <row r="504" spans="1:44" ht="15.75" customHeight="1" x14ac:dyDescent="0.25">
      <c r="A504" s="64"/>
      <c r="B504" s="62"/>
      <c r="C504" s="62"/>
      <c r="D504" s="62"/>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c r="AG504" s="58"/>
      <c r="AH504" s="58"/>
      <c r="AI504" s="58"/>
      <c r="AJ504" s="58"/>
      <c r="AK504" s="58"/>
      <c r="AL504" s="58"/>
      <c r="AM504" s="58"/>
      <c r="AN504" s="58"/>
      <c r="AO504" s="58"/>
      <c r="AP504" s="58"/>
      <c r="AQ504" s="58"/>
      <c r="AR504" s="58"/>
    </row>
    <row r="505" spans="1:44" ht="15.75" customHeight="1" x14ac:dyDescent="0.25">
      <c r="A505" s="64"/>
      <c r="B505" s="62"/>
      <c r="C505" s="62"/>
      <c r="D505" s="62"/>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c r="AG505" s="58"/>
      <c r="AH505" s="58"/>
      <c r="AI505" s="58"/>
      <c r="AJ505" s="58"/>
      <c r="AK505" s="58"/>
      <c r="AL505" s="58"/>
      <c r="AM505" s="58"/>
      <c r="AN505" s="58"/>
      <c r="AO505" s="58"/>
      <c r="AP505" s="58"/>
      <c r="AQ505" s="58"/>
      <c r="AR505" s="58"/>
    </row>
    <row r="506" spans="1:44" ht="15.75" customHeight="1" x14ac:dyDescent="0.25">
      <c r="A506" s="64"/>
      <c r="B506" s="62"/>
      <c r="C506" s="62"/>
      <c r="D506" s="62"/>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c r="AI506" s="58"/>
      <c r="AJ506" s="58"/>
      <c r="AK506" s="58"/>
      <c r="AL506" s="58"/>
      <c r="AM506" s="58"/>
      <c r="AN506" s="58"/>
      <c r="AO506" s="58"/>
      <c r="AP506" s="58"/>
      <c r="AQ506" s="58"/>
      <c r="AR506" s="58"/>
    </row>
    <row r="507" spans="1:44" ht="15.75" customHeight="1" x14ac:dyDescent="0.25">
      <c r="A507" s="64"/>
      <c r="B507" s="62"/>
      <c r="C507" s="62"/>
      <c r="D507" s="62"/>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c r="AG507" s="58"/>
      <c r="AH507" s="58"/>
      <c r="AI507" s="58"/>
      <c r="AJ507" s="58"/>
      <c r="AK507" s="58"/>
      <c r="AL507" s="58"/>
      <c r="AM507" s="58"/>
      <c r="AN507" s="58"/>
      <c r="AO507" s="58"/>
      <c r="AP507" s="58"/>
      <c r="AQ507" s="58"/>
      <c r="AR507" s="58"/>
    </row>
    <row r="508" spans="1:44" ht="15.75" customHeight="1" x14ac:dyDescent="0.25">
      <c r="A508" s="64"/>
      <c r="B508" s="62"/>
      <c r="C508" s="62"/>
      <c r="D508" s="62"/>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c r="AG508" s="58"/>
      <c r="AH508" s="58"/>
      <c r="AI508" s="58"/>
      <c r="AJ508" s="58"/>
      <c r="AK508" s="58"/>
      <c r="AL508" s="58"/>
      <c r="AM508" s="58"/>
      <c r="AN508" s="58"/>
      <c r="AO508" s="58"/>
      <c r="AP508" s="58"/>
      <c r="AQ508" s="58"/>
      <c r="AR508" s="58"/>
    </row>
    <row r="509" spans="1:44" ht="15.75" customHeight="1" x14ac:dyDescent="0.25">
      <c r="A509" s="64"/>
      <c r="B509" s="62"/>
      <c r="C509" s="62"/>
      <c r="D509" s="62"/>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c r="AI509" s="58"/>
      <c r="AJ509" s="58"/>
      <c r="AK509" s="58"/>
      <c r="AL509" s="58"/>
      <c r="AM509" s="58"/>
      <c r="AN509" s="58"/>
      <c r="AO509" s="58"/>
      <c r="AP509" s="58"/>
      <c r="AQ509" s="58"/>
      <c r="AR509" s="58"/>
    </row>
    <row r="510" spans="1:44" ht="15.75" customHeight="1" x14ac:dyDescent="0.25">
      <c r="A510" s="64"/>
      <c r="B510" s="62"/>
      <c r="C510" s="62"/>
      <c r="D510" s="62"/>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c r="AG510" s="58"/>
      <c r="AH510" s="58"/>
      <c r="AI510" s="58"/>
      <c r="AJ510" s="58"/>
      <c r="AK510" s="58"/>
      <c r="AL510" s="58"/>
      <c r="AM510" s="58"/>
      <c r="AN510" s="58"/>
      <c r="AO510" s="58"/>
      <c r="AP510" s="58"/>
      <c r="AQ510" s="58"/>
      <c r="AR510" s="58"/>
    </row>
    <row r="511" spans="1:44" ht="15.75" customHeight="1" x14ac:dyDescent="0.25">
      <c r="A511" s="64"/>
      <c r="B511" s="62"/>
      <c r="C511" s="62"/>
      <c r="D511" s="62"/>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c r="AG511" s="58"/>
      <c r="AH511" s="58"/>
      <c r="AI511" s="58"/>
      <c r="AJ511" s="58"/>
      <c r="AK511" s="58"/>
      <c r="AL511" s="58"/>
      <c r="AM511" s="58"/>
      <c r="AN511" s="58"/>
      <c r="AO511" s="58"/>
      <c r="AP511" s="58"/>
      <c r="AQ511" s="58"/>
      <c r="AR511" s="58"/>
    </row>
    <row r="512" spans="1:44" ht="15.75" customHeight="1" x14ac:dyDescent="0.25">
      <c r="A512" s="64"/>
      <c r="B512" s="62"/>
      <c r="C512" s="62"/>
      <c r="D512" s="62"/>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c r="AI512" s="58"/>
      <c r="AJ512" s="58"/>
      <c r="AK512" s="58"/>
      <c r="AL512" s="58"/>
      <c r="AM512" s="58"/>
      <c r="AN512" s="58"/>
      <c r="AO512" s="58"/>
      <c r="AP512" s="58"/>
      <c r="AQ512" s="58"/>
      <c r="AR512" s="58"/>
    </row>
    <row r="513" spans="1:44" ht="15.75" customHeight="1" x14ac:dyDescent="0.25">
      <c r="A513" s="64"/>
      <c r="B513" s="62"/>
      <c r="C513" s="62"/>
      <c r="D513" s="62"/>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c r="AG513" s="58"/>
      <c r="AH513" s="58"/>
      <c r="AI513" s="58"/>
      <c r="AJ513" s="58"/>
      <c r="AK513" s="58"/>
      <c r="AL513" s="58"/>
      <c r="AM513" s="58"/>
      <c r="AN513" s="58"/>
      <c r="AO513" s="58"/>
      <c r="AP513" s="58"/>
      <c r="AQ513" s="58"/>
      <c r="AR513" s="58"/>
    </row>
    <row r="514" spans="1:44" ht="15.75" customHeight="1" x14ac:dyDescent="0.25">
      <c r="A514" s="64"/>
      <c r="B514" s="62"/>
      <c r="C514" s="62"/>
      <c r="D514" s="62"/>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c r="AG514" s="58"/>
      <c r="AH514" s="58"/>
      <c r="AI514" s="58"/>
      <c r="AJ514" s="58"/>
      <c r="AK514" s="58"/>
      <c r="AL514" s="58"/>
      <c r="AM514" s="58"/>
      <c r="AN514" s="58"/>
      <c r="AO514" s="58"/>
      <c r="AP514" s="58"/>
      <c r="AQ514" s="58"/>
      <c r="AR514" s="58"/>
    </row>
    <row r="515" spans="1:44" ht="15.75" customHeight="1" x14ac:dyDescent="0.25">
      <c r="A515" s="64"/>
      <c r="B515" s="62"/>
      <c r="C515" s="62"/>
      <c r="D515" s="62"/>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c r="AI515" s="58"/>
      <c r="AJ515" s="58"/>
      <c r="AK515" s="58"/>
      <c r="AL515" s="58"/>
      <c r="AM515" s="58"/>
      <c r="AN515" s="58"/>
      <c r="AO515" s="58"/>
      <c r="AP515" s="58"/>
      <c r="AQ515" s="58"/>
      <c r="AR515" s="58"/>
    </row>
    <row r="516" spans="1:44" ht="15.75" customHeight="1" x14ac:dyDescent="0.25">
      <c r="A516" s="64"/>
      <c r="B516" s="62"/>
      <c r="C516" s="62"/>
      <c r="D516" s="62"/>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c r="AG516" s="58"/>
      <c r="AH516" s="58"/>
      <c r="AI516" s="58"/>
      <c r="AJ516" s="58"/>
      <c r="AK516" s="58"/>
      <c r="AL516" s="58"/>
      <c r="AM516" s="58"/>
      <c r="AN516" s="58"/>
      <c r="AO516" s="58"/>
      <c r="AP516" s="58"/>
      <c r="AQ516" s="58"/>
      <c r="AR516" s="58"/>
    </row>
    <row r="517" spans="1:44" ht="15.75" customHeight="1" x14ac:dyDescent="0.25">
      <c r="A517" s="64"/>
      <c r="B517" s="62"/>
      <c r="C517" s="62"/>
      <c r="D517" s="62"/>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c r="AG517" s="58"/>
      <c r="AH517" s="58"/>
      <c r="AI517" s="58"/>
      <c r="AJ517" s="58"/>
      <c r="AK517" s="58"/>
      <c r="AL517" s="58"/>
      <c r="AM517" s="58"/>
      <c r="AN517" s="58"/>
      <c r="AO517" s="58"/>
      <c r="AP517" s="58"/>
      <c r="AQ517" s="58"/>
      <c r="AR517" s="58"/>
    </row>
    <row r="518" spans="1:44" ht="15.75" customHeight="1" x14ac:dyDescent="0.25">
      <c r="A518" s="64"/>
      <c r="B518" s="62"/>
      <c r="C518" s="62"/>
      <c r="D518" s="62"/>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c r="AI518" s="58"/>
      <c r="AJ518" s="58"/>
      <c r="AK518" s="58"/>
      <c r="AL518" s="58"/>
      <c r="AM518" s="58"/>
      <c r="AN518" s="58"/>
      <c r="AO518" s="58"/>
      <c r="AP518" s="58"/>
      <c r="AQ518" s="58"/>
      <c r="AR518" s="58"/>
    </row>
    <row r="519" spans="1:44" ht="15.75" customHeight="1" x14ac:dyDescent="0.25">
      <c r="A519" s="64"/>
      <c r="B519" s="62"/>
      <c r="C519" s="62"/>
      <c r="D519" s="62"/>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c r="AG519" s="58"/>
      <c r="AH519" s="58"/>
      <c r="AI519" s="58"/>
      <c r="AJ519" s="58"/>
      <c r="AK519" s="58"/>
      <c r="AL519" s="58"/>
      <c r="AM519" s="58"/>
      <c r="AN519" s="58"/>
      <c r="AO519" s="58"/>
      <c r="AP519" s="58"/>
      <c r="AQ519" s="58"/>
      <c r="AR519" s="58"/>
    </row>
    <row r="520" spans="1:44" ht="15.75" customHeight="1" x14ac:dyDescent="0.25">
      <c r="A520" s="64"/>
      <c r="B520" s="62"/>
      <c r="C520" s="62"/>
      <c r="D520" s="62"/>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c r="AG520" s="58"/>
      <c r="AH520" s="58"/>
      <c r="AI520" s="58"/>
      <c r="AJ520" s="58"/>
      <c r="AK520" s="58"/>
      <c r="AL520" s="58"/>
      <c r="AM520" s="58"/>
      <c r="AN520" s="58"/>
      <c r="AO520" s="58"/>
      <c r="AP520" s="58"/>
      <c r="AQ520" s="58"/>
      <c r="AR520" s="58"/>
    </row>
    <row r="521" spans="1:44" ht="15.75" customHeight="1" x14ac:dyDescent="0.25">
      <c r="A521" s="64"/>
      <c r="B521" s="62"/>
      <c r="C521" s="62"/>
      <c r="D521" s="62"/>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c r="AI521" s="58"/>
      <c r="AJ521" s="58"/>
      <c r="AK521" s="58"/>
      <c r="AL521" s="58"/>
      <c r="AM521" s="58"/>
      <c r="AN521" s="58"/>
      <c r="AO521" s="58"/>
      <c r="AP521" s="58"/>
      <c r="AQ521" s="58"/>
      <c r="AR521" s="58"/>
    </row>
    <row r="522" spans="1:44" ht="15.75" customHeight="1" x14ac:dyDescent="0.25">
      <c r="A522" s="64"/>
      <c r="B522" s="62"/>
      <c r="C522" s="62"/>
      <c r="D522" s="62"/>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c r="AG522" s="58"/>
      <c r="AH522" s="58"/>
      <c r="AI522" s="58"/>
      <c r="AJ522" s="58"/>
      <c r="AK522" s="58"/>
      <c r="AL522" s="58"/>
      <c r="AM522" s="58"/>
      <c r="AN522" s="58"/>
      <c r="AO522" s="58"/>
      <c r="AP522" s="58"/>
      <c r="AQ522" s="58"/>
      <c r="AR522" s="58"/>
    </row>
    <row r="523" spans="1:44" ht="15.75" customHeight="1" x14ac:dyDescent="0.25">
      <c r="A523" s="64"/>
      <c r="B523" s="62"/>
      <c r="C523" s="62"/>
      <c r="D523" s="62"/>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c r="AG523" s="58"/>
      <c r="AH523" s="58"/>
      <c r="AI523" s="58"/>
      <c r="AJ523" s="58"/>
      <c r="AK523" s="58"/>
      <c r="AL523" s="58"/>
      <c r="AM523" s="58"/>
      <c r="AN523" s="58"/>
      <c r="AO523" s="58"/>
      <c r="AP523" s="58"/>
      <c r="AQ523" s="58"/>
      <c r="AR523" s="58"/>
    </row>
    <row r="524" spans="1:44" ht="15.75" customHeight="1" x14ac:dyDescent="0.25">
      <c r="A524" s="64"/>
      <c r="B524" s="62"/>
      <c r="C524" s="62"/>
      <c r="D524" s="62"/>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58"/>
      <c r="AK524" s="58"/>
      <c r="AL524" s="58"/>
      <c r="AM524" s="58"/>
      <c r="AN524" s="58"/>
      <c r="AO524" s="58"/>
      <c r="AP524" s="58"/>
      <c r="AQ524" s="58"/>
      <c r="AR524" s="58"/>
    </row>
    <row r="525" spans="1:44" ht="15.75" customHeight="1" x14ac:dyDescent="0.25">
      <c r="A525" s="64"/>
      <c r="B525" s="62"/>
      <c r="C525" s="62"/>
      <c r="D525" s="62"/>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c r="AG525" s="58"/>
      <c r="AH525" s="58"/>
      <c r="AI525" s="58"/>
      <c r="AJ525" s="58"/>
      <c r="AK525" s="58"/>
      <c r="AL525" s="58"/>
      <c r="AM525" s="58"/>
      <c r="AN525" s="58"/>
      <c r="AO525" s="58"/>
      <c r="AP525" s="58"/>
      <c r="AQ525" s="58"/>
      <c r="AR525" s="58"/>
    </row>
    <row r="526" spans="1:44" ht="15.75" customHeight="1" x14ac:dyDescent="0.25">
      <c r="A526" s="64"/>
      <c r="B526" s="62"/>
      <c r="C526" s="62"/>
      <c r="D526" s="62"/>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c r="AG526" s="58"/>
      <c r="AH526" s="58"/>
      <c r="AI526" s="58"/>
      <c r="AJ526" s="58"/>
      <c r="AK526" s="58"/>
      <c r="AL526" s="58"/>
      <c r="AM526" s="58"/>
      <c r="AN526" s="58"/>
      <c r="AO526" s="58"/>
      <c r="AP526" s="58"/>
      <c r="AQ526" s="58"/>
      <c r="AR526" s="58"/>
    </row>
    <row r="527" spans="1:44" ht="15.75" customHeight="1" x14ac:dyDescent="0.25">
      <c r="A527" s="64"/>
      <c r="B527" s="62"/>
      <c r="C527" s="62"/>
      <c r="D527" s="62"/>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c r="AI527" s="58"/>
      <c r="AJ527" s="58"/>
      <c r="AK527" s="58"/>
      <c r="AL527" s="58"/>
      <c r="AM527" s="58"/>
      <c r="AN527" s="58"/>
      <c r="AO527" s="58"/>
      <c r="AP527" s="58"/>
      <c r="AQ527" s="58"/>
      <c r="AR527" s="58"/>
    </row>
    <row r="528" spans="1:44" ht="15.75" customHeight="1" x14ac:dyDescent="0.25">
      <c r="A528" s="64"/>
      <c r="B528" s="62"/>
      <c r="C528" s="62"/>
      <c r="D528" s="62"/>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c r="AG528" s="58"/>
      <c r="AH528" s="58"/>
      <c r="AI528" s="58"/>
      <c r="AJ528" s="58"/>
      <c r="AK528" s="58"/>
      <c r="AL528" s="58"/>
      <c r="AM528" s="58"/>
      <c r="AN528" s="58"/>
      <c r="AO528" s="58"/>
      <c r="AP528" s="58"/>
      <c r="AQ528" s="58"/>
      <c r="AR528" s="58"/>
    </row>
    <row r="529" spans="1:44" ht="15.75" customHeight="1" x14ac:dyDescent="0.25">
      <c r="A529" s="64"/>
      <c r="B529" s="62"/>
      <c r="C529" s="62"/>
      <c r="D529" s="62"/>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c r="AG529" s="58"/>
      <c r="AH529" s="58"/>
      <c r="AI529" s="58"/>
      <c r="AJ529" s="58"/>
      <c r="AK529" s="58"/>
      <c r="AL529" s="58"/>
      <c r="AM529" s="58"/>
      <c r="AN529" s="58"/>
      <c r="AO529" s="58"/>
      <c r="AP529" s="58"/>
      <c r="AQ529" s="58"/>
      <c r="AR529" s="58"/>
    </row>
    <row r="530" spans="1:44" ht="15.75" customHeight="1" x14ac:dyDescent="0.25">
      <c r="A530" s="64"/>
      <c r="B530" s="62"/>
      <c r="C530" s="62"/>
      <c r="D530" s="62"/>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c r="AI530" s="58"/>
      <c r="AJ530" s="58"/>
      <c r="AK530" s="58"/>
      <c r="AL530" s="58"/>
      <c r="AM530" s="58"/>
      <c r="AN530" s="58"/>
      <c r="AO530" s="58"/>
      <c r="AP530" s="58"/>
      <c r="AQ530" s="58"/>
      <c r="AR530" s="58"/>
    </row>
    <row r="531" spans="1:44" ht="15.75" customHeight="1" x14ac:dyDescent="0.25">
      <c r="A531" s="64"/>
      <c r="B531" s="62"/>
      <c r="C531" s="62"/>
      <c r="D531" s="62"/>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c r="AG531" s="58"/>
      <c r="AH531" s="58"/>
      <c r="AI531" s="58"/>
      <c r="AJ531" s="58"/>
      <c r="AK531" s="58"/>
      <c r="AL531" s="58"/>
      <c r="AM531" s="58"/>
      <c r="AN531" s="58"/>
      <c r="AO531" s="58"/>
      <c r="AP531" s="58"/>
      <c r="AQ531" s="58"/>
      <c r="AR531" s="58"/>
    </row>
    <row r="532" spans="1:44" ht="15.75" customHeight="1" x14ac:dyDescent="0.25">
      <c r="A532" s="64"/>
      <c r="B532" s="62"/>
      <c r="C532" s="62"/>
      <c r="D532" s="62"/>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c r="AG532" s="58"/>
      <c r="AH532" s="58"/>
      <c r="AI532" s="58"/>
      <c r="AJ532" s="58"/>
      <c r="AK532" s="58"/>
      <c r="AL532" s="58"/>
      <c r="AM532" s="58"/>
      <c r="AN532" s="58"/>
      <c r="AO532" s="58"/>
      <c r="AP532" s="58"/>
      <c r="AQ532" s="58"/>
      <c r="AR532" s="58"/>
    </row>
    <row r="533" spans="1:44" ht="15.75" customHeight="1" x14ac:dyDescent="0.25">
      <c r="A533" s="64"/>
      <c r="B533" s="62"/>
      <c r="C533" s="62"/>
      <c r="D533" s="62"/>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c r="AI533" s="58"/>
      <c r="AJ533" s="58"/>
      <c r="AK533" s="58"/>
      <c r="AL533" s="58"/>
      <c r="AM533" s="58"/>
      <c r="AN533" s="58"/>
      <c r="AO533" s="58"/>
      <c r="AP533" s="58"/>
      <c r="AQ533" s="58"/>
      <c r="AR533" s="58"/>
    </row>
    <row r="534" spans="1:44" ht="15.75" customHeight="1" x14ac:dyDescent="0.25">
      <c r="A534" s="64"/>
      <c r="B534" s="62"/>
      <c r="C534" s="62"/>
      <c r="D534" s="62"/>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c r="AG534" s="58"/>
      <c r="AH534" s="58"/>
      <c r="AI534" s="58"/>
      <c r="AJ534" s="58"/>
      <c r="AK534" s="58"/>
      <c r="AL534" s="58"/>
      <c r="AM534" s="58"/>
      <c r="AN534" s="58"/>
      <c r="AO534" s="58"/>
      <c r="AP534" s="58"/>
      <c r="AQ534" s="58"/>
      <c r="AR534" s="58"/>
    </row>
    <row r="535" spans="1:44" ht="15.75" customHeight="1" x14ac:dyDescent="0.25">
      <c r="A535" s="64"/>
      <c r="B535" s="62"/>
      <c r="C535" s="62"/>
      <c r="D535" s="62"/>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c r="AG535" s="58"/>
      <c r="AH535" s="58"/>
      <c r="AI535" s="58"/>
      <c r="AJ535" s="58"/>
      <c r="AK535" s="58"/>
      <c r="AL535" s="58"/>
      <c r="AM535" s="58"/>
      <c r="AN535" s="58"/>
      <c r="AO535" s="58"/>
      <c r="AP535" s="58"/>
      <c r="AQ535" s="58"/>
      <c r="AR535" s="58"/>
    </row>
    <row r="536" spans="1:44" ht="15.75" customHeight="1" x14ac:dyDescent="0.25">
      <c r="A536" s="64"/>
      <c r="B536" s="62"/>
      <c r="C536" s="62"/>
      <c r="D536" s="62"/>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c r="AI536" s="58"/>
      <c r="AJ536" s="58"/>
      <c r="AK536" s="58"/>
      <c r="AL536" s="58"/>
      <c r="AM536" s="58"/>
      <c r="AN536" s="58"/>
      <c r="AO536" s="58"/>
      <c r="AP536" s="58"/>
      <c r="AQ536" s="58"/>
      <c r="AR536" s="58"/>
    </row>
    <row r="537" spans="1:44" ht="15.75" customHeight="1" x14ac:dyDescent="0.25">
      <c r="A537" s="64"/>
      <c r="B537" s="62"/>
      <c r="C537" s="62"/>
      <c r="D537" s="62"/>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c r="AE537" s="58"/>
      <c r="AF537" s="58"/>
      <c r="AG537" s="58"/>
      <c r="AH537" s="58"/>
      <c r="AI537" s="58"/>
      <c r="AJ537" s="58"/>
      <c r="AK537" s="58"/>
      <c r="AL537" s="58"/>
      <c r="AM537" s="58"/>
      <c r="AN537" s="58"/>
      <c r="AO537" s="58"/>
      <c r="AP537" s="58"/>
      <c r="AQ537" s="58"/>
      <c r="AR537" s="58"/>
    </row>
    <row r="538" spans="1:44" ht="15.75" customHeight="1" x14ac:dyDescent="0.25">
      <c r="A538" s="64"/>
      <c r="B538" s="62"/>
      <c r="C538" s="62"/>
      <c r="D538" s="62"/>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c r="AE538" s="58"/>
      <c r="AF538" s="58"/>
      <c r="AG538" s="58"/>
      <c r="AH538" s="58"/>
      <c r="AI538" s="58"/>
      <c r="AJ538" s="58"/>
      <c r="AK538" s="58"/>
      <c r="AL538" s="58"/>
      <c r="AM538" s="58"/>
      <c r="AN538" s="58"/>
      <c r="AO538" s="58"/>
      <c r="AP538" s="58"/>
      <c r="AQ538" s="58"/>
      <c r="AR538" s="58"/>
    </row>
    <row r="539" spans="1:44" ht="15.75" customHeight="1" x14ac:dyDescent="0.25">
      <c r="A539" s="64"/>
      <c r="B539" s="62"/>
      <c r="C539" s="62"/>
      <c r="D539" s="62"/>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c r="AE539" s="58"/>
      <c r="AF539" s="58"/>
      <c r="AG539" s="58"/>
      <c r="AH539" s="58"/>
      <c r="AI539" s="58"/>
      <c r="AJ539" s="58"/>
      <c r="AK539" s="58"/>
      <c r="AL539" s="58"/>
      <c r="AM539" s="58"/>
      <c r="AN539" s="58"/>
      <c r="AO539" s="58"/>
      <c r="AP539" s="58"/>
      <c r="AQ539" s="58"/>
      <c r="AR539" s="58"/>
    </row>
    <row r="540" spans="1:44" ht="15.75" customHeight="1" x14ac:dyDescent="0.25">
      <c r="A540" s="64"/>
      <c r="B540" s="62"/>
      <c r="C540" s="62"/>
      <c r="D540" s="62"/>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c r="AE540" s="58"/>
      <c r="AF540" s="58"/>
      <c r="AG540" s="58"/>
      <c r="AH540" s="58"/>
      <c r="AI540" s="58"/>
      <c r="AJ540" s="58"/>
      <c r="AK540" s="58"/>
      <c r="AL540" s="58"/>
      <c r="AM540" s="58"/>
      <c r="AN540" s="58"/>
      <c r="AO540" s="58"/>
      <c r="AP540" s="58"/>
      <c r="AQ540" s="58"/>
      <c r="AR540" s="58"/>
    </row>
    <row r="541" spans="1:44" ht="15.75" customHeight="1" x14ac:dyDescent="0.25">
      <c r="A541" s="64"/>
      <c r="B541" s="62"/>
      <c r="C541" s="62"/>
      <c r="D541" s="62"/>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c r="AE541" s="58"/>
      <c r="AF541" s="58"/>
      <c r="AG541" s="58"/>
      <c r="AH541" s="58"/>
      <c r="AI541" s="58"/>
      <c r="AJ541" s="58"/>
      <c r="AK541" s="58"/>
      <c r="AL541" s="58"/>
      <c r="AM541" s="58"/>
      <c r="AN541" s="58"/>
      <c r="AO541" s="58"/>
      <c r="AP541" s="58"/>
      <c r="AQ541" s="58"/>
      <c r="AR541" s="58"/>
    </row>
    <row r="542" spans="1:44" ht="15.75" customHeight="1" x14ac:dyDescent="0.25">
      <c r="A542" s="64"/>
      <c r="B542" s="62"/>
      <c r="C542" s="62"/>
      <c r="D542" s="62"/>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c r="AE542" s="58"/>
      <c r="AF542" s="58"/>
      <c r="AG542" s="58"/>
      <c r="AH542" s="58"/>
      <c r="AI542" s="58"/>
      <c r="AJ542" s="58"/>
      <c r="AK542" s="58"/>
      <c r="AL542" s="58"/>
      <c r="AM542" s="58"/>
      <c r="AN542" s="58"/>
      <c r="AO542" s="58"/>
      <c r="AP542" s="58"/>
      <c r="AQ542" s="58"/>
      <c r="AR542" s="58"/>
    </row>
    <row r="543" spans="1:44" ht="15.75" customHeight="1" x14ac:dyDescent="0.25">
      <c r="A543" s="64"/>
      <c r="B543" s="62"/>
      <c r="C543" s="62"/>
      <c r="D543" s="62"/>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c r="AE543" s="58"/>
      <c r="AF543" s="58"/>
      <c r="AG543" s="58"/>
      <c r="AH543" s="58"/>
      <c r="AI543" s="58"/>
      <c r="AJ543" s="58"/>
      <c r="AK543" s="58"/>
      <c r="AL543" s="58"/>
      <c r="AM543" s="58"/>
      <c r="AN543" s="58"/>
      <c r="AO543" s="58"/>
      <c r="AP543" s="58"/>
      <c r="AQ543" s="58"/>
      <c r="AR543" s="58"/>
    </row>
    <row r="544" spans="1:44" ht="15.75" customHeight="1" x14ac:dyDescent="0.25">
      <c r="A544" s="64"/>
      <c r="B544" s="62"/>
      <c r="C544" s="62"/>
      <c r="D544" s="62"/>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c r="AE544" s="58"/>
      <c r="AF544" s="58"/>
      <c r="AG544" s="58"/>
      <c r="AH544" s="58"/>
      <c r="AI544" s="58"/>
      <c r="AJ544" s="58"/>
      <c r="AK544" s="58"/>
      <c r="AL544" s="58"/>
      <c r="AM544" s="58"/>
      <c r="AN544" s="58"/>
      <c r="AO544" s="58"/>
      <c r="AP544" s="58"/>
      <c r="AQ544" s="58"/>
      <c r="AR544" s="58"/>
    </row>
    <row r="545" spans="1:44" ht="15.75" customHeight="1" x14ac:dyDescent="0.25">
      <c r="A545" s="64"/>
      <c r="B545" s="62"/>
      <c r="C545" s="62"/>
      <c r="D545" s="62"/>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c r="AE545" s="58"/>
      <c r="AF545" s="58"/>
      <c r="AG545" s="58"/>
      <c r="AH545" s="58"/>
      <c r="AI545" s="58"/>
      <c r="AJ545" s="58"/>
      <c r="AK545" s="58"/>
      <c r="AL545" s="58"/>
      <c r="AM545" s="58"/>
      <c r="AN545" s="58"/>
      <c r="AO545" s="58"/>
      <c r="AP545" s="58"/>
      <c r="AQ545" s="58"/>
      <c r="AR545" s="58"/>
    </row>
    <row r="546" spans="1:44" ht="15.75" customHeight="1" x14ac:dyDescent="0.25">
      <c r="A546" s="64"/>
      <c r="B546" s="62"/>
      <c r="C546" s="62"/>
      <c r="D546" s="62"/>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c r="AE546" s="58"/>
      <c r="AF546" s="58"/>
      <c r="AG546" s="58"/>
      <c r="AH546" s="58"/>
      <c r="AI546" s="58"/>
      <c r="AJ546" s="58"/>
      <c r="AK546" s="58"/>
      <c r="AL546" s="58"/>
      <c r="AM546" s="58"/>
      <c r="AN546" s="58"/>
      <c r="AO546" s="58"/>
      <c r="AP546" s="58"/>
      <c r="AQ546" s="58"/>
      <c r="AR546" s="58"/>
    </row>
    <row r="547" spans="1:44" ht="15.75" customHeight="1" x14ac:dyDescent="0.25">
      <c r="A547" s="64"/>
      <c r="B547" s="62"/>
      <c r="C547" s="62"/>
      <c r="D547" s="62"/>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c r="AE547" s="58"/>
      <c r="AF547" s="58"/>
      <c r="AG547" s="58"/>
      <c r="AH547" s="58"/>
      <c r="AI547" s="58"/>
      <c r="AJ547" s="58"/>
      <c r="AK547" s="58"/>
      <c r="AL547" s="58"/>
      <c r="AM547" s="58"/>
      <c r="AN547" s="58"/>
      <c r="AO547" s="58"/>
      <c r="AP547" s="58"/>
      <c r="AQ547" s="58"/>
      <c r="AR547" s="58"/>
    </row>
    <row r="548" spans="1:44" ht="15.75" customHeight="1" x14ac:dyDescent="0.25">
      <c r="A548" s="64"/>
      <c r="B548" s="62"/>
      <c r="C548" s="62"/>
      <c r="D548" s="62"/>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c r="AE548" s="58"/>
      <c r="AF548" s="58"/>
      <c r="AG548" s="58"/>
      <c r="AH548" s="58"/>
      <c r="AI548" s="58"/>
      <c r="AJ548" s="58"/>
      <c r="AK548" s="58"/>
      <c r="AL548" s="58"/>
      <c r="AM548" s="58"/>
      <c r="AN548" s="58"/>
      <c r="AO548" s="58"/>
      <c r="AP548" s="58"/>
      <c r="AQ548" s="58"/>
      <c r="AR548" s="58"/>
    </row>
    <row r="549" spans="1:44" ht="15.75" customHeight="1" x14ac:dyDescent="0.25">
      <c r="A549" s="64"/>
      <c r="B549" s="62"/>
      <c r="C549" s="62"/>
      <c r="D549" s="62"/>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c r="AE549" s="58"/>
      <c r="AF549" s="58"/>
      <c r="AG549" s="58"/>
      <c r="AH549" s="58"/>
      <c r="AI549" s="58"/>
      <c r="AJ549" s="58"/>
      <c r="AK549" s="58"/>
      <c r="AL549" s="58"/>
      <c r="AM549" s="58"/>
      <c r="AN549" s="58"/>
      <c r="AO549" s="58"/>
      <c r="AP549" s="58"/>
      <c r="AQ549" s="58"/>
      <c r="AR549" s="58"/>
    </row>
    <row r="550" spans="1:44" ht="15.75" customHeight="1" x14ac:dyDescent="0.25">
      <c r="A550" s="64"/>
      <c r="B550" s="62"/>
      <c r="C550" s="62"/>
      <c r="D550" s="62"/>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c r="AE550" s="58"/>
      <c r="AF550" s="58"/>
      <c r="AG550" s="58"/>
      <c r="AH550" s="58"/>
      <c r="AI550" s="58"/>
      <c r="AJ550" s="58"/>
      <c r="AK550" s="58"/>
      <c r="AL550" s="58"/>
      <c r="AM550" s="58"/>
      <c r="AN550" s="58"/>
      <c r="AO550" s="58"/>
      <c r="AP550" s="58"/>
      <c r="AQ550" s="58"/>
      <c r="AR550" s="58"/>
    </row>
    <row r="551" spans="1:44" ht="15.75" customHeight="1" x14ac:dyDescent="0.25">
      <c r="A551" s="64"/>
      <c r="B551" s="62"/>
      <c r="C551" s="62"/>
      <c r="D551" s="62"/>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c r="AE551" s="58"/>
      <c r="AF551" s="58"/>
      <c r="AG551" s="58"/>
      <c r="AH551" s="58"/>
      <c r="AI551" s="58"/>
      <c r="AJ551" s="58"/>
      <c r="AK551" s="58"/>
      <c r="AL551" s="58"/>
      <c r="AM551" s="58"/>
      <c r="AN551" s="58"/>
      <c r="AO551" s="58"/>
      <c r="AP551" s="58"/>
      <c r="AQ551" s="58"/>
      <c r="AR551" s="58"/>
    </row>
    <row r="552" spans="1:44" ht="15.75" customHeight="1" x14ac:dyDescent="0.25">
      <c r="A552" s="64"/>
      <c r="B552" s="62"/>
      <c r="C552" s="62"/>
      <c r="D552" s="62"/>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c r="AE552" s="58"/>
      <c r="AF552" s="58"/>
      <c r="AG552" s="58"/>
      <c r="AH552" s="58"/>
      <c r="AI552" s="58"/>
      <c r="AJ552" s="58"/>
      <c r="AK552" s="58"/>
      <c r="AL552" s="58"/>
      <c r="AM552" s="58"/>
      <c r="AN552" s="58"/>
      <c r="AO552" s="58"/>
      <c r="AP552" s="58"/>
      <c r="AQ552" s="58"/>
      <c r="AR552" s="58"/>
    </row>
    <row r="553" spans="1:44" ht="15.75" customHeight="1" x14ac:dyDescent="0.25">
      <c r="A553" s="64"/>
      <c r="B553" s="62"/>
      <c r="C553" s="62"/>
      <c r="D553" s="62"/>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c r="AE553" s="58"/>
      <c r="AF553" s="58"/>
      <c r="AG553" s="58"/>
      <c r="AH553" s="58"/>
      <c r="AI553" s="58"/>
      <c r="AJ553" s="58"/>
      <c r="AK553" s="58"/>
      <c r="AL553" s="58"/>
      <c r="AM553" s="58"/>
      <c r="AN553" s="58"/>
      <c r="AO553" s="58"/>
      <c r="AP553" s="58"/>
      <c r="AQ553" s="58"/>
      <c r="AR553" s="58"/>
    </row>
    <row r="554" spans="1:44" ht="15.75" customHeight="1" x14ac:dyDescent="0.25">
      <c r="A554" s="64"/>
      <c r="B554" s="62"/>
      <c r="C554" s="62"/>
      <c r="D554" s="62"/>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c r="AE554" s="58"/>
      <c r="AF554" s="58"/>
      <c r="AG554" s="58"/>
      <c r="AH554" s="58"/>
      <c r="AI554" s="58"/>
      <c r="AJ554" s="58"/>
      <c r="AK554" s="58"/>
      <c r="AL554" s="58"/>
      <c r="AM554" s="58"/>
      <c r="AN554" s="58"/>
      <c r="AO554" s="58"/>
      <c r="AP554" s="58"/>
      <c r="AQ554" s="58"/>
      <c r="AR554" s="58"/>
    </row>
    <row r="555" spans="1:44" ht="15.75" customHeight="1" x14ac:dyDescent="0.25">
      <c r="A555" s="64"/>
      <c r="B555" s="62"/>
      <c r="C555" s="62"/>
      <c r="D555" s="62"/>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c r="AE555" s="58"/>
      <c r="AF555" s="58"/>
      <c r="AG555" s="58"/>
      <c r="AH555" s="58"/>
      <c r="AI555" s="58"/>
      <c r="AJ555" s="58"/>
      <c r="AK555" s="58"/>
      <c r="AL555" s="58"/>
      <c r="AM555" s="58"/>
      <c r="AN555" s="58"/>
      <c r="AO555" s="58"/>
      <c r="AP555" s="58"/>
      <c r="AQ555" s="58"/>
      <c r="AR555" s="58"/>
    </row>
    <row r="556" spans="1:44" ht="15.75" customHeight="1" x14ac:dyDescent="0.25">
      <c r="A556" s="64"/>
      <c r="B556" s="62"/>
      <c r="C556" s="62"/>
      <c r="D556" s="62"/>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c r="AG556" s="58"/>
      <c r="AH556" s="58"/>
      <c r="AI556" s="58"/>
      <c r="AJ556" s="58"/>
      <c r="AK556" s="58"/>
      <c r="AL556" s="58"/>
      <c r="AM556" s="58"/>
      <c r="AN556" s="58"/>
      <c r="AO556" s="58"/>
      <c r="AP556" s="58"/>
      <c r="AQ556" s="58"/>
      <c r="AR556" s="58"/>
    </row>
    <row r="557" spans="1:44" ht="15.75" customHeight="1" x14ac:dyDescent="0.25">
      <c r="A557" s="64"/>
      <c r="B557" s="62"/>
      <c r="C557" s="62"/>
      <c r="D557" s="62"/>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c r="AE557" s="58"/>
      <c r="AF557" s="58"/>
      <c r="AG557" s="58"/>
      <c r="AH557" s="58"/>
      <c r="AI557" s="58"/>
      <c r="AJ557" s="58"/>
      <c r="AK557" s="58"/>
      <c r="AL557" s="58"/>
      <c r="AM557" s="58"/>
      <c r="AN557" s="58"/>
      <c r="AO557" s="58"/>
      <c r="AP557" s="58"/>
      <c r="AQ557" s="58"/>
      <c r="AR557" s="58"/>
    </row>
    <row r="558" spans="1:44" ht="15.75" customHeight="1" x14ac:dyDescent="0.25">
      <c r="A558" s="64"/>
      <c r="B558" s="62"/>
      <c r="C558" s="62"/>
      <c r="D558" s="62"/>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c r="AE558" s="58"/>
      <c r="AF558" s="58"/>
      <c r="AG558" s="58"/>
      <c r="AH558" s="58"/>
      <c r="AI558" s="58"/>
      <c r="AJ558" s="58"/>
      <c r="AK558" s="58"/>
      <c r="AL558" s="58"/>
      <c r="AM558" s="58"/>
      <c r="AN558" s="58"/>
      <c r="AO558" s="58"/>
      <c r="AP558" s="58"/>
      <c r="AQ558" s="58"/>
      <c r="AR558" s="58"/>
    </row>
    <row r="559" spans="1:44" ht="15.75" customHeight="1" x14ac:dyDescent="0.25">
      <c r="A559" s="64"/>
      <c r="B559" s="62"/>
      <c r="C559" s="62"/>
      <c r="D559" s="62"/>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c r="AE559" s="58"/>
      <c r="AF559" s="58"/>
      <c r="AG559" s="58"/>
      <c r="AH559" s="58"/>
      <c r="AI559" s="58"/>
      <c r="AJ559" s="58"/>
      <c r="AK559" s="58"/>
      <c r="AL559" s="58"/>
      <c r="AM559" s="58"/>
      <c r="AN559" s="58"/>
      <c r="AO559" s="58"/>
      <c r="AP559" s="58"/>
      <c r="AQ559" s="58"/>
      <c r="AR559" s="58"/>
    </row>
    <row r="560" spans="1:44" ht="15.75" customHeight="1" x14ac:dyDescent="0.25">
      <c r="A560" s="64"/>
      <c r="B560" s="62"/>
      <c r="C560" s="62"/>
      <c r="D560" s="62"/>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c r="AE560" s="58"/>
      <c r="AF560" s="58"/>
      <c r="AG560" s="58"/>
      <c r="AH560" s="58"/>
      <c r="AI560" s="58"/>
      <c r="AJ560" s="58"/>
      <c r="AK560" s="58"/>
      <c r="AL560" s="58"/>
      <c r="AM560" s="58"/>
      <c r="AN560" s="58"/>
      <c r="AO560" s="58"/>
      <c r="AP560" s="58"/>
      <c r="AQ560" s="58"/>
      <c r="AR560" s="58"/>
    </row>
    <row r="561" spans="1:44" ht="15.75" customHeight="1" x14ac:dyDescent="0.25">
      <c r="A561" s="64"/>
      <c r="B561" s="62"/>
      <c r="C561" s="62"/>
      <c r="D561" s="62"/>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c r="AE561" s="58"/>
      <c r="AF561" s="58"/>
      <c r="AG561" s="58"/>
      <c r="AH561" s="58"/>
      <c r="AI561" s="58"/>
      <c r="AJ561" s="58"/>
      <c r="AK561" s="58"/>
      <c r="AL561" s="58"/>
      <c r="AM561" s="58"/>
      <c r="AN561" s="58"/>
      <c r="AO561" s="58"/>
      <c r="AP561" s="58"/>
      <c r="AQ561" s="58"/>
      <c r="AR561" s="58"/>
    </row>
    <row r="562" spans="1:44" ht="15.75" customHeight="1" x14ac:dyDescent="0.25">
      <c r="A562" s="64"/>
      <c r="B562" s="62"/>
      <c r="C562" s="62"/>
      <c r="D562" s="62"/>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c r="AE562" s="58"/>
      <c r="AF562" s="58"/>
      <c r="AG562" s="58"/>
      <c r="AH562" s="58"/>
      <c r="AI562" s="58"/>
      <c r="AJ562" s="58"/>
      <c r="AK562" s="58"/>
      <c r="AL562" s="58"/>
      <c r="AM562" s="58"/>
      <c r="AN562" s="58"/>
      <c r="AO562" s="58"/>
      <c r="AP562" s="58"/>
      <c r="AQ562" s="58"/>
      <c r="AR562" s="58"/>
    </row>
    <row r="563" spans="1:44" ht="15.75" customHeight="1" x14ac:dyDescent="0.25">
      <c r="A563" s="64"/>
      <c r="B563" s="62"/>
      <c r="C563" s="62"/>
      <c r="D563" s="62"/>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c r="AE563" s="58"/>
      <c r="AF563" s="58"/>
      <c r="AG563" s="58"/>
      <c r="AH563" s="58"/>
      <c r="AI563" s="58"/>
      <c r="AJ563" s="58"/>
      <c r="AK563" s="58"/>
      <c r="AL563" s="58"/>
      <c r="AM563" s="58"/>
      <c r="AN563" s="58"/>
      <c r="AO563" s="58"/>
      <c r="AP563" s="58"/>
      <c r="AQ563" s="58"/>
      <c r="AR563" s="58"/>
    </row>
    <row r="564" spans="1:44" ht="15.75" customHeight="1" x14ac:dyDescent="0.25">
      <c r="A564" s="64"/>
      <c r="B564" s="62"/>
      <c r="C564" s="62"/>
      <c r="D564" s="62"/>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c r="AE564" s="58"/>
      <c r="AF564" s="58"/>
      <c r="AG564" s="58"/>
      <c r="AH564" s="58"/>
      <c r="AI564" s="58"/>
      <c r="AJ564" s="58"/>
      <c r="AK564" s="58"/>
      <c r="AL564" s="58"/>
      <c r="AM564" s="58"/>
      <c r="AN564" s="58"/>
      <c r="AO564" s="58"/>
      <c r="AP564" s="58"/>
      <c r="AQ564" s="58"/>
      <c r="AR564" s="58"/>
    </row>
    <row r="565" spans="1:44" ht="15.75" customHeight="1" x14ac:dyDescent="0.25">
      <c r="A565" s="64"/>
      <c r="B565" s="62"/>
      <c r="C565" s="62"/>
      <c r="D565" s="62"/>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c r="AE565" s="58"/>
      <c r="AF565" s="58"/>
      <c r="AG565" s="58"/>
      <c r="AH565" s="58"/>
      <c r="AI565" s="58"/>
      <c r="AJ565" s="58"/>
      <c r="AK565" s="58"/>
      <c r="AL565" s="58"/>
      <c r="AM565" s="58"/>
      <c r="AN565" s="58"/>
      <c r="AO565" s="58"/>
      <c r="AP565" s="58"/>
      <c r="AQ565" s="58"/>
      <c r="AR565" s="58"/>
    </row>
    <row r="566" spans="1:44" ht="15.75" customHeight="1" x14ac:dyDescent="0.25">
      <c r="A566" s="64"/>
      <c r="B566" s="62"/>
      <c r="C566" s="62"/>
      <c r="D566" s="62"/>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c r="AE566" s="58"/>
      <c r="AF566" s="58"/>
      <c r="AG566" s="58"/>
      <c r="AH566" s="58"/>
      <c r="AI566" s="58"/>
      <c r="AJ566" s="58"/>
      <c r="AK566" s="58"/>
      <c r="AL566" s="58"/>
      <c r="AM566" s="58"/>
      <c r="AN566" s="58"/>
      <c r="AO566" s="58"/>
      <c r="AP566" s="58"/>
      <c r="AQ566" s="58"/>
      <c r="AR566" s="58"/>
    </row>
    <row r="567" spans="1:44" ht="15.75" customHeight="1" x14ac:dyDescent="0.25">
      <c r="A567" s="64"/>
      <c r="B567" s="62"/>
      <c r="C567" s="62"/>
      <c r="D567" s="62"/>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c r="AE567" s="58"/>
      <c r="AF567" s="58"/>
      <c r="AG567" s="58"/>
      <c r="AH567" s="58"/>
      <c r="AI567" s="58"/>
      <c r="AJ567" s="58"/>
      <c r="AK567" s="58"/>
      <c r="AL567" s="58"/>
      <c r="AM567" s="58"/>
      <c r="AN567" s="58"/>
      <c r="AO567" s="58"/>
      <c r="AP567" s="58"/>
      <c r="AQ567" s="58"/>
      <c r="AR567" s="58"/>
    </row>
    <row r="568" spans="1:44" ht="15.75" customHeight="1" x14ac:dyDescent="0.25">
      <c r="A568" s="64"/>
      <c r="B568" s="62"/>
      <c r="C568" s="62"/>
      <c r="D568" s="62"/>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c r="AE568" s="58"/>
      <c r="AF568" s="58"/>
      <c r="AG568" s="58"/>
      <c r="AH568" s="58"/>
      <c r="AI568" s="58"/>
      <c r="AJ568" s="58"/>
      <c r="AK568" s="58"/>
      <c r="AL568" s="58"/>
      <c r="AM568" s="58"/>
      <c r="AN568" s="58"/>
      <c r="AO568" s="58"/>
      <c r="AP568" s="58"/>
      <c r="AQ568" s="58"/>
      <c r="AR568" s="58"/>
    </row>
    <row r="569" spans="1:44" ht="15.75" customHeight="1" x14ac:dyDescent="0.25">
      <c r="A569" s="64"/>
      <c r="B569" s="62"/>
      <c r="C569" s="62"/>
      <c r="D569" s="62"/>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c r="AE569" s="58"/>
      <c r="AF569" s="58"/>
      <c r="AG569" s="58"/>
      <c r="AH569" s="58"/>
      <c r="AI569" s="58"/>
      <c r="AJ569" s="58"/>
      <c r="AK569" s="58"/>
      <c r="AL569" s="58"/>
      <c r="AM569" s="58"/>
      <c r="AN569" s="58"/>
      <c r="AO569" s="58"/>
      <c r="AP569" s="58"/>
      <c r="AQ569" s="58"/>
      <c r="AR569" s="58"/>
    </row>
    <row r="570" spans="1:44" ht="15.75" customHeight="1" x14ac:dyDescent="0.25">
      <c r="A570" s="64"/>
      <c r="B570" s="62"/>
      <c r="C570" s="62"/>
      <c r="D570" s="62"/>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c r="AE570" s="58"/>
      <c r="AF570" s="58"/>
      <c r="AG570" s="58"/>
      <c r="AH570" s="58"/>
      <c r="AI570" s="58"/>
      <c r="AJ570" s="58"/>
      <c r="AK570" s="58"/>
      <c r="AL570" s="58"/>
      <c r="AM570" s="58"/>
      <c r="AN570" s="58"/>
      <c r="AO570" s="58"/>
      <c r="AP570" s="58"/>
      <c r="AQ570" s="58"/>
      <c r="AR570" s="58"/>
    </row>
    <row r="571" spans="1:44" ht="15.75" customHeight="1" x14ac:dyDescent="0.25">
      <c r="A571" s="64"/>
      <c r="B571" s="62"/>
      <c r="C571" s="62"/>
      <c r="D571" s="62"/>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c r="AE571" s="58"/>
      <c r="AF571" s="58"/>
      <c r="AG571" s="58"/>
      <c r="AH571" s="58"/>
      <c r="AI571" s="58"/>
      <c r="AJ571" s="58"/>
      <c r="AK571" s="58"/>
      <c r="AL571" s="58"/>
      <c r="AM571" s="58"/>
      <c r="AN571" s="58"/>
      <c r="AO571" s="58"/>
      <c r="AP571" s="58"/>
      <c r="AQ571" s="58"/>
      <c r="AR571" s="58"/>
    </row>
    <row r="572" spans="1:44" ht="15.75" customHeight="1" x14ac:dyDescent="0.25">
      <c r="A572" s="64"/>
      <c r="B572" s="62"/>
      <c r="C572" s="62"/>
      <c r="D572" s="62"/>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c r="AE572" s="58"/>
      <c r="AF572" s="58"/>
      <c r="AG572" s="58"/>
      <c r="AH572" s="58"/>
      <c r="AI572" s="58"/>
      <c r="AJ572" s="58"/>
      <c r="AK572" s="58"/>
      <c r="AL572" s="58"/>
      <c r="AM572" s="58"/>
      <c r="AN572" s="58"/>
      <c r="AO572" s="58"/>
      <c r="AP572" s="58"/>
      <c r="AQ572" s="58"/>
      <c r="AR572" s="58"/>
    </row>
    <row r="573" spans="1:44" ht="15.75" customHeight="1" x14ac:dyDescent="0.25">
      <c r="A573" s="64"/>
      <c r="B573" s="62"/>
      <c r="C573" s="62"/>
      <c r="D573" s="62"/>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c r="AE573" s="58"/>
      <c r="AF573" s="58"/>
      <c r="AG573" s="58"/>
      <c r="AH573" s="58"/>
      <c r="AI573" s="58"/>
      <c r="AJ573" s="58"/>
      <c r="AK573" s="58"/>
      <c r="AL573" s="58"/>
      <c r="AM573" s="58"/>
      <c r="AN573" s="58"/>
      <c r="AO573" s="58"/>
      <c r="AP573" s="58"/>
      <c r="AQ573" s="58"/>
      <c r="AR573" s="58"/>
    </row>
    <row r="574" spans="1:44" ht="15.75" customHeight="1" x14ac:dyDescent="0.25">
      <c r="A574" s="64"/>
      <c r="B574" s="62"/>
      <c r="C574" s="62"/>
      <c r="D574" s="62"/>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c r="AE574" s="58"/>
      <c r="AF574" s="58"/>
      <c r="AG574" s="58"/>
      <c r="AH574" s="58"/>
      <c r="AI574" s="58"/>
      <c r="AJ574" s="58"/>
      <c r="AK574" s="58"/>
      <c r="AL574" s="58"/>
      <c r="AM574" s="58"/>
      <c r="AN574" s="58"/>
      <c r="AO574" s="58"/>
      <c r="AP574" s="58"/>
      <c r="AQ574" s="58"/>
      <c r="AR574" s="58"/>
    </row>
    <row r="575" spans="1:44" ht="15.75" customHeight="1" x14ac:dyDescent="0.25">
      <c r="A575" s="64"/>
      <c r="B575" s="62"/>
      <c r="C575" s="62"/>
      <c r="D575" s="62"/>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c r="AE575" s="58"/>
      <c r="AF575" s="58"/>
      <c r="AG575" s="58"/>
      <c r="AH575" s="58"/>
      <c r="AI575" s="58"/>
      <c r="AJ575" s="58"/>
      <c r="AK575" s="58"/>
      <c r="AL575" s="58"/>
      <c r="AM575" s="58"/>
      <c r="AN575" s="58"/>
      <c r="AO575" s="58"/>
      <c r="AP575" s="58"/>
      <c r="AQ575" s="58"/>
      <c r="AR575" s="58"/>
    </row>
    <row r="576" spans="1:44" ht="15.75" customHeight="1" x14ac:dyDescent="0.25">
      <c r="A576" s="64"/>
      <c r="B576" s="62"/>
      <c r="C576" s="62"/>
      <c r="D576" s="62"/>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c r="AE576" s="58"/>
      <c r="AF576" s="58"/>
      <c r="AG576" s="58"/>
      <c r="AH576" s="58"/>
      <c r="AI576" s="58"/>
      <c r="AJ576" s="58"/>
      <c r="AK576" s="58"/>
      <c r="AL576" s="58"/>
      <c r="AM576" s="58"/>
      <c r="AN576" s="58"/>
      <c r="AO576" s="58"/>
      <c r="AP576" s="58"/>
      <c r="AQ576" s="58"/>
      <c r="AR576" s="58"/>
    </row>
    <row r="577" spans="1:44" ht="15.75" customHeight="1" x14ac:dyDescent="0.25">
      <c r="A577" s="64"/>
      <c r="B577" s="62"/>
      <c r="C577" s="62"/>
      <c r="D577" s="62"/>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c r="AE577" s="58"/>
      <c r="AF577" s="58"/>
      <c r="AG577" s="58"/>
      <c r="AH577" s="58"/>
      <c r="AI577" s="58"/>
      <c r="AJ577" s="58"/>
      <c r="AK577" s="58"/>
      <c r="AL577" s="58"/>
      <c r="AM577" s="58"/>
      <c r="AN577" s="58"/>
      <c r="AO577" s="58"/>
      <c r="AP577" s="58"/>
      <c r="AQ577" s="58"/>
      <c r="AR577" s="58"/>
    </row>
    <row r="578" spans="1:44" ht="15.75" customHeight="1" x14ac:dyDescent="0.25">
      <c r="A578" s="64"/>
      <c r="B578" s="62"/>
      <c r="C578" s="62"/>
      <c r="D578" s="62"/>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c r="AE578" s="58"/>
      <c r="AF578" s="58"/>
      <c r="AG578" s="58"/>
      <c r="AH578" s="58"/>
      <c r="AI578" s="58"/>
      <c r="AJ578" s="58"/>
      <c r="AK578" s="58"/>
      <c r="AL578" s="58"/>
      <c r="AM578" s="58"/>
      <c r="AN578" s="58"/>
      <c r="AO578" s="58"/>
      <c r="AP578" s="58"/>
      <c r="AQ578" s="58"/>
      <c r="AR578" s="58"/>
    </row>
    <row r="579" spans="1:44" ht="15.75" customHeight="1" x14ac:dyDescent="0.25">
      <c r="A579" s="64"/>
      <c r="B579" s="62"/>
      <c r="C579" s="62"/>
      <c r="D579" s="62"/>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c r="AE579" s="58"/>
      <c r="AF579" s="58"/>
      <c r="AG579" s="58"/>
      <c r="AH579" s="58"/>
      <c r="AI579" s="58"/>
      <c r="AJ579" s="58"/>
      <c r="AK579" s="58"/>
      <c r="AL579" s="58"/>
      <c r="AM579" s="58"/>
      <c r="AN579" s="58"/>
      <c r="AO579" s="58"/>
      <c r="AP579" s="58"/>
      <c r="AQ579" s="58"/>
      <c r="AR579" s="58"/>
    </row>
    <row r="580" spans="1:44" ht="15.75" customHeight="1" x14ac:dyDescent="0.25">
      <c r="A580" s="64"/>
      <c r="B580" s="62"/>
      <c r="C580" s="62"/>
      <c r="D580" s="62"/>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c r="AE580" s="58"/>
      <c r="AF580" s="58"/>
      <c r="AG580" s="58"/>
      <c r="AH580" s="58"/>
      <c r="AI580" s="58"/>
      <c r="AJ580" s="58"/>
      <c r="AK580" s="58"/>
      <c r="AL580" s="58"/>
      <c r="AM580" s="58"/>
      <c r="AN580" s="58"/>
      <c r="AO580" s="58"/>
      <c r="AP580" s="58"/>
      <c r="AQ580" s="58"/>
      <c r="AR580" s="58"/>
    </row>
    <row r="581" spans="1:44" ht="15.75" customHeight="1" x14ac:dyDescent="0.25">
      <c r="A581" s="64"/>
      <c r="B581" s="62"/>
      <c r="C581" s="62"/>
      <c r="D581" s="62"/>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c r="AE581" s="58"/>
      <c r="AF581" s="58"/>
      <c r="AG581" s="58"/>
      <c r="AH581" s="58"/>
      <c r="AI581" s="58"/>
      <c r="AJ581" s="58"/>
      <c r="AK581" s="58"/>
      <c r="AL581" s="58"/>
      <c r="AM581" s="58"/>
      <c r="AN581" s="58"/>
      <c r="AO581" s="58"/>
      <c r="AP581" s="58"/>
      <c r="AQ581" s="58"/>
      <c r="AR581" s="58"/>
    </row>
    <row r="582" spans="1:44" ht="15.75" customHeight="1" x14ac:dyDescent="0.25">
      <c r="A582" s="64"/>
      <c r="B582" s="62"/>
      <c r="C582" s="62"/>
      <c r="D582" s="62"/>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c r="AE582" s="58"/>
      <c r="AF582" s="58"/>
      <c r="AG582" s="58"/>
      <c r="AH582" s="58"/>
      <c r="AI582" s="58"/>
      <c r="AJ582" s="58"/>
      <c r="AK582" s="58"/>
      <c r="AL582" s="58"/>
      <c r="AM582" s="58"/>
      <c r="AN582" s="58"/>
      <c r="AO582" s="58"/>
      <c r="AP582" s="58"/>
      <c r="AQ582" s="58"/>
      <c r="AR582" s="58"/>
    </row>
    <row r="583" spans="1:44" ht="15.75" customHeight="1" x14ac:dyDescent="0.25">
      <c r="A583" s="64"/>
      <c r="B583" s="62"/>
      <c r="C583" s="62"/>
      <c r="D583" s="62"/>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c r="AE583" s="58"/>
      <c r="AF583" s="58"/>
      <c r="AG583" s="58"/>
      <c r="AH583" s="58"/>
      <c r="AI583" s="58"/>
      <c r="AJ583" s="58"/>
      <c r="AK583" s="58"/>
      <c r="AL583" s="58"/>
      <c r="AM583" s="58"/>
      <c r="AN583" s="58"/>
      <c r="AO583" s="58"/>
      <c r="AP583" s="58"/>
      <c r="AQ583" s="58"/>
      <c r="AR583" s="58"/>
    </row>
    <row r="584" spans="1:44" ht="15.75" customHeight="1" x14ac:dyDescent="0.25">
      <c r="A584" s="64"/>
      <c r="B584" s="62"/>
      <c r="C584" s="62"/>
      <c r="D584" s="62"/>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c r="AE584" s="58"/>
      <c r="AF584" s="58"/>
      <c r="AG584" s="58"/>
      <c r="AH584" s="58"/>
      <c r="AI584" s="58"/>
      <c r="AJ584" s="58"/>
      <c r="AK584" s="58"/>
      <c r="AL584" s="58"/>
      <c r="AM584" s="58"/>
      <c r="AN584" s="58"/>
      <c r="AO584" s="58"/>
      <c r="AP584" s="58"/>
      <c r="AQ584" s="58"/>
      <c r="AR584" s="58"/>
    </row>
    <row r="585" spans="1:44" ht="15.75" customHeight="1" x14ac:dyDescent="0.25">
      <c r="A585" s="64"/>
      <c r="B585" s="62"/>
      <c r="C585" s="62"/>
      <c r="D585" s="62"/>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c r="AE585" s="58"/>
      <c r="AF585" s="58"/>
      <c r="AG585" s="58"/>
      <c r="AH585" s="58"/>
      <c r="AI585" s="58"/>
      <c r="AJ585" s="58"/>
      <c r="AK585" s="58"/>
      <c r="AL585" s="58"/>
      <c r="AM585" s="58"/>
      <c r="AN585" s="58"/>
      <c r="AO585" s="58"/>
      <c r="AP585" s="58"/>
      <c r="AQ585" s="58"/>
      <c r="AR585" s="58"/>
    </row>
    <row r="586" spans="1:44" ht="15.75" customHeight="1" x14ac:dyDescent="0.25">
      <c r="A586" s="64"/>
      <c r="B586" s="62"/>
      <c r="C586" s="62"/>
      <c r="D586" s="62"/>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c r="AE586" s="58"/>
      <c r="AF586" s="58"/>
      <c r="AG586" s="58"/>
      <c r="AH586" s="58"/>
      <c r="AI586" s="58"/>
      <c r="AJ586" s="58"/>
      <c r="AK586" s="58"/>
      <c r="AL586" s="58"/>
      <c r="AM586" s="58"/>
      <c r="AN586" s="58"/>
      <c r="AO586" s="58"/>
      <c r="AP586" s="58"/>
      <c r="AQ586" s="58"/>
      <c r="AR586" s="58"/>
    </row>
    <row r="587" spans="1:44" ht="15.75" customHeight="1" x14ac:dyDescent="0.25">
      <c r="A587" s="64"/>
      <c r="B587" s="62"/>
      <c r="C587" s="62"/>
      <c r="D587" s="62"/>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c r="AE587" s="58"/>
      <c r="AF587" s="58"/>
      <c r="AG587" s="58"/>
      <c r="AH587" s="58"/>
      <c r="AI587" s="58"/>
      <c r="AJ587" s="58"/>
      <c r="AK587" s="58"/>
      <c r="AL587" s="58"/>
      <c r="AM587" s="58"/>
      <c r="AN587" s="58"/>
      <c r="AO587" s="58"/>
      <c r="AP587" s="58"/>
      <c r="AQ587" s="58"/>
      <c r="AR587" s="58"/>
    </row>
    <row r="588" spans="1:44" ht="15.75" customHeight="1" x14ac:dyDescent="0.25">
      <c r="A588" s="64"/>
      <c r="B588" s="62"/>
      <c r="C588" s="62"/>
      <c r="D588" s="62"/>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c r="AE588" s="58"/>
      <c r="AF588" s="58"/>
      <c r="AG588" s="58"/>
      <c r="AH588" s="58"/>
      <c r="AI588" s="58"/>
      <c r="AJ588" s="58"/>
      <c r="AK588" s="58"/>
      <c r="AL588" s="58"/>
      <c r="AM588" s="58"/>
      <c r="AN588" s="58"/>
      <c r="AO588" s="58"/>
      <c r="AP588" s="58"/>
      <c r="AQ588" s="58"/>
      <c r="AR588" s="58"/>
    </row>
    <row r="589" spans="1:44" ht="15.75" customHeight="1" x14ac:dyDescent="0.25">
      <c r="A589" s="64"/>
      <c r="B589" s="62"/>
      <c r="C589" s="62"/>
      <c r="D589" s="62"/>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c r="AE589" s="58"/>
      <c r="AF589" s="58"/>
      <c r="AG589" s="58"/>
      <c r="AH589" s="58"/>
      <c r="AI589" s="58"/>
      <c r="AJ589" s="58"/>
      <c r="AK589" s="58"/>
      <c r="AL589" s="58"/>
      <c r="AM589" s="58"/>
      <c r="AN589" s="58"/>
      <c r="AO589" s="58"/>
      <c r="AP589" s="58"/>
      <c r="AQ589" s="58"/>
      <c r="AR589" s="58"/>
    </row>
    <row r="590" spans="1:44" ht="15.75" customHeight="1" x14ac:dyDescent="0.25">
      <c r="A590" s="64"/>
      <c r="B590" s="62"/>
      <c r="C590" s="62"/>
      <c r="D590" s="62"/>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c r="AE590" s="58"/>
      <c r="AF590" s="58"/>
      <c r="AG590" s="58"/>
      <c r="AH590" s="58"/>
      <c r="AI590" s="58"/>
      <c r="AJ590" s="58"/>
      <c r="AK590" s="58"/>
      <c r="AL590" s="58"/>
      <c r="AM590" s="58"/>
      <c r="AN590" s="58"/>
      <c r="AO590" s="58"/>
      <c r="AP590" s="58"/>
      <c r="AQ590" s="58"/>
      <c r="AR590" s="58"/>
    </row>
    <row r="591" spans="1:44" ht="15.75" customHeight="1" x14ac:dyDescent="0.25">
      <c r="A591" s="64"/>
      <c r="B591" s="62"/>
      <c r="C591" s="62"/>
      <c r="D591" s="62"/>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c r="AE591" s="58"/>
      <c r="AF591" s="58"/>
      <c r="AG591" s="58"/>
      <c r="AH591" s="58"/>
      <c r="AI591" s="58"/>
      <c r="AJ591" s="58"/>
      <c r="AK591" s="58"/>
      <c r="AL591" s="58"/>
      <c r="AM591" s="58"/>
      <c r="AN591" s="58"/>
      <c r="AO591" s="58"/>
      <c r="AP591" s="58"/>
      <c r="AQ591" s="58"/>
      <c r="AR591" s="58"/>
    </row>
    <row r="592" spans="1:44" ht="15.75" customHeight="1" x14ac:dyDescent="0.25">
      <c r="A592" s="64"/>
      <c r="B592" s="62"/>
      <c r="C592" s="62"/>
      <c r="D592" s="62"/>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c r="AE592" s="58"/>
      <c r="AF592" s="58"/>
      <c r="AG592" s="58"/>
      <c r="AH592" s="58"/>
      <c r="AI592" s="58"/>
      <c r="AJ592" s="58"/>
      <c r="AK592" s="58"/>
      <c r="AL592" s="58"/>
      <c r="AM592" s="58"/>
      <c r="AN592" s="58"/>
      <c r="AO592" s="58"/>
      <c r="AP592" s="58"/>
      <c r="AQ592" s="58"/>
      <c r="AR592" s="58"/>
    </row>
    <row r="593" spans="1:44" ht="15.75" customHeight="1" x14ac:dyDescent="0.25">
      <c r="A593" s="64"/>
      <c r="B593" s="62"/>
      <c r="C593" s="62"/>
      <c r="D593" s="62"/>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c r="AE593" s="58"/>
      <c r="AF593" s="58"/>
      <c r="AG593" s="58"/>
      <c r="AH593" s="58"/>
      <c r="AI593" s="58"/>
      <c r="AJ593" s="58"/>
      <c r="AK593" s="58"/>
      <c r="AL593" s="58"/>
      <c r="AM593" s="58"/>
      <c r="AN593" s="58"/>
      <c r="AO593" s="58"/>
      <c r="AP593" s="58"/>
      <c r="AQ593" s="58"/>
      <c r="AR593" s="58"/>
    </row>
    <row r="594" spans="1:44" ht="15.75" customHeight="1" x14ac:dyDescent="0.25">
      <c r="A594" s="64"/>
      <c r="B594" s="62"/>
      <c r="C594" s="62"/>
      <c r="D594" s="62"/>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c r="AE594" s="58"/>
      <c r="AF594" s="58"/>
      <c r="AG594" s="58"/>
      <c r="AH594" s="58"/>
      <c r="AI594" s="58"/>
      <c r="AJ594" s="58"/>
      <c r="AK594" s="58"/>
      <c r="AL594" s="58"/>
      <c r="AM594" s="58"/>
      <c r="AN594" s="58"/>
      <c r="AO594" s="58"/>
      <c r="AP594" s="58"/>
      <c r="AQ594" s="58"/>
      <c r="AR594" s="58"/>
    </row>
    <row r="595" spans="1:44" ht="15.75" customHeight="1" x14ac:dyDescent="0.25">
      <c r="A595" s="64"/>
      <c r="B595" s="62"/>
      <c r="C595" s="62"/>
      <c r="D595" s="62"/>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c r="AE595" s="58"/>
      <c r="AF595" s="58"/>
      <c r="AG595" s="58"/>
      <c r="AH595" s="58"/>
      <c r="AI595" s="58"/>
      <c r="AJ595" s="58"/>
      <c r="AK595" s="58"/>
      <c r="AL595" s="58"/>
      <c r="AM595" s="58"/>
      <c r="AN595" s="58"/>
      <c r="AO595" s="58"/>
      <c r="AP595" s="58"/>
      <c r="AQ595" s="58"/>
      <c r="AR595" s="58"/>
    </row>
    <row r="596" spans="1:44" ht="15.75" customHeight="1" x14ac:dyDescent="0.25">
      <c r="A596" s="64"/>
      <c r="B596" s="62"/>
      <c r="C596" s="62"/>
      <c r="D596" s="62"/>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c r="AE596" s="58"/>
      <c r="AF596" s="58"/>
      <c r="AG596" s="58"/>
      <c r="AH596" s="58"/>
      <c r="AI596" s="58"/>
      <c r="AJ596" s="58"/>
      <c r="AK596" s="58"/>
      <c r="AL596" s="58"/>
      <c r="AM596" s="58"/>
      <c r="AN596" s="58"/>
      <c r="AO596" s="58"/>
      <c r="AP596" s="58"/>
      <c r="AQ596" s="58"/>
      <c r="AR596" s="58"/>
    </row>
    <row r="597" spans="1:44" ht="15.75" customHeight="1" x14ac:dyDescent="0.25">
      <c r="A597" s="64"/>
      <c r="B597" s="62"/>
      <c r="C597" s="62"/>
      <c r="D597" s="62"/>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c r="AE597" s="58"/>
      <c r="AF597" s="58"/>
      <c r="AG597" s="58"/>
      <c r="AH597" s="58"/>
      <c r="AI597" s="58"/>
      <c r="AJ597" s="58"/>
      <c r="AK597" s="58"/>
      <c r="AL597" s="58"/>
      <c r="AM597" s="58"/>
      <c r="AN597" s="58"/>
      <c r="AO597" s="58"/>
      <c r="AP597" s="58"/>
      <c r="AQ597" s="58"/>
      <c r="AR597" s="58"/>
    </row>
    <row r="598" spans="1:44" ht="15.75" customHeight="1" x14ac:dyDescent="0.25">
      <c r="A598" s="64"/>
      <c r="B598" s="62"/>
      <c r="C598" s="62"/>
      <c r="D598" s="62"/>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c r="AE598" s="58"/>
      <c r="AF598" s="58"/>
      <c r="AG598" s="58"/>
      <c r="AH598" s="58"/>
      <c r="AI598" s="58"/>
      <c r="AJ598" s="58"/>
      <c r="AK598" s="58"/>
      <c r="AL598" s="58"/>
      <c r="AM598" s="58"/>
      <c r="AN598" s="58"/>
      <c r="AO598" s="58"/>
      <c r="AP598" s="58"/>
      <c r="AQ598" s="58"/>
      <c r="AR598" s="58"/>
    </row>
    <row r="599" spans="1:44" ht="15.75" customHeight="1" x14ac:dyDescent="0.25">
      <c r="A599" s="64"/>
      <c r="B599" s="62"/>
      <c r="C599" s="62"/>
      <c r="D599" s="62"/>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c r="AE599" s="58"/>
      <c r="AF599" s="58"/>
      <c r="AG599" s="58"/>
      <c r="AH599" s="58"/>
      <c r="AI599" s="58"/>
      <c r="AJ599" s="58"/>
      <c r="AK599" s="58"/>
      <c r="AL599" s="58"/>
      <c r="AM599" s="58"/>
      <c r="AN599" s="58"/>
      <c r="AO599" s="58"/>
      <c r="AP599" s="58"/>
      <c r="AQ599" s="58"/>
      <c r="AR599" s="58"/>
    </row>
    <row r="600" spans="1:44" ht="15.75" customHeight="1" x14ac:dyDescent="0.25">
      <c r="A600" s="64"/>
      <c r="B600" s="62"/>
      <c r="C600" s="62"/>
      <c r="D600" s="62"/>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c r="AE600" s="58"/>
      <c r="AF600" s="58"/>
      <c r="AG600" s="58"/>
      <c r="AH600" s="58"/>
      <c r="AI600" s="58"/>
      <c r="AJ600" s="58"/>
      <c r="AK600" s="58"/>
      <c r="AL600" s="58"/>
      <c r="AM600" s="58"/>
      <c r="AN600" s="58"/>
      <c r="AO600" s="58"/>
      <c r="AP600" s="58"/>
      <c r="AQ600" s="58"/>
      <c r="AR600" s="58"/>
    </row>
    <row r="601" spans="1:44" ht="15.75" customHeight="1" x14ac:dyDescent="0.25">
      <c r="A601" s="64"/>
      <c r="B601" s="62"/>
      <c r="C601" s="62"/>
      <c r="D601" s="62"/>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c r="AE601" s="58"/>
      <c r="AF601" s="58"/>
      <c r="AG601" s="58"/>
      <c r="AH601" s="58"/>
      <c r="AI601" s="58"/>
      <c r="AJ601" s="58"/>
      <c r="AK601" s="58"/>
      <c r="AL601" s="58"/>
      <c r="AM601" s="58"/>
      <c r="AN601" s="58"/>
      <c r="AO601" s="58"/>
      <c r="AP601" s="58"/>
      <c r="AQ601" s="58"/>
      <c r="AR601" s="58"/>
    </row>
    <row r="602" spans="1:44" ht="15.75" customHeight="1" x14ac:dyDescent="0.25">
      <c r="A602" s="64"/>
      <c r="B602" s="62"/>
      <c r="C602" s="62"/>
      <c r="D602" s="62"/>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c r="AE602" s="58"/>
      <c r="AF602" s="58"/>
      <c r="AG602" s="58"/>
      <c r="AH602" s="58"/>
      <c r="AI602" s="58"/>
      <c r="AJ602" s="58"/>
      <c r="AK602" s="58"/>
      <c r="AL602" s="58"/>
      <c r="AM602" s="58"/>
      <c r="AN602" s="58"/>
      <c r="AO602" s="58"/>
      <c r="AP602" s="58"/>
      <c r="AQ602" s="58"/>
      <c r="AR602" s="58"/>
    </row>
    <row r="603" spans="1:44" ht="15.75" customHeight="1" x14ac:dyDescent="0.25">
      <c r="A603" s="64"/>
      <c r="B603" s="62"/>
      <c r="C603" s="62"/>
      <c r="D603" s="62"/>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c r="AE603" s="58"/>
      <c r="AF603" s="58"/>
      <c r="AG603" s="58"/>
      <c r="AH603" s="58"/>
      <c r="AI603" s="58"/>
      <c r="AJ603" s="58"/>
      <c r="AK603" s="58"/>
      <c r="AL603" s="58"/>
      <c r="AM603" s="58"/>
      <c r="AN603" s="58"/>
      <c r="AO603" s="58"/>
      <c r="AP603" s="58"/>
      <c r="AQ603" s="58"/>
      <c r="AR603" s="58"/>
    </row>
    <row r="604" spans="1:44" ht="15.75" customHeight="1" x14ac:dyDescent="0.25">
      <c r="A604" s="64"/>
      <c r="B604" s="62"/>
      <c r="C604" s="62"/>
      <c r="D604" s="62"/>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c r="AE604" s="58"/>
      <c r="AF604" s="58"/>
      <c r="AG604" s="58"/>
      <c r="AH604" s="58"/>
      <c r="AI604" s="58"/>
      <c r="AJ604" s="58"/>
      <c r="AK604" s="58"/>
      <c r="AL604" s="58"/>
      <c r="AM604" s="58"/>
      <c r="AN604" s="58"/>
      <c r="AO604" s="58"/>
      <c r="AP604" s="58"/>
      <c r="AQ604" s="58"/>
      <c r="AR604" s="58"/>
    </row>
    <row r="605" spans="1:44" ht="15.75" customHeight="1" x14ac:dyDescent="0.25">
      <c r="A605" s="64"/>
      <c r="B605" s="62"/>
      <c r="C605" s="62"/>
      <c r="D605" s="62"/>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c r="AE605" s="58"/>
      <c r="AF605" s="58"/>
      <c r="AG605" s="58"/>
      <c r="AH605" s="58"/>
      <c r="AI605" s="58"/>
      <c r="AJ605" s="58"/>
      <c r="AK605" s="58"/>
      <c r="AL605" s="58"/>
      <c r="AM605" s="58"/>
      <c r="AN605" s="58"/>
      <c r="AO605" s="58"/>
      <c r="AP605" s="58"/>
      <c r="AQ605" s="58"/>
      <c r="AR605" s="58"/>
    </row>
    <row r="606" spans="1:44" ht="15.75" customHeight="1" x14ac:dyDescent="0.25">
      <c r="A606" s="64"/>
      <c r="B606" s="62"/>
      <c r="C606" s="62"/>
      <c r="D606" s="62"/>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c r="AE606" s="58"/>
      <c r="AF606" s="58"/>
      <c r="AG606" s="58"/>
      <c r="AH606" s="58"/>
      <c r="AI606" s="58"/>
      <c r="AJ606" s="58"/>
      <c r="AK606" s="58"/>
      <c r="AL606" s="58"/>
      <c r="AM606" s="58"/>
      <c r="AN606" s="58"/>
      <c r="AO606" s="58"/>
      <c r="AP606" s="58"/>
      <c r="AQ606" s="58"/>
      <c r="AR606" s="58"/>
    </row>
    <row r="607" spans="1:44" ht="15.75" customHeight="1" x14ac:dyDescent="0.25">
      <c r="A607" s="64"/>
      <c r="B607" s="62"/>
      <c r="C607" s="62"/>
      <c r="D607" s="62"/>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c r="AE607" s="58"/>
      <c r="AF607" s="58"/>
      <c r="AG607" s="58"/>
      <c r="AH607" s="58"/>
      <c r="AI607" s="58"/>
      <c r="AJ607" s="58"/>
      <c r="AK607" s="58"/>
      <c r="AL607" s="58"/>
      <c r="AM607" s="58"/>
      <c r="AN607" s="58"/>
      <c r="AO607" s="58"/>
      <c r="AP607" s="58"/>
      <c r="AQ607" s="58"/>
      <c r="AR607" s="58"/>
    </row>
    <row r="608" spans="1:44" ht="15.75" customHeight="1" x14ac:dyDescent="0.25">
      <c r="A608" s="64"/>
      <c r="B608" s="62"/>
      <c r="C608" s="62"/>
      <c r="D608" s="62"/>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c r="AE608" s="58"/>
      <c r="AF608" s="58"/>
      <c r="AG608" s="58"/>
      <c r="AH608" s="58"/>
      <c r="AI608" s="58"/>
      <c r="AJ608" s="58"/>
      <c r="AK608" s="58"/>
      <c r="AL608" s="58"/>
      <c r="AM608" s="58"/>
      <c r="AN608" s="58"/>
      <c r="AO608" s="58"/>
      <c r="AP608" s="58"/>
      <c r="AQ608" s="58"/>
      <c r="AR608" s="58"/>
    </row>
    <row r="609" spans="1:44" ht="15.75" customHeight="1" x14ac:dyDescent="0.25">
      <c r="A609" s="64"/>
      <c r="B609" s="62"/>
      <c r="C609" s="62"/>
      <c r="D609" s="62"/>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c r="AE609" s="58"/>
      <c r="AF609" s="58"/>
      <c r="AG609" s="58"/>
      <c r="AH609" s="58"/>
      <c r="AI609" s="58"/>
      <c r="AJ609" s="58"/>
      <c r="AK609" s="58"/>
      <c r="AL609" s="58"/>
      <c r="AM609" s="58"/>
      <c r="AN609" s="58"/>
      <c r="AO609" s="58"/>
      <c r="AP609" s="58"/>
      <c r="AQ609" s="58"/>
      <c r="AR609" s="58"/>
    </row>
    <row r="610" spans="1:44" ht="15.75" customHeight="1" x14ac:dyDescent="0.25">
      <c r="A610" s="64"/>
      <c r="B610" s="62"/>
      <c r="C610" s="62"/>
      <c r="D610" s="62"/>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c r="AE610" s="58"/>
      <c r="AF610" s="58"/>
      <c r="AG610" s="58"/>
      <c r="AH610" s="58"/>
      <c r="AI610" s="58"/>
      <c r="AJ610" s="58"/>
      <c r="AK610" s="58"/>
      <c r="AL610" s="58"/>
      <c r="AM610" s="58"/>
      <c r="AN610" s="58"/>
      <c r="AO610" s="58"/>
      <c r="AP610" s="58"/>
      <c r="AQ610" s="58"/>
      <c r="AR610" s="58"/>
    </row>
    <row r="611" spans="1:44" ht="15.75" customHeight="1" x14ac:dyDescent="0.25">
      <c r="A611" s="64"/>
      <c r="B611" s="62"/>
      <c r="C611" s="62"/>
      <c r="D611" s="62"/>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c r="AE611" s="58"/>
      <c r="AF611" s="58"/>
      <c r="AG611" s="58"/>
      <c r="AH611" s="58"/>
      <c r="AI611" s="58"/>
      <c r="AJ611" s="58"/>
      <c r="AK611" s="58"/>
      <c r="AL611" s="58"/>
      <c r="AM611" s="58"/>
      <c r="AN611" s="58"/>
      <c r="AO611" s="58"/>
      <c r="AP611" s="58"/>
      <c r="AQ611" s="58"/>
      <c r="AR611" s="58"/>
    </row>
    <row r="612" spans="1:44" ht="15.75" customHeight="1" x14ac:dyDescent="0.25">
      <c r="A612" s="64"/>
      <c r="B612" s="62"/>
      <c r="C612" s="62"/>
      <c r="D612" s="62"/>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c r="AE612" s="58"/>
      <c r="AF612" s="58"/>
      <c r="AG612" s="58"/>
      <c r="AH612" s="58"/>
      <c r="AI612" s="58"/>
      <c r="AJ612" s="58"/>
      <c r="AK612" s="58"/>
      <c r="AL612" s="58"/>
      <c r="AM612" s="58"/>
      <c r="AN612" s="58"/>
      <c r="AO612" s="58"/>
      <c r="AP612" s="58"/>
      <c r="AQ612" s="58"/>
      <c r="AR612" s="58"/>
    </row>
    <row r="613" spans="1:44" ht="15.75" customHeight="1" x14ac:dyDescent="0.25">
      <c r="A613" s="64"/>
      <c r="B613" s="62"/>
      <c r="C613" s="62"/>
      <c r="D613" s="62"/>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c r="AE613" s="58"/>
      <c r="AF613" s="58"/>
      <c r="AG613" s="58"/>
      <c r="AH613" s="58"/>
      <c r="AI613" s="58"/>
      <c r="AJ613" s="58"/>
      <c r="AK613" s="58"/>
      <c r="AL613" s="58"/>
      <c r="AM613" s="58"/>
      <c r="AN613" s="58"/>
      <c r="AO613" s="58"/>
      <c r="AP613" s="58"/>
      <c r="AQ613" s="58"/>
      <c r="AR613" s="58"/>
    </row>
    <row r="614" spans="1:44" ht="15.75" customHeight="1" x14ac:dyDescent="0.25">
      <c r="A614" s="64"/>
      <c r="B614" s="62"/>
      <c r="C614" s="62"/>
      <c r="D614" s="62"/>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c r="AE614" s="58"/>
      <c r="AF614" s="58"/>
      <c r="AG614" s="58"/>
      <c r="AH614" s="58"/>
      <c r="AI614" s="58"/>
      <c r="AJ614" s="58"/>
      <c r="AK614" s="58"/>
      <c r="AL614" s="58"/>
      <c r="AM614" s="58"/>
      <c r="AN614" s="58"/>
      <c r="AO614" s="58"/>
      <c r="AP614" s="58"/>
      <c r="AQ614" s="58"/>
      <c r="AR614" s="58"/>
    </row>
    <row r="615" spans="1:44" ht="15.75" customHeight="1" x14ac:dyDescent="0.25">
      <c r="A615" s="64"/>
      <c r="B615" s="62"/>
      <c r="C615" s="62"/>
      <c r="D615" s="62"/>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c r="AE615" s="58"/>
      <c r="AF615" s="58"/>
      <c r="AG615" s="58"/>
      <c r="AH615" s="58"/>
      <c r="AI615" s="58"/>
      <c r="AJ615" s="58"/>
      <c r="AK615" s="58"/>
      <c r="AL615" s="58"/>
      <c r="AM615" s="58"/>
      <c r="AN615" s="58"/>
      <c r="AO615" s="58"/>
      <c r="AP615" s="58"/>
      <c r="AQ615" s="58"/>
      <c r="AR615" s="58"/>
    </row>
    <row r="616" spans="1:44" ht="15.75" customHeight="1" x14ac:dyDescent="0.25">
      <c r="A616" s="64"/>
      <c r="B616" s="62"/>
      <c r="C616" s="62"/>
      <c r="D616" s="62"/>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c r="AE616" s="58"/>
      <c r="AF616" s="58"/>
      <c r="AG616" s="58"/>
      <c r="AH616" s="58"/>
      <c r="AI616" s="58"/>
      <c r="AJ616" s="58"/>
      <c r="AK616" s="58"/>
      <c r="AL616" s="58"/>
      <c r="AM616" s="58"/>
      <c r="AN616" s="58"/>
      <c r="AO616" s="58"/>
      <c r="AP616" s="58"/>
      <c r="AQ616" s="58"/>
      <c r="AR616" s="58"/>
    </row>
    <row r="617" spans="1:44" ht="15.75" customHeight="1" x14ac:dyDescent="0.25">
      <c r="A617" s="64"/>
      <c r="B617" s="62"/>
      <c r="C617" s="62"/>
      <c r="D617" s="62"/>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c r="AE617" s="58"/>
      <c r="AF617" s="58"/>
      <c r="AG617" s="58"/>
      <c r="AH617" s="58"/>
      <c r="AI617" s="58"/>
      <c r="AJ617" s="58"/>
      <c r="AK617" s="58"/>
      <c r="AL617" s="58"/>
      <c r="AM617" s="58"/>
      <c r="AN617" s="58"/>
      <c r="AO617" s="58"/>
      <c r="AP617" s="58"/>
      <c r="AQ617" s="58"/>
      <c r="AR617" s="58"/>
    </row>
    <row r="618" spans="1:44" ht="15.75" customHeight="1" x14ac:dyDescent="0.25">
      <c r="A618" s="64"/>
      <c r="B618" s="62"/>
      <c r="C618" s="62"/>
      <c r="D618" s="62"/>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c r="AG618" s="58"/>
      <c r="AH618" s="58"/>
      <c r="AI618" s="58"/>
      <c r="AJ618" s="58"/>
      <c r="AK618" s="58"/>
      <c r="AL618" s="58"/>
      <c r="AM618" s="58"/>
      <c r="AN618" s="58"/>
      <c r="AO618" s="58"/>
      <c r="AP618" s="58"/>
      <c r="AQ618" s="58"/>
      <c r="AR618" s="58"/>
    </row>
    <row r="619" spans="1:44" ht="15.75" customHeight="1" x14ac:dyDescent="0.25">
      <c r="A619" s="64"/>
      <c r="B619" s="62"/>
      <c r="C619" s="62"/>
      <c r="D619" s="62"/>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c r="AE619" s="58"/>
      <c r="AF619" s="58"/>
      <c r="AG619" s="58"/>
      <c r="AH619" s="58"/>
      <c r="AI619" s="58"/>
      <c r="AJ619" s="58"/>
      <c r="AK619" s="58"/>
      <c r="AL619" s="58"/>
      <c r="AM619" s="58"/>
      <c r="AN619" s="58"/>
      <c r="AO619" s="58"/>
      <c r="AP619" s="58"/>
      <c r="AQ619" s="58"/>
      <c r="AR619" s="58"/>
    </row>
    <row r="620" spans="1:44" ht="15.75" customHeight="1" x14ac:dyDescent="0.25">
      <c r="A620" s="64"/>
      <c r="B620" s="62"/>
      <c r="C620" s="62"/>
      <c r="D620" s="62"/>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c r="AE620" s="58"/>
      <c r="AF620" s="58"/>
      <c r="AG620" s="58"/>
      <c r="AH620" s="58"/>
      <c r="AI620" s="58"/>
      <c r="AJ620" s="58"/>
      <c r="AK620" s="58"/>
      <c r="AL620" s="58"/>
      <c r="AM620" s="58"/>
      <c r="AN620" s="58"/>
      <c r="AO620" s="58"/>
      <c r="AP620" s="58"/>
      <c r="AQ620" s="58"/>
      <c r="AR620" s="58"/>
    </row>
    <row r="621" spans="1:44" ht="15.75" customHeight="1" x14ac:dyDescent="0.25">
      <c r="A621" s="64"/>
      <c r="B621" s="62"/>
      <c r="C621" s="62"/>
      <c r="D621" s="62"/>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c r="AE621" s="58"/>
      <c r="AF621" s="58"/>
      <c r="AG621" s="58"/>
      <c r="AH621" s="58"/>
      <c r="AI621" s="58"/>
      <c r="AJ621" s="58"/>
      <c r="AK621" s="58"/>
      <c r="AL621" s="58"/>
      <c r="AM621" s="58"/>
      <c r="AN621" s="58"/>
      <c r="AO621" s="58"/>
      <c r="AP621" s="58"/>
      <c r="AQ621" s="58"/>
      <c r="AR621" s="58"/>
    </row>
    <row r="622" spans="1:44" ht="15.75" customHeight="1" x14ac:dyDescent="0.25">
      <c r="A622" s="64"/>
      <c r="B622" s="62"/>
      <c r="C622" s="62"/>
      <c r="D622" s="62"/>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c r="AE622" s="58"/>
      <c r="AF622" s="58"/>
      <c r="AG622" s="58"/>
      <c r="AH622" s="58"/>
      <c r="AI622" s="58"/>
      <c r="AJ622" s="58"/>
      <c r="AK622" s="58"/>
      <c r="AL622" s="58"/>
      <c r="AM622" s="58"/>
      <c r="AN622" s="58"/>
      <c r="AO622" s="58"/>
      <c r="AP622" s="58"/>
      <c r="AQ622" s="58"/>
      <c r="AR622" s="58"/>
    </row>
    <row r="623" spans="1:44" ht="15.75" customHeight="1" x14ac:dyDescent="0.25">
      <c r="A623" s="64"/>
      <c r="B623" s="62"/>
      <c r="C623" s="62"/>
      <c r="D623" s="62"/>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c r="AE623" s="58"/>
      <c r="AF623" s="58"/>
      <c r="AG623" s="58"/>
      <c r="AH623" s="58"/>
      <c r="AI623" s="58"/>
      <c r="AJ623" s="58"/>
      <c r="AK623" s="58"/>
      <c r="AL623" s="58"/>
      <c r="AM623" s="58"/>
      <c r="AN623" s="58"/>
      <c r="AO623" s="58"/>
      <c r="AP623" s="58"/>
      <c r="AQ623" s="58"/>
      <c r="AR623" s="58"/>
    </row>
    <row r="624" spans="1:44" ht="15.75" customHeight="1" x14ac:dyDescent="0.25">
      <c r="A624" s="64"/>
      <c r="B624" s="62"/>
      <c r="C624" s="62"/>
      <c r="D624" s="62"/>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c r="AE624" s="58"/>
      <c r="AF624" s="58"/>
      <c r="AG624" s="58"/>
      <c r="AH624" s="58"/>
      <c r="AI624" s="58"/>
      <c r="AJ624" s="58"/>
      <c r="AK624" s="58"/>
      <c r="AL624" s="58"/>
      <c r="AM624" s="58"/>
      <c r="AN624" s="58"/>
      <c r="AO624" s="58"/>
      <c r="AP624" s="58"/>
      <c r="AQ624" s="58"/>
      <c r="AR624" s="58"/>
    </row>
    <row r="625" spans="1:44" ht="15.75" customHeight="1" x14ac:dyDescent="0.25">
      <c r="A625" s="64"/>
      <c r="B625" s="62"/>
      <c r="C625" s="62"/>
      <c r="D625" s="62"/>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c r="AE625" s="58"/>
      <c r="AF625" s="58"/>
      <c r="AG625" s="58"/>
      <c r="AH625" s="58"/>
      <c r="AI625" s="58"/>
      <c r="AJ625" s="58"/>
      <c r="AK625" s="58"/>
      <c r="AL625" s="58"/>
      <c r="AM625" s="58"/>
      <c r="AN625" s="58"/>
      <c r="AO625" s="58"/>
      <c r="AP625" s="58"/>
      <c r="AQ625" s="58"/>
      <c r="AR625" s="58"/>
    </row>
    <row r="626" spans="1:44" ht="15.75" customHeight="1" x14ac:dyDescent="0.25">
      <c r="A626" s="64"/>
      <c r="B626" s="62"/>
      <c r="C626" s="62"/>
      <c r="D626" s="62"/>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c r="AE626" s="58"/>
      <c r="AF626" s="58"/>
      <c r="AG626" s="58"/>
      <c r="AH626" s="58"/>
      <c r="AI626" s="58"/>
      <c r="AJ626" s="58"/>
      <c r="AK626" s="58"/>
      <c r="AL626" s="58"/>
      <c r="AM626" s="58"/>
      <c r="AN626" s="58"/>
      <c r="AO626" s="58"/>
      <c r="AP626" s="58"/>
      <c r="AQ626" s="58"/>
      <c r="AR626" s="58"/>
    </row>
    <row r="627" spans="1:44" ht="15.75" customHeight="1" x14ac:dyDescent="0.25">
      <c r="A627" s="64"/>
      <c r="B627" s="62"/>
      <c r="C627" s="62"/>
      <c r="D627" s="62"/>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c r="AE627" s="58"/>
      <c r="AF627" s="58"/>
      <c r="AG627" s="58"/>
      <c r="AH627" s="58"/>
      <c r="AI627" s="58"/>
      <c r="AJ627" s="58"/>
      <c r="AK627" s="58"/>
      <c r="AL627" s="58"/>
      <c r="AM627" s="58"/>
      <c r="AN627" s="58"/>
      <c r="AO627" s="58"/>
      <c r="AP627" s="58"/>
      <c r="AQ627" s="58"/>
      <c r="AR627" s="58"/>
    </row>
    <row r="628" spans="1:44" ht="15.75" customHeight="1" x14ac:dyDescent="0.25">
      <c r="A628" s="64"/>
      <c r="B628" s="62"/>
      <c r="C628" s="62"/>
      <c r="D628" s="62"/>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c r="AE628" s="58"/>
      <c r="AF628" s="58"/>
      <c r="AG628" s="58"/>
      <c r="AH628" s="58"/>
      <c r="AI628" s="58"/>
      <c r="AJ628" s="58"/>
      <c r="AK628" s="58"/>
      <c r="AL628" s="58"/>
      <c r="AM628" s="58"/>
      <c r="AN628" s="58"/>
      <c r="AO628" s="58"/>
      <c r="AP628" s="58"/>
      <c r="AQ628" s="58"/>
      <c r="AR628" s="58"/>
    </row>
    <row r="629" spans="1:44" ht="15.75" customHeight="1" x14ac:dyDescent="0.25">
      <c r="A629" s="64"/>
      <c r="B629" s="62"/>
      <c r="C629" s="62"/>
      <c r="D629" s="62"/>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c r="AE629" s="58"/>
      <c r="AF629" s="58"/>
      <c r="AG629" s="58"/>
      <c r="AH629" s="58"/>
      <c r="AI629" s="58"/>
      <c r="AJ629" s="58"/>
      <c r="AK629" s="58"/>
      <c r="AL629" s="58"/>
      <c r="AM629" s="58"/>
      <c r="AN629" s="58"/>
      <c r="AO629" s="58"/>
      <c r="AP629" s="58"/>
      <c r="AQ629" s="58"/>
      <c r="AR629" s="58"/>
    </row>
    <row r="630" spans="1:44" ht="15.75" customHeight="1" x14ac:dyDescent="0.25">
      <c r="A630" s="64"/>
      <c r="B630" s="62"/>
      <c r="C630" s="62"/>
      <c r="D630" s="62"/>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c r="AE630" s="58"/>
      <c r="AF630" s="58"/>
      <c r="AG630" s="58"/>
      <c r="AH630" s="58"/>
      <c r="AI630" s="58"/>
      <c r="AJ630" s="58"/>
      <c r="AK630" s="58"/>
      <c r="AL630" s="58"/>
      <c r="AM630" s="58"/>
      <c r="AN630" s="58"/>
      <c r="AO630" s="58"/>
      <c r="AP630" s="58"/>
      <c r="AQ630" s="58"/>
      <c r="AR630" s="58"/>
    </row>
    <row r="631" spans="1:44" ht="15.75" customHeight="1" x14ac:dyDescent="0.25">
      <c r="A631" s="64"/>
      <c r="B631" s="62"/>
      <c r="C631" s="62"/>
      <c r="D631" s="62"/>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c r="AE631" s="58"/>
      <c r="AF631" s="58"/>
      <c r="AG631" s="58"/>
      <c r="AH631" s="58"/>
      <c r="AI631" s="58"/>
      <c r="AJ631" s="58"/>
      <c r="AK631" s="58"/>
      <c r="AL631" s="58"/>
      <c r="AM631" s="58"/>
      <c r="AN631" s="58"/>
      <c r="AO631" s="58"/>
      <c r="AP631" s="58"/>
      <c r="AQ631" s="58"/>
      <c r="AR631" s="58"/>
    </row>
    <row r="632" spans="1:44" ht="15.75" customHeight="1" x14ac:dyDescent="0.25">
      <c r="A632" s="64"/>
      <c r="B632" s="62"/>
      <c r="C632" s="62"/>
      <c r="D632" s="62"/>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c r="AE632" s="58"/>
      <c r="AF632" s="58"/>
      <c r="AG632" s="58"/>
      <c r="AH632" s="58"/>
      <c r="AI632" s="58"/>
      <c r="AJ632" s="58"/>
      <c r="AK632" s="58"/>
      <c r="AL632" s="58"/>
      <c r="AM632" s="58"/>
      <c r="AN632" s="58"/>
      <c r="AO632" s="58"/>
      <c r="AP632" s="58"/>
      <c r="AQ632" s="58"/>
      <c r="AR632" s="58"/>
    </row>
    <row r="633" spans="1:44" ht="15.75" customHeight="1" x14ac:dyDescent="0.25">
      <c r="A633" s="64"/>
      <c r="B633" s="62"/>
      <c r="C633" s="62"/>
      <c r="D633" s="62"/>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c r="AE633" s="58"/>
      <c r="AF633" s="58"/>
      <c r="AG633" s="58"/>
      <c r="AH633" s="58"/>
      <c r="AI633" s="58"/>
      <c r="AJ633" s="58"/>
      <c r="AK633" s="58"/>
      <c r="AL633" s="58"/>
      <c r="AM633" s="58"/>
      <c r="AN633" s="58"/>
      <c r="AO633" s="58"/>
      <c r="AP633" s="58"/>
      <c r="AQ633" s="58"/>
      <c r="AR633" s="58"/>
    </row>
    <row r="634" spans="1:44" ht="15.75" customHeight="1" x14ac:dyDescent="0.25">
      <c r="A634" s="64"/>
      <c r="B634" s="62"/>
      <c r="C634" s="62"/>
      <c r="D634" s="62"/>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c r="AE634" s="58"/>
      <c r="AF634" s="58"/>
      <c r="AG634" s="58"/>
      <c r="AH634" s="58"/>
      <c r="AI634" s="58"/>
      <c r="AJ634" s="58"/>
      <c r="AK634" s="58"/>
      <c r="AL634" s="58"/>
      <c r="AM634" s="58"/>
      <c r="AN634" s="58"/>
      <c r="AO634" s="58"/>
      <c r="AP634" s="58"/>
      <c r="AQ634" s="58"/>
      <c r="AR634" s="58"/>
    </row>
    <row r="635" spans="1:44" ht="15.75" customHeight="1" x14ac:dyDescent="0.25">
      <c r="A635" s="64"/>
      <c r="B635" s="62"/>
      <c r="C635" s="62"/>
      <c r="D635" s="62"/>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c r="AE635" s="58"/>
      <c r="AF635" s="58"/>
      <c r="AG635" s="58"/>
      <c r="AH635" s="58"/>
      <c r="AI635" s="58"/>
      <c r="AJ635" s="58"/>
      <c r="AK635" s="58"/>
      <c r="AL635" s="58"/>
      <c r="AM635" s="58"/>
      <c r="AN635" s="58"/>
      <c r="AO635" s="58"/>
      <c r="AP635" s="58"/>
      <c r="AQ635" s="58"/>
      <c r="AR635" s="58"/>
    </row>
    <row r="636" spans="1:44" ht="15.75" customHeight="1" x14ac:dyDescent="0.25">
      <c r="A636" s="64"/>
      <c r="B636" s="62"/>
      <c r="C636" s="62"/>
      <c r="D636" s="62"/>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c r="AE636" s="58"/>
      <c r="AF636" s="58"/>
      <c r="AG636" s="58"/>
      <c r="AH636" s="58"/>
      <c r="AI636" s="58"/>
      <c r="AJ636" s="58"/>
      <c r="AK636" s="58"/>
      <c r="AL636" s="58"/>
      <c r="AM636" s="58"/>
      <c r="AN636" s="58"/>
      <c r="AO636" s="58"/>
      <c r="AP636" s="58"/>
      <c r="AQ636" s="58"/>
      <c r="AR636" s="58"/>
    </row>
    <row r="637" spans="1:44" ht="15.75" customHeight="1" x14ac:dyDescent="0.25">
      <c r="A637" s="64"/>
      <c r="B637" s="62"/>
      <c r="C637" s="62"/>
      <c r="D637" s="62"/>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c r="AE637" s="58"/>
      <c r="AF637" s="58"/>
      <c r="AG637" s="58"/>
      <c r="AH637" s="58"/>
      <c r="AI637" s="58"/>
      <c r="AJ637" s="58"/>
      <c r="AK637" s="58"/>
      <c r="AL637" s="58"/>
      <c r="AM637" s="58"/>
      <c r="AN637" s="58"/>
      <c r="AO637" s="58"/>
      <c r="AP637" s="58"/>
      <c r="AQ637" s="58"/>
      <c r="AR637" s="58"/>
    </row>
    <row r="638" spans="1:44" ht="15.75" customHeight="1" x14ac:dyDescent="0.25">
      <c r="A638" s="64"/>
      <c r="B638" s="62"/>
      <c r="C638" s="62"/>
      <c r="D638" s="62"/>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8"/>
      <c r="AI638" s="58"/>
      <c r="AJ638" s="58"/>
      <c r="AK638" s="58"/>
      <c r="AL638" s="58"/>
      <c r="AM638" s="58"/>
      <c r="AN638" s="58"/>
      <c r="AO638" s="58"/>
      <c r="AP638" s="58"/>
      <c r="AQ638" s="58"/>
      <c r="AR638" s="58"/>
    </row>
    <row r="639" spans="1:44" ht="15.75" customHeight="1" x14ac:dyDescent="0.25">
      <c r="A639" s="64"/>
      <c r="B639" s="62"/>
      <c r="C639" s="62"/>
      <c r="D639" s="62"/>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c r="AE639" s="58"/>
      <c r="AF639" s="58"/>
      <c r="AG639" s="58"/>
      <c r="AH639" s="58"/>
      <c r="AI639" s="58"/>
      <c r="AJ639" s="58"/>
      <c r="AK639" s="58"/>
      <c r="AL639" s="58"/>
      <c r="AM639" s="58"/>
      <c r="AN639" s="58"/>
      <c r="AO639" s="58"/>
      <c r="AP639" s="58"/>
      <c r="AQ639" s="58"/>
      <c r="AR639" s="58"/>
    </row>
    <row r="640" spans="1:44" ht="15.75" customHeight="1" x14ac:dyDescent="0.25">
      <c r="A640" s="64"/>
      <c r="B640" s="62"/>
      <c r="C640" s="62"/>
      <c r="D640" s="62"/>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c r="AE640" s="58"/>
      <c r="AF640" s="58"/>
      <c r="AG640" s="58"/>
      <c r="AH640" s="58"/>
      <c r="AI640" s="58"/>
      <c r="AJ640" s="58"/>
      <c r="AK640" s="58"/>
      <c r="AL640" s="58"/>
      <c r="AM640" s="58"/>
      <c r="AN640" s="58"/>
      <c r="AO640" s="58"/>
      <c r="AP640" s="58"/>
      <c r="AQ640" s="58"/>
      <c r="AR640" s="58"/>
    </row>
    <row r="641" spans="1:44" ht="15.75" customHeight="1" x14ac:dyDescent="0.25">
      <c r="A641" s="64"/>
      <c r="B641" s="62"/>
      <c r="C641" s="62"/>
      <c r="D641" s="62"/>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c r="AE641" s="58"/>
      <c r="AF641" s="58"/>
      <c r="AG641" s="58"/>
      <c r="AH641" s="58"/>
      <c r="AI641" s="58"/>
      <c r="AJ641" s="58"/>
      <c r="AK641" s="58"/>
      <c r="AL641" s="58"/>
      <c r="AM641" s="58"/>
      <c r="AN641" s="58"/>
      <c r="AO641" s="58"/>
      <c r="AP641" s="58"/>
      <c r="AQ641" s="58"/>
      <c r="AR641" s="58"/>
    </row>
    <row r="642" spans="1:44" ht="15.75" customHeight="1" x14ac:dyDescent="0.25">
      <c r="A642" s="64"/>
      <c r="B642" s="62"/>
      <c r="C642" s="62"/>
      <c r="D642" s="62"/>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c r="AE642" s="58"/>
      <c r="AF642" s="58"/>
      <c r="AG642" s="58"/>
      <c r="AH642" s="58"/>
      <c r="AI642" s="58"/>
      <c r="AJ642" s="58"/>
      <c r="AK642" s="58"/>
      <c r="AL642" s="58"/>
      <c r="AM642" s="58"/>
      <c r="AN642" s="58"/>
      <c r="AO642" s="58"/>
      <c r="AP642" s="58"/>
      <c r="AQ642" s="58"/>
      <c r="AR642" s="58"/>
    </row>
    <row r="643" spans="1:44" ht="15.75" customHeight="1" x14ac:dyDescent="0.25">
      <c r="A643" s="64"/>
      <c r="B643" s="62"/>
      <c r="C643" s="62"/>
      <c r="D643" s="62"/>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c r="AE643" s="58"/>
      <c r="AF643" s="58"/>
      <c r="AG643" s="58"/>
      <c r="AH643" s="58"/>
      <c r="AI643" s="58"/>
      <c r="AJ643" s="58"/>
      <c r="AK643" s="58"/>
      <c r="AL643" s="58"/>
      <c r="AM643" s="58"/>
      <c r="AN643" s="58"/>
      <c r="AO643" s="58"/>
      <c r="AP643" s="58"/>
      <c r="AQ643" s="58"/>
      <c r="AR643" s="58"/>
    </row>
    <row r="644" spans="1:44" ht="15.75" customHeight="1" x14ac:dyDescent="0.25">
      <c r="A644" s="64"/>
      <c r="B644" s="62"/>
      <c r="C644" s="62"/>
      <c r="D644" s="62"/>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c r="AE644" s="58"/>
      <c r="AF644" s="58"/>
      <c r="AG644" s="58"/>
      <c r="AH644" s="58"/>
      <c r="AI644" s="58"/>
      <c r="AJ644" s="58"/>
      <c r="AK644" s="58"/>
      <c r="AL644" s="58"/>
      <c r="AM644" s="58"/>
      <c r="AN644" s="58"/>
      <c r="AO644" s="58"/>
      <c r="AP644" s="58"/>
      <c r="AQ644" s="58"/>
      <c r="AR644" s="58"/>
    </row>
    <row r="645" spans="1:44" ht="15.75" customHeight="1" x14ac:dyDescent="0.25">
      <c r="A645" s="64"/>
      <c r="B645" s="62"/>
      <c r="C645" s="62"/>
      <c r="D645" s="62"/>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c r="AE645" s="58"/>
      <c r="AF645" s="58"/>
      <c r="AG645" s="58"/>
      <c r="AH645" s="58"/>
      <c r="AI645" s="58"/>
      <c r="AJ645" s="58"/>
      <c r="AK645" s="58"/>
      <c r="AL645" s="58"/>
      <c r="AM645" s="58"/>
      <c r="AN645" s="58"/>
      <c r="AO645" s="58"/>
      <c r="AP645" s="58"/>
      <c r="AQ645" s="58"/>
      <c r="AR645" s="58"/>
    </row>
    <row r="646" spans="1:44" ht="15.75" customHeight="1" x14ac:dyDescent="0.25">
      <c r="A646" s="64"/>
      <c r="B646" s="62"/>
      <c r="C646" s="62"/>
      <c r="D646" s="62"/>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c r="AE646" s="58"/>
      <c r="AF646" s="58"/>
      <c r="AG646" s="58"/>
      <c r="AH646" s="58"/>
      <c r="AI646" s="58"/>
      <c r="AJ646" s="58"/>
      <c r="AK646" s="58"/>
      <c r="AL646" s="58"/>
      <c r="AM646" s="58"/>
      <c r="AN646" s="58"/>
      <c r="AO646" s="58"/>
      <c r="AP646" s="58"/>
      <c r="AQ646" s="58"/>
      <c r="AR646" s="58"/>
    </row>
    <row r="647" spans="1:44" ht="15.75" customHeight="1" x14ac:dyDescent="0.25">
      <c r="A647" s="64"/>
      <c r="B647" s="62"/>
      <c r="C647" s="62"/>
      <c r="D647" s="62"/>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c r="AE647" s="58"/>
      <c r="AF647" s="58"/>
      <c r="AG647" s="58"/>
      <c r="AH647" s="58"/>
      <c r="AI647" s="58"/>
      <c r="AJ647" s="58"/>
      <c r="AK647" s="58"/>
      <c r="AL647" s="58"/>
      <c r="AM647" s="58"/>
      <c r="AN647" s="58"/>
      <c r="AO647" s="58"/>
      <c r="AP647" s="58"/>
      <c r="AQ647" s="58"/>
      <c r="AR647" s="58"/>
    </row>
    <row r="648" spans="1:44" ht="15.75" customHeight="1" x14ac:dyDescent="0.25">
      <c r="A648" s="64"/>
      <c r="B648" s="62"/>
      <c r="C648" s="62"/>
      <c r="D648" s="62"/>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c r="AE648" s="58"/>
      <c r="AF648" s="58"/>
      <c r="AG648" s="58"/>
      <c r="AH648" s="58"/>
      <c r="AI648" s="58"/>
      <c r="AJ648" s="58"/>
      <c r="AK648" s="58"/>
      <c r="AL648" s="58"/>
      <c r="AM648" s="58"/>
      <c r="AN648" s="58"/>
      <c r="AO648" s="58"/>
      <c r="AP648" s="58"/>
      <c r="AQ648" s="58"/>
      <c r="AR648" s="58"/>
    </row>
    <row r="649" spans="1:44" ht="15.75" customHeight="1" x14ac:dyDescent="0.25">
      <c r="A649" s="64"/>
      <c r="B649" s="62"/>
      <c r="C649" s="62"/>
      <c r="D649" s="62"/>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c r="AE649" s="58"/>
      <c r="AF649" s="58"/>
      <c r="AG649" s="58"/>
      <c r="AH649" s="58"/>
      <c r="AI649" s="58"/>
      <c r="AJ649" s="58"/>
      <c r="AK649" s="58"/>
      <c r="AL649" s="58"/>
      <c r="AM649" s="58"/>
      <c r="AN649" s="58"/>
      <c r="AO649" s="58"/>
      <c r="AP649" s="58"/>
      <c r="AQ649" s="58"/>
      <c r="AR649" s="58"/>
    </row>
    <row r="650" spans="1:44" ht="15.75" customHeight="1" x14ac:dyDescent="0.25">
      <c r="A650" s="64"/>
      <c r="B650" s="62"/>
      <c r="C650" s="62"/>
      <c r="D650" s="62"/>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c r="AE650" s="58"/>
      <c r="AF650" s="58"/>
      <c r="AG650" s="58"/>
      <c r="AH650" s="58"/>
      <c r="AI650" s="58"/>
      <c r="AJ650" s="58"/>
      <c r="AK650" s="58"/>
      <c r="AL650" s="58"/>
      <c r="AM650" s="58"/>
      <c r="AN650" s="58"/>
      <c r="AO650" s="58"/>
      <c r="AP650" s="58"/>
      <c r="AQ650" s="58"/>
      <c r="AR650" s="58"/>
    </row>
    <row r="651" spans="1:44" ht="15.75" customHeight="1" x14ac:dyDescent="0.25">
      <c r="A651" s="64"/>
      <c r="B651" s="62"/>
      <c r="C651" s="62"/>
      <c r="D651" s="62"/>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c r="AE651" s="58"/>
      <c r="AF651" s="58"/>
      <c r="AG651" s="58"/>
      <c r="AH651" s="58"/>
      <c r="AI651" s="58"/>
      <c r="AJ651" s="58"/>
      <c r="AK651" s="58"/>
      <c r="AL651" s="58"/>
      <c r="AM651" s="58"/>
      <c r="AN651" s="58"/>
      <c r="AO651" s="58"/>
      <c r="AP651" s="58"/>
      <c r="AQ651" s="58"/>
      <c r="AR651" s="58"/>
    </row>
    <row r="652" spans="1:44" ht="15.75" customHeight="1" x14ac:dyDescent="0.25">
      <c r="A652" s="64"/>
      <c r="B652" s="62"/>
      <c r="C652" s="62"/>
      <c r="D652" s="62"/>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c r="AE652" s="58"/>
      <c r="AF652" s="58"/>
      <c r="AG652" s="58"/>
      <c r="AH652" s="58"/>
      <c r="AI652" s="58"/>
      <c r="AJ652" s="58"/>
      <c r="AK652" s="58"/>
      <c r="AL652" s="58"/>
      <c r="AM652" s="58"/>
      <c r="AN652" s="58"/>
      <c r="AO652" s="58"/>
      <c r="AP652" s="58"/>
      <c r="AQ652" s="58"/>
      <c r="AR652" s="58"/>
    </row>
    <row r="653" spans="1:44" ht="15.75" customHeight="1" x14ac:dyDescent="0.25">
      <c r="A653" s="64"/>
      <c r="B653" s="62"/>
      <c r="C653" s="62"/>
      <c r="D653" s="62"/>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c r="AE653" s="58"/>
      <c r="AF653" s="58"/>
      <c r="AG653" s="58"/>
      <c r="AH653" s="58"/>
      <c r="AI653" s="58"/>
      <c r="AJ653" s="58"/>
      <c r="AK653" s="58"/>
      <c r="AL653" s="58"/>
      <c r="AM653" s="58"/>
      <c r="AN653" s="58"/>
      <c r="AO653" s="58"/>
      <c r="AP653" s="58"/>
      <c r="AQ653" s="58"/>
      <c r="AR653" s="58"/>
    </row>
    <row r="654" spans="1:44" ht="15.75" customHeight="1" x14ac:dyDescent="0.25">
      <c r="A654" s="64"/>
      <c r="B654" s="62"/>
      <c r="C654" s="62"/>
      <c r="D654" s="62"/>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c r="AE654" s="58"/>
      <c r="AF654" s="58"/>
      <c r="AG654" s="58"/>
      <c r="AH654" s="58"/>
      <c r="AI654" s="58"/>
      <c r="AJ654" s="58"/>
      <c r="AK654" s="58"/>
      <c r="AL654" s="58"/>
      <c r="AM654" s="58"/>
      <c r="AN654" s="58"/>
      <c r="AO654" s="58"/>
      <c r="AP654" s="58"/>
      <c r="AQ654" s="58"/>
      <c r="AR654" s="58"/>
    </row>
    <row r="655" spans="1:44" ht="15.75" customHeight="1" x14ac:dyDescent="0.25">
      <c r="A655" s="64"/>
      <c r="B655" s="62"/>
      <c r="C655" s="62"/>
      <c r="D655" s="62"/>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c r="AE655" s="58"/>
      <c r="AF655" s="58"/>
      <c r="AG655" s="58"/>
      <c r="AH655" s="58"/>
      <c r="AI655" s="58"/>
      <c r="AJ655" s="58"/>
      <c r="AK655" s="58"/>
      <c r="AL655" s="58"/>
      <c r="AM655" s="58"/>
      <c r="AN655" s="58"/>
      <c r="AO655" s="58"/>
      <c r="AP655" s="58"/>
      <c r="AQ655" s="58"/>
      <c r="AR655" s="58"/>
    </row>
    <row r="656" spans="1:44" ht="15.75" customHeight="1" x14ac:dyDescent="0.25">
      <c r="A656" s="64"/>
      <c r="B656" s="62"/>
      <c r="C656" s="62"/>
      <c r="D656" s="62"/>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c r="AE656" s="58"/>
      <c r="AF656" s="58"/>
      <c r="AG656" s="58"/>
      <c r="AH656" s="58"/>
      <c r="AI656" s="58"/>
      <c r="AJ656" s="58"/>
      <c r="AK656" s="58"/>
      <c r="AL656" s="58"/>
      <c r="AM656" s="58"/>
      <c r="AN656" s="58"/>
      <c r="AO656" s="58"/>
      <c r="AP656" s="58"/>
      <c r="AQ656" s="58"/>
      <c r="AR656" s="58"/>
    </row>
    <row r="657" spans="1:44" ht="15.75" customHeight="1" x14ac:dyDescent="0.25">
      <c r="A657" s="64"/>
      <c r="B657" s="62"/>
      <c r="C657" s="62"/>
      <c r="D657" s="62"/>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c r="AE657" s="58"/>
      <c r="AF657" s="58"/>
      <c r="AG657" s="58"/>
      <c r="AH657" s="58"/>
      <c r="AI657" s="58"/>
      <c r="AJ657" s="58"/>
      <c r="AK657" s="58"/>
      <c r="AL657" s="58"/>
      <c r="AM657" s="58"/>
      <c r="AN657" s="58"/>
      <c r="AO657" s="58"/>
      <c r="AP657" s="58"/>
      <c r="AQ657" s="58"/>
      <c r="AR657" s="58"/>
    </row>
    <row r="658" spans="1:44" ht="15.75" customHeight="1" x14ac:dyDescent="0.25">
      <c r="A658" s="64"/>
      <c r="B658" s="62"/>
      <c r="C658" s="62"/>
      <c r="D658" s="62"/>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c r="AE658" s="58"/>
      <c r="AF658" s="58"/>
      <c r="AG658" s="58"/>
      <c r="AH658" s="58"/>
      <c r="AI658" s="58"/>
      <c r="AJ658" s="58"/>
      <c r="AK658" s="58"/>
      <c r="AL658" s="58"/>
      <c r="AM658" s="58"/>
      <c r="AN658" s="58"/>
      <c r="AO658" s="58"/>
      <c r="AP658" s="58"/>
      <c r="AQ658" s="58"/>
      <c r="AR658" s="58"/>
    </row>
    <row r="659" spans="1:44" ht="15.75" customHeight="1" x14ac:dyDescent="0.25">
      <c r="A659" s="64"/>
      <c r="B659" s="62"/>
      <c r="C659" s="62"/>
      <c r="D659" s="62"/>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c r="AE659" s="58"/>
      <c r="AF659" s="58"/>
      <c r="AG659" s="58"/>
      <c r="AH659" s="58"/>
      <c r="AI659" s="58"/>
      <c r="AJ659" s="58"/>
      <c r="AK659" s="58"/>
      <c r="AL659" s="58"/>
      <c r="AM659" s="58"/>
      <c r="AN659" s="58"/>
      <c r="AO659" s="58"/>
      <c r="AP659" s="58"/>
      <c r="AQ659" s="58"/>
      <c r="AR659" s="58"/>
    </row>
    <row r="660" spans="1:44" ht="15.75" customHeight="1" x14ac:dyDescent="0.25">
      <c r="A660" s="64"/>
      <c r="B660" s="62"/>
      <c r="C660" s="62"/>
      <c r="D660" s="62"/>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c r="AE660" s="58"/>
      <c r="AF660" s="58"/>
      <c r="AG660" s="58"/>
      <c r="AH660" s="58"/>
      <c r="AI660" s="58"/>
      <c r="AJ660" s="58"/>
      <c r="AK660" s="58"/>
      <c r="AL660" s="58"/>
      <c r="AM660" s="58"/>
      <c r="AN660" s="58"/>
      <c r="AO660" s="58"/>
      <c r="AP660" s="58"/>
      <c r="AQ660" s="58"/>
      <c r="AR660" s="58"/>
    </row>
    <row r="661" spans="1:44" ht="15.75" customHeight="1" x14ac:dyDescent="0.25">
      <c r="A661" s="64"/>
      <c r="B661" s="62"/>
      <c r="C661" s="62"/>
      <c r="D661" s="62"/>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c r="AE661" s="58"/>
      <c r="AF661" s="58"/>
      <c r="AG661" s="58"/>
      <c r="AH661" s="58"/>
      <c r="AI661" s="58"/>
      <c r="AJ661" s="58"/>
      <c r="AK661" s="58"/>
      <c r="AL661" s="58"/>
      <c r="AM661" s="58"/>
      <c r="AN661" s="58"/>
      <c r="AO661" s="58"/>
      <c r="AP661" s="58"/>
      <c r="AQ661" s="58"/>
      <c r="AR661" s="58"/>
    </row>
    <row r="662" spans="1:44" ht="15.75" customHeight="1" x14ac:dyDescent="0.25">
      <c r="A662" s="64"/>
      <c r="B662" s="62"/>
      <c r="C662" s="62"/>
      <c r="D662" s="62"/>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c r="AE662" s="58"/>
      <c r="AF662" s="58"/>
      <c r="AG662" s="58"/>
      <c r="AH662" s="58"/>
      <c r="AI662" s="58"/>
      <c r="AJ662" s="58"/>
      <c r="AK662" s="58"/>
      <c r="AL662" s="58"/>
      <c r="AM662" s="58"/>
      <c r="AN662" s="58"/>
      <c r="AO662" s="58"/>
      <c r="AP662" s="58"/>
      <c r="AQ662" s="58"/>
      <c r="AR662" s="58"/>
    </row>
    <row r="663" spans="1:44" ht="15.75" customHeight="1" x14ac:dyDescent="0.25">
      <c r="A663" s="64"/>
      <c r="B663" s="62"/>
      <c r="C663" s="62"/>
      <c r="D663" s="62"/>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c r="AE663" s="58"/>
      <c r="AF663" s="58"/>
      <c r="AG663" s="58"/>
      <c r="AH663" s="58"/>
      <c r="AI663" s="58"/>
      <c r="AJ663" s="58"/>
      <c r="AK663" s="58"/>
      <c r="AL663" s="58"/>
      <c r="AM663" s="58"/>
      <c r="AN663" s="58"/>
      <c r="AO663" s="58"/>
      <c r="AP663" s="58"/>
      <c r="AQ663" s="58"/>
      <c r="AR663" s="58"/>
    </row>
    <row r="664" spans="1:44" ht="15.75" customHeight="1" x14ac:dyDescent="0.25">
      <c r="A664" s="64"/>
      <c r="B664" s="62"/>
      <c r="C664" s="62"/>
      <c r="D664" s="62"/>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c r="AE664" s="58"/>
      <c r="AF664" s="58"/>
      <c r="AG664" s="58"/>
      <c r="AH664" s="58"/>
      <c r="AI664" s="58"/>
      <c r="AJ664" s="58"/>
      <c r="AK664" s="58"/>
      <c r="AL664" s="58"/>
      <c r="AM664" s="58"/>
      <c r="AN664" s="58"/>
      <c r="AO664" s="58"/>
      <c r="AP664" s="58"/>
      <c r="AQ664" s="58"/>
      <c r="AR664" s="58"/>
    </row>
    <row r="665" spans="1:44" ht="15.75" customHeight="1" x14ac:dyDescent="0.25">
      <c r="A665" s="64"/>
      <c r="B665" s="62"/>
      <c r="C665" s="62"/>
      <c r="D665" s="62"/>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c r="AE665" s="58"/>
      <c r="AF665" s="58"/>
      <c r="AG665" s="58"/>
      <c r="AH665" s="58"/>
      <c r="AI665" s="58"/>
      <c r="AJ665" s="58"/>
      <c r="AK665" s="58"/>
      <c r="AL665" s="58"/>
      <c r="AM665" s="58"/>
      <c r="AN665" s="58"/>
      <c r="AO665" s="58"/>
      <c r="AP665" s="58"/>
      <c r="AQ665" s="58"/>
      <c r="AR665" s="58"/>
    </row>
    <row r="666" spans="1:44" ht="15.75" customHeight="1" x14ac:dyDescent="0.25">
      <c r="A666" s="64"/>
      <c r="B666" s="62"/>
      <c r="C666" s="62"/>
      <c r="D666" s="62"/>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c r="AE666" s="58"/>
      <c r="AF666" s="58"/>
      <c r="AG666" s="58"/>
      <c r="AH666" s="58"/>
      <c r="AI666" s="58"/>
      <c r="AJ666" s="58"/>
      <c r="AK666" s="58"/>
      <c r="AL666" s="58"/>
      <c r="AM666" s="58"/>
      <c r="AN666" s="58"/>
      <c r="AO666" s="58"/>
      <c r="AP666" s="58"/>
      <c r="AQ666" s="58"/>
      <c r="AR666" s="58"/>
    </row>
    <row r="667" spans="1:44" ht="15.75" customHeight="1" x14ac:dyDescent="0.25">
      <c r="A667" s="64"/>
      <c r="B667" s="62"/>
      <c r="C667" s="62"/>
      <c r="D667" s="62"/>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c r="AE667" s="58"/>
      <c r="AF667" s="58"/>
      <c r="AG667" s="58"/>
      <c r="AH667" s="58"/>
      <c r="AI667" s="58"/>
      <c r="AJ667" s="58"/>
      <c r="AK667" s="58"/>
      <c r="AL667" s="58"/>
      <c r="AM667" s="58"/>
      <c r="AN667" s="58"/>
      <c r="AO667" s="58"/>
      <c r="AP667" s="58"/>
      <c r="AQ667" s="58"/>
      <c r="AR667" s="58"/>
    </row>
    <row r="668" spans="1:44" ht="15.75" customHeight="1" x14ac:dyDescent="0.25">
      <c r="A668" s="64"/>
      <c r="B668" s="62"/>
      <c r="C668" s="62"/>
      <c r="D668" s="62"/>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c r="AE668" s="58"/>
      <c r="AF668" s="58"/>
      <c r="AG668" s="58"/>
      <c r="AH668" s="58"/>
      <c r="AI668" s="58"/>
      <c r="AJ668" s="58"/>
      <c r="AK668" s="58"/>
      <c r="AL668" s="58"/>
      <c r="AM668" s="58"/>
      <c r="AN668" s="58"/>
      <c r="AO668" s="58"/>
      <c r="AP668" s="58"/>
      <c r="AQ668" s="58"/>
      <c r="AR668" s="58"/>
    </row>
    <row r="669" spans="1:44" ht="15.75" customHeight="1" x14ac:dyDescent="0.25">
      <c r="A669" s="64"/>
      <c r="B669" s="62"/>
      <c r="C669" s="62"/>
      <c r="D669" s="62"/>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c r="AE669" s="58"/>
      <c r="AF669" s="58"/>
      <c r="AG669" s="58"/>
      <c r="AH669" s="58"/>
      <c r="AI669" s="58"/>
      <c r="AJ669" s="58"/>
      <c r="AK669" s="58"/>
      <c r="AL669" s="58"/>
      <c r="AM669" s="58"/>
      <c r="AN669" s="58"/>
      <c r="AO669" s="58"/>
      <c r="AP669" s="58"/>
      <c r="AQ669" s="58"/>
      <c r="AR669" s="58"/>
    </row>
    <row r="670" spans="1:44" ht="15.75" customHeight="1" x14ac:dyDescent="0.25">
      <c r="A670" s="64"/>
      <c r="B670" s="62"/>
      <c r="C670" s="62"/>
      <c r="D670" s="62"/>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c r="AE670" s="58"/>
      <c r="AF670" s="58"/>
      <c r="AG670" s="58"/>
      <c r="AH670" s="58"/>
      <c r="AI670" s="58"/>
      <c r="AJ670" s="58"/>
      <c r="AK670" s="58"/>
      <c r="AL670" s="58"/>
      <c r="AM670" s="58"/>
      <c r="AN670" s="58"/>
      <c r="AO670" s="58"/>
      <c r="AP670" s="58"/>
      <c r="AQ670" s="58"/>
      <c r="AR670" s="58"/>
    </row>
    <row r="671" spans="1:44" ht="15.75" customHeight="1" x14ac:dyDescent="0.25">
      <c r="A671" s="64"/>
      <c r="B671" s="62"/>
      <c r="C671" s="62"/>
      <c r="D671" s="62"/>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c r="AE671" s="58"/>
      <c r="AF671" s="58"/>
      <c r="AG671" s="58"/>
      <c r="AH671" s="58"/>
      <c r="AI671" s="58"/>
      <c r="AJ671" s="58"/>
      <c r="AK671" s="58"/>
      <c r="AL671" s="58"/>
      <c r="AM671" s="58"/>
      <c r="AN671" s="58"/>
      <c r="AO671" s="58"/>
      <c r="AP671" s="58"/>
      <c r="AQ671" s="58"/>
      <c r="AR671" s="58"/>
    </row>
    <row r="672" spans="1:44" ht="15.75" customHeight="1" x14ac:dyDescent="0.25">
      <c r="A672" s="64"/>
      <c r="B672" s="62"/>
      <c r="C672" s="62"/>
      <c r="D672" s="62"/>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c r="AE672" s="58"/>
      <c r="AF672" s="58"/>
      <c r="AG672" s="58"/>
      <c r="AH672" s="58"/>
      <c r="AI672" s="58"/>
      <c r="AJ672" s="58"/>
      <c r="AK672" s="58"/>
      <c r="AL672" s="58"/>
      <c r="AM672" s="58"/>
      <c r="AN672" s="58"/>
      <c r="AO672" s="58"/>
      <c r="AP672" s="58"/>
      <c r="AQ672" s="58"/>
      <c r="AR672" s="58"/>
    </row>
    <row r="673" spans="1:44" ht="15.75" customHeight="1" x14ac:dyDescent="0.25">
      <c r="A673" s="64"/>
      <c r="B673" s="62"/>
      <c r="C673" s="62"/>
      <c r="D673" s="62"/>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c r="AE673" s="58"/>
      <c r="AF673" s="58"/>
      <c r="AG673" s="58"/>
      <c r="AH673" s="58"/>
      <c r="AI673" s="58"/>
      <c r="AJ673" s="58"/>
      <c r="AK673" s="58"/>
      <c r="AL673" s="58"/>
      <c r="AM673" s="58"/>
      <c r="AN673" s="58"/>
      <c r="AO673" s="58"/>
      <c r="AP673" s="58"/>
      <c r="AQ673" s="58"/>
      <c r="AR673" s="58"/>
    </row>
    <row r="674" spans="1:44" ht="15.75" customHeight="1" x14ac:dyDescent="0.25">
      <c r="A674" s="64"/>
      <c r="B674" s="62"/>
      <c r="C674" s="62"/>
      <c r="D674" s="62"/>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c r="AE674" s="58"/>
      <c r="AF674" s="58"/>
      <c r="AG674" s="58"/>
      <c r="AH674" s="58"/>
      <c r="AI674" s="58"/>
      <c r="AJ674" s="58"/>
      <c r="AK674" s="58"/>
      <c r="AL674" s="58"/>
      <c r="AM674" s="58"/>
      <c r="AN674" s="58"/>
      <c r="AO674" s="58"/>
      <c r="AP674" s="58"/>
      <c r="AQ674" s="58"/>
      <c r="AR674" s="58"/>
    </row>
    <row r="675" spans="1:44" ht="15.75" customHeight="1" x14ac:dyDescent="0.25">
      <c r="A675" s="64"/>
      <c r="B675" s="62"/>
      <c r="C675" s="62"/>
      <c r="D675" s="62"/>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c r="AE675" s="58"/>
      <c r="AF675" s="58"/>
      <c r="AG675" s="58"/>
      <c r="AH675" s="58"/>
      <c r="AI675" s="58"/>
      <c r="AJ675" s="58"/>
      <c r="AK675" s="58"/>
      <c r="AL675" s="58"/>
      <c r="AM675" s="58"/>
      <c r="AN675" s="58"/>
      <c r="AO675" s="58"/>
      <c r="AP675" s="58"/>
      <c r="AQ675" s="58"/>
      <c r="AR675" s="58"/>
    </row>
    <row r="676" spans="1:44" ht="15.75" customHeight="1" x14ac:dyDescent="0.25">
      <c r="A676" s="64"/>
      <c r="B676" s="62"/>
      <c r="C676" s="62"/>
      <c r="D676" s="62"/>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c r="AE676" s="58"/>
      <c r="AF676" s="58"/>
      <c r="AG676" s="58"/>
      <c r="AH676" s="58"/>
      <c r="AI676" s="58"/>
      <c r="AJ676" s="58"/>
      <c r="AK676" s="58"/>
      <c r="AL676" s="58"/>
      <c r="AM676" s="58"/>
      <c r="AN676" s="58"/>
      <c r="AO676" s="58"/>
      <c r="AP676" s="58"/>
      <c r="AQ676" s="58"/>
      <c r="AR676" s="58"/>
    </row>
    <row r="677" spans="1:44" ht="15.75" customHeight="1" x14ac:dyDescent="0.25">
      <c r="A677" s="64"/>
      <c r="B677" s="62"/>
      <c r="C677" s="62"/>
      <c r="D677" s="62"/>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c r="AE677" s="58"/>
      <c r="AF677" s="58"/>
      <c r="AG677" s="58"/>
      <c r="AH677" s="58"/>
      <c r="AI677" s="58"/>
      <c r="AJ677" s="58"/>
      <c r="AK677" s="58"/>
      <c r="AL677" s="58"/>
      <c r="AM677" s="58"/>
      <c r="AN677" s="58"/>
      <c r="AO677" s="58"/>
      <c r="AP677" s="58"/>
      <c r="AQ677" s="58"/>
      <c r="AR677" s="58"/>
    </row>
    <row r="678" spans="1:44" ht="15.75" customHeight="1" x14ac:dyDescent="0.25">
      <c r="A678" s="64"/>
      <c r="B678" s="62"/>
      <c r="C678" s="62"/>
      <c r="D678" s="62"/>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c r="AE678" s="58"/>
      <c r="AF678" s="58"/>
      <c r="AG678" s="58"/>
      <c r="AH678" s="58"/>
      <c r="AI678" s="58"/>
      <c r="AJ678" s="58"/>
      <c r="AK678" s="58"/>
      <c r="AL678" s="58"/>
      <c r="AM678" s="58"/>
      <c r="AN678" s="58"/>
      <c r="AO678" s="58"/>
      <c r="AP678" s="58"/>
      <c r="AQ678" s="58"/>
      <c r="AR678" s="58"/>
    </row>
    <row r="679" spans="1:44" ht="15.75" customHeight="1" x14ac:dyDescent="0.25">
      <c r="A679" s="64"/>
      <c r="B679" s="62"/>
      <c r="C679" s="62"/>
      <c r="D679" s="62"/>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c r="AE679" s="58"/>
      <c r="AF679" s="58"/>
      <c r="AG679" s="58"/>
      <c r="AH679" s="58"/>
      <c r="AI679" s="58"/>
      <c r="AJ679" s="58"/>
      <c r="AK679" s="58"/>
      <c r="AL679" s="58"/>
      <c r="AM679" s="58"/>
      <c r="AN679" s="58"/>
      <c r="AO679" s="58"/>
      <c r="AP679" s="58"/>
      <c r="AQ679" s="58"/>
      <c r="AR679" s="58"/>
    </row>
    <row r="680" spans="1:44" ht="15.75" customHeight="1" x14ac:dyDescent="0.25">
      <c r="A680" s="64"/>
      <c r="B680" s="62"/>
      <c r="C680" s="62"/>
      <c r="D680" s="62"/>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c r="AE680" s="58"/>
      <c r="AF680" s="58"/>
      <c r="AG680" s="58"/>
      <c r="AH680" s="58"/>
      <c r="AI680" s="58"/>
      <c r="AJ680" s="58"/>
      <c r="AK680" s="58"/>
      <c r="AL680" s="58"/>
      <c r="AM680" s="58"/>
      <c r="AN680" s="58"/>
      <c r="AO680" s="58"/>
      <c r="AP680" s="58"/>
      <c r="AQ680" s="58"/>
      <c r="AR680" s="58"/>
    </row>
    <row r="681" spans="1:44" ht="15.75" customHeight="1" x14ac:dyDescent="0.25">
      <c r="A681" s="64"/>
      <c r="B681" s="62"/>
      <c r="C681" s="62"/>
      <c r="D681" s="62"/>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c r="AE681" s="58"/>
      <c r="AF681" s="58"/>
      <c r="AG681" s="58"/>
      <c r="AH681" s="58"/>
      <c r="AI681" s="58"/>
      <c r="AJ681" s="58"/>
      <c r="AK681" s="58"/>
      <c r="AL681" s="58"/>
      <c r="AM681" s="58"/>
      <c r="AN681" s="58"/>
      <c r="AO681" s="58"/>
      <c r="AP681" s="58"/>
      <c r="AQ681" s="58"/>
      <c r="AR681" s="58"/>
    </row>
    <row r="682" spans="1:44" ht="15.75" customHeight="1" x14ac:dyDescent="0.25">
      <c r="A682" s="64"/>
      <c r="B682" s="62"/>
      <c r="C682" s="62"/>
      <c r="D682" s="62"/>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c r="AE682" s="58"/>
      <c r="AF682" s="58"/>
      <c r="AG682" s="58"/>
      <c r="AH682" s="58"/>
      <c r="AI682" s="58"/>
      <c r="AJ682" s="58"/>
      <c r="AK682" s="58"/>
      <c r="AL682" s="58"/>
      <c r="AM682" s="58"/>
      <c r="AN682" s="58"/>
      <c r="AO682" s="58"/>
      <c r="AP682" s="58"/>
      <c r="AQ682" s="58"/>
      <c r="AR682" s="58"/>
    </row>
    <row r="683" spans="1:44" ht="15.75" customHeight="1" x14ac:dyDescent="0.25">
      <c r="A683" s="64"/>
      <c r="B683" s="62"/>
      <c r="C683" s="62"/>
      <c r="D683" s="62"/>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c r="AE683" s="58"/>
      <c r="AF683" s="58"/>
      <c r="AG683" s="58"/>
      <c r="AH683" s="58"/>
      <c r="AI683" s="58"/>
      <c r="AJ683" s="58"/>
      <c r="AK683" s="58"/>
      <c r="AL683" s="58"/>
      <c r="AM683" s="58"/>
      <c r="AN683" s="58"/>
      <c r="AO683" s="58"/>
      <c r="AP683" s="58"/>
      <c r="AQ683" s="58"/>
      <c r="AR683" s="58"/>
    </row>
    <row r="684" spans="1:44" ht="15.75" customHeight="1" x14ac:dyDescent="0.25">
      <c r="A684" s="64"/>
      <c r="B684" s="62"/>
      <c r="C684" s="62"/>
      <c r="D684" s="62"/>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c r="AE684" s="58"/>
      <c r="AF684" s="58"/>
      <c r="AG684" s="58"/>
      <c r="AH684" s="58"/>
      <c r="AI684" s="58"/>
      <c r="AJ684" s="58"/>
      <c r="AK684" s="58"/>
      <c r="AL684" s="58"/>
      <c r="AM684" s="58"/>
      <c r="AN684" s="58"/>
      <c r="AO684" s="58"/>
      <c r="AP684" s="58"/>
      <c r="AQ684" s="58"/>
      <c r="AR684" s="58"/>
    </row>
    <row r="685" spans="1:44" ht="15.75" customHeight="1" x14ac:dyDescent="0.25">
      <c r="A685" s="64"/>
      <c r="B685" s="62"/>
      <c r="C685" s="62"/>
      <c r="D685" s="62"/>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c r="AE685" s="58"/>
      <c r="AF685" s="58"/>
      <c r="AG685" s="58"/>
      <c r="AH685" s="58"/>
      <c r="AI685" s="58"/>
      <c r="AJ685" s="58"/>
      <c r="AK685" s="58"/>
      <c r="AL685" s="58"/>
      <c r="AM685" s="58"/>
      <c r="AN685" s="58"/>
      <c r="AO685" s="58"/>
      <c r="AP685" s="58"/>
      <c r="AQ685" s="58"/>
      <c r="AR685" s="58"/>
    </row>
    <row r="686" spans="1:44" ht="15.75" customHeight="1" x14ac:dyDescent="0.25">
      <c r="A686" s="64"/>
      <c r="B686" s="62"/>
      <c r="C686" s="62"/>
      <c r="D686" s="62"/>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c r="AE686" s="58"/>
      <c r="AF686" s="58"/>
      <c r="AG686" s="58"/>
      <c r="AH686" s="58"/>
      <c r="AI686" s="58"/>
      <c r="AJ686" s="58"/>
      <c r="AK686" s="58"/>
      <c r="AL686" s="58"/>
      <c r="AM686" s="58"/>
      <c r="AN686" s="58"/>
      <c r="AO686" s="58"/>
      <c r="AP686" s="58"/>
      <c r="AQ686" s="58"/>
      <c r="AR686" s="58"/>
    </row>
    <row r="687" spans="1:44" ht="15.75" customHeight="1" x14ac:dyDescent="0.25">
      <c r="A687" s="64"/>
      <c r="B687" s="62"/>
      <c r="C687" s="62"/>
      <c r="D687" s="62"/>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c r="AE687" s="58"/>
      <c r="AF687" s="58"/>
      <c r="AG687" s="58"/>
      <c r="AH687" s="58"/>
      <c r="AI687" s="58"/>
      <c r="AJ687" s="58"/>
      <c r="AK687" s="58"/>
      <c r="AL687" s="58"/>
      <c r="AM687" s="58"/>
      <c r="AN687" s="58"/>
      <c r="AO687" s="58"/>
      <c r="AP687" s="58"/>
      <c r="AQ687" s="58"/>
      <c r="AR687" s="58"/>
    </row>
    <row r="688" spans="1:44" ht="15.75" customHeight="1" x14ac:dyDescent="0.25">
      <c r="A688" s="64"/>
      <c r="B688" s="62"/>
      <c r="C688" s="62"/>
      <c r="D688" s="62"/>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c r="AE688" s="58"/>
      <c r="AF688" s="58"/>
      <c r="AG688" s="58"/>
      <c r="AH688" s="58"/>
      <c r="AI688" s="58"/>
      <c r="AJ688" s="58"/>
      <c r="AK688" s="58"/>
      <c r="AL688" s="58"/>
      <c r="AM688" s="58"/>
      <c r="AN688" s="58"/>
      <c r="AO688" s="58"/>
      <c r="AP688" s="58"/>
      <c r="AQ688" s="58"/>
      <c r="AR688" s="58"/>
    </row>
    <row r="689" spans="1:44" ht="15.75" customHeight="1" x14ac:dyDescent="0.25">
      <c r="A689" s="64"/>
      <c r="B689" s="62"/>
      <c r="C689" s="62"/>
      <c r="D689" s="62"/>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c r="AE689" s="58"/>
      <c r="AF689" s="58"/>
      <c r="AG689" s="58"/>
      <c r="AH689" s="58"/>
      <c r="AI689" s="58"/>
      <c r="AJ689" s="58"/>
      <c r="AK689" s="58"/>
      <c r="AL689" s="58"/>
      <c r="AM689" s="58"/>
      <c r="AN689" s="58"/>
      <c r="AO689" s="58"/>
      <c r="AP689" s="58"/>
      <c r="AQ689" s="58"/>
      <c r="AR689" s="58"/>
    </row>
    <row r="690" spans="1:44" ht="15.75" customHeight="1" x14ac:dyDescent="0.25">
      <c r="A690" s="64"/>
      <c r="B690" s="62"/>
      <c r="C690" s="62"/>
      <c r="D690" s="62"/>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c r="AE690" s="58"/>
      <c r="AF690" s="58"/>
      <c r="AG690" s="58"/>
      <c r="AH690" s="58"/>
      <c r="AI690" s="58"/>
      <c r="AJ690" s="58"/>
      <c r="AK690" s="58"/>
      <c r="AL690" s="58"/>
      <c r="AM690" s="58"/>
      <c r="AN690" s="58"/>
      <c r="AO690" s="58"/>
      <c r="AP690" s="58"/>
      <c r="AQ690" s="58"/>
      <c r="AR690" s="58"/>
    </row>
    <row r="691" spans="1:44" ht="15.75" customHeight="1" x14ac:dyDescent="0.25">
      <c r="A691" s="64"/>
      <c r="B691" s="62"/>
      <c r="C691" s="62"/>
      <c r="D691" s="62"/>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c r="AE691" s="58"/>
      <c r="AF691" s="58"/>
      <c r="AG691" s="58"/>
      <c r="AH691" s="58"/>
      <c r="AI691" s="58"/>
      <c r="AJ691" s="58"/>
      <c r="AK691" s="58"/>
      <c r="AL691" s="58"/>
      <c r="AM691" s="58"/>
      <c r="AN691" s="58"/>
      <c r="AO691" s="58"/>
      <c r="AP691" s="58"/>
      <c r="AQ691" s="58"/>
      <c r="AR691" s="58"/>
    </row>
    <row r="692" spans="1:44" ht="15.75" customHeight="1" x14ac:dyDescent="0.25">
      <c r="A692" s="64"/>
      <c r="B692" s="62"/>
      <c r="C692" s="62"/>
      <c r="D692" s="62"/>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c r="AE692" s="58"/>
      <c r="AF692" s="58"/>
      <c r="AG692" s="58"/>
      <c r="AH692" s="58"/>
      <c r="AI692" s="58"/>
      <c r="AJ692" s="58"/>
      <c r="AK692" s="58"/>
      <c r="AL692" s="58"/>
      <c r="AM692" s="58"/>
      <c r="AN692" s="58"/>
      <c r="AO692" s="58"/>
      <c r="AP692" s="58"/>
      <c r="AQ692" s="58"/>
      <c r="AR692" s="58"/>
    </row>
    <row r="693" spans="1:44" ht="15.75" customHeight="1" x14ac:dyDescent="0.25">
      <c r="A693" s="64"/>
      <c r="B693" s="62"/>
      <c r="C693" s="62"/>
      <c r="D693" s="62"/>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c r="AE693" s="58"/>
      <c r="AF693" s="58"/>
      <c r="AG693" s="58"/>
      <c r="AH693" s="58"/>
      <c r="AI693" s="58"/>
      <c r="AJ693" s="58"/>
      <c r="AK693" s="58"/>
      <c r="AL693" s="58"/>
      <c r="AM693" s="58"/>
      <c r="AN693" s="58"/>
      <c r="AO693" s="58"/>
      <c r="AP693" s="58"/>
      <c r="AQ693" s="58"/>
      <c r="AR693" s="58"/>
    </row>
    <row r="694" spans="1:44" ht="15.75" customHeight="1" x14ac:dyDescent="0.25">
      <c r="A694" s="64"/>
      <c r="B694" s="62"/>
      <c r="C694" s="62"/>
      <c r="D694" s="62"/>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c r="AE694" s="58"/>
      <c r="AF694" s="58"/>
      <c r="AG694" s="58"/>
      <c r="AH694" s="58"/>
      <c r="AI694" s="58"/>
      <c r="AJ694" s="58"/>
      <c r="AK694" s="58"/>
      <c r="AL694" s="58"/>
      <c r="AM694" s="58"/>
      <c r="AN694" s="58"/>
      <c r="AO694" s="58"/>
      <c r="AP694" s="58"/>
      <c r="AQ694" s="58"/>
      <c r="AR694" s="58"/>
    </row>
    <row r="695" spans="1:44" ht="15.75" customHeight="1" x14ac:dyDescent="0.25">
      <c r="A695" s="64"/>
      <c r="B695" s="62"/>
      <c r="C695" s="62"/>
      <c r="D695" s="62"/>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c r="AE695" s="58"/>
      <c r="AF695" s="58"/>
      <c r="AG695" s="58"/>
      <c r="AH695" s="58"/>
      <c r="AI695" s="58"/>
      <c r="AJ695" s="58"/>
      <c r="AK695" s="58"/>
      <c r="AL695" s="58"/>
      <c r="AM695" s="58"/>
      <c r="AN695" s="58"/>
      <c r="AO695" s="58"/>
      <c r="AP695" s="58"/>
      <c r="AQ695" s="58"/>
      <c r="AR695" s="58"/>
    </row>
    <row r="696" spans="1:44" ht="15.75" customHeight="1" x14ac:dyDescent="0.25">
      <c r="A696" s="64"/>
      <c r="B696" s="62"/>
      <c r="C696" s="62"/>
      <c r="D696" s="62"/>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c r="AE696" s="58"/>
      <c r="AF696" s="58"/>
      <c r="AG696" s="58"/>
      <c r="AH696" s="58"/>
      <c r="AI696" s="58"/>
      <c r="AJ696" s="58"/>
      <c r="AK696" s="58"/>
      <c r="AL696" s="58"/>
      <c r="AM696" s="58"/>
      <c r="AN696" s="58"/>
      <c r="AO696" s="58"/>
      <c r="AP696" s="58"/>
      <c r="AQ696" s="58"/>
      <c r="AR696" s="58"/>
    </row>
    <row r="697" spans="1:44" ht="15.75" customHeight="1" x14ac:dyDescent="0.25">
      <c r="A697" s="64"/>
      <c r="B697" s="62"/>
      <c r="C697" s="62"/>
      <c r="D697" s="62"/>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c r="AE697" s="58"/>
      <c r="AF697" s="58"/>
      <c r="AG697" s="58"/>
      <c r="AH697" s="58"/>
      <c r="AI697" s="58"/>
      <c r="AJ697" s="58"/>
      <c r="AK697" s="58"/>
      <c r="AL697" s="58"/>
      <c r="AM697" s="58"/>
      <c r="AN697" s="58"/>
      <c r="AO697" s="58"/>
      <c r="AP697" s="58"/>
      <c r="AQ697" s="58"/>
      <c r="AR697" s="58"/>
    </row>
    <row r="698" spans="1:44" ht="15.75" customHeight="1" x14ac:dyDescent="0.25">
      <c r="A698" s="64"/>
      <c r="B698" s="62"/>
      <c r="C698" s="62"/>
      <c r="D698" s="62"/>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c r="AE698" s="58"/>
      <c r="AF698" s="58"/>
      <c r="AG698" s="58"/>
      <c r="AH698" s="58"/>
      <c r="AI698" s="58"/>
      <c r="AJ698" s="58"/>
      <c r="AK698" s="58"/>
      <c r="AL698" s="58"/>
      <c r="AM698" s="58"/>
      <c r="AN698" s="58"/>
      <c r="AO698" s="58"/>
      <c r="AP698" s="58"/>
      <c r="AQ698" s="58"/>
      <c r="AR698" s="58"/>
    </row>
    <row r="699" spans="1:44" ht="15.75" customHeight="1" x14ac:dyDescent="0.25">
      <c r="A699" s="64"/>
      <c r="B699" s="62"/>
      <c r="C699" s="62"/>
      <c r="D699" s="62"/>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c r="AE699" s="58"/>
      <c r="AF699" s="58"/>
      <c r="AG699" s="58"/>
      <c r="AH699" s="58"/>
      <c r="AI699" s="58"/>
      <c r="AJ699" s="58"/>
      <c r="AK699" s="58"/>
      <c r="AL699" s="58"/>
      <c r="AM699" s="58"/>
      <c r="AN699" s="58"/>
      <c r="AO699" s="58"/>
      <c r="AP699" s="58"/>
      <c r="AQ699" s="58"/>
      <c r="AR699" s="58"/>
    </row>
    <row r="700" spans="1:44" ht="15.75" customHeight="1" x14ac:dyDescent="0.25">
      <c r="A700" s="64"/>
      <c r="B700" s="62"/>
      <c r="C700" s="62"/>
      <c r="D700" s="62"/>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c r="AE700" s="58"/>
      <c r="AF700" s="58"/>
      <c r="AG700" s="58"/>
      <c r="AH700" s="58"/>
      <c r="AI700" s="58"/>
      <c r="AJ700" s="58"/>
      <c r="AK700" s="58"/>
      <c r="AL700" s="58"/>
      <c r="AM700" s="58"/>
      <c r="AN700" s="58"/>
      <c r="AO700" s="58"/>
      <c r="AP700" s="58"/>
      <c r="AQ700" s="58"/>
      <c r="AR700" s="58"/>
    </row>
    <row r="701" spans="1:44" ht="15.75" customHeight="1" x14ac:dyDescent="0.25">
      <c r="A701" s="64"/>
      <c r="B701" s="62"/>
      <c r="C701" s="62"/>
      <c r="D701" s="62"/>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c r="AE701" s="58"/>
      <c r="AF701" s="58"/>
      <c r="AG701" s="58"/>
      <c r="AH701" s="58"/>
      <c r="AI701" s="58"/>
      <c r="AJ701" s="58"/>
      <c r="AK701" s="58"/>
      <c r="AL701" s="58"/>
      <c r="AM701" s="58"/>
      <c r="AN701" s="58"/>
      <c r="AO701" s="58"/>
      <c r="AP701" s="58"/>
      <c r="AQ701" s="58"/>
      <c r="AR701" s="58"/>
    </row>
    <row r="702" spans="1:44" ht="15.75" customHeight="1" x14ac:dyDescent="0.25">
      <c r="A702" s="64"/>
      <c r="B702" s="62"/>
      <c r="C702" s="62"/>
      <c r="D702" s="62"/>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c r="AE702" s="58"/>
      <c r="AF702" s="58"/>
      <c r="AG702" s="58"/>
      <c r="AH702" s="58"/>
      <c r="AI702" s="58"/>
      <c r="AJ702" s="58"/>
      <c r="AK702" s="58"/>
      <c r="AL702" s="58"/>
      <c r="AM702" s="58"/>
      <c r="AN702" s="58"/>
      <c r="AO702" s="58"/>
      <c r="AP702" s="58"/>
      <c r="AQ702" s="58"/>
      <c r="AR702" s="58"/>
    </row>
    <row r="703" spans="1:44" ht="15.75" customHeight="1" x14ac:dyDescent="0.25">
      <c r="A703" s="64"/>
      <c r="B703" s="62"/>
      <c r="C703" s="62"/>
      <c r="D703" s="62"/>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c r="AE703" s="58"/>
      <c r="AF703" s="58"/>
      <c r="AG703" s="58"/>
      <c r="AH703" s="58"/>
      <c r="AI703" s="58"/>
      <c r="AJ703" s="58"/>
      <c r="AK703" s="58"/>
      <c r="AL703" s="58"/>
      <c r="AM703" s="58"/>
      <c r="AN703" s="58"/>
      <c r="AO703" s="58"/>
      <c r="AP703" s="58"/>
      <c r="AQ703" s="58"/>
      <c r="AR703" s="58"/>
    </row>
    <row r="704" spans="1:44" ht="15.75" customHeight="1" x14ac:dyDescent="0.25">
      <c r="A704" s="64"/>
      <c r="B704" s="62"/>
      <c r="C704" s="62"/>
      <c r="D704" s="62"/>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c r="AE704" s="58"/>
      <c r="AF704" s="58"/>
      <c r="AG704" s="58"/>
      <c r="AH704" s="58"/>
      <c r="AI704" s="58"/>
      <c r="AJ704" s="58"/>
      <c r="AK704" s="58"/>
      <c r="AL704" s="58"/>
      <c r="AM704" s="58"/>
      <c r="AN704" s="58"/>
      <c r="AO704" s="58"/>
      <c r="AP704" s="58"/>
      <c r="AQ704" s="58"/>
      <c r="AR704" s="58"/>
    </row>
    <row r="705" spans="1:44" ht="15.75" customHeight="1" x14ac:dyDescent="0.25">
      <c r="A705" s="64"/>
      <c r="B705" s="62"/>
      <c r="C705" s="62"/>
      <c r="D705" s="62"/>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c r="AE705" s="58"/>
      <c r="AF705" s="58"/>
      <c r="AG705" s="58"/>
      <c r="AH705" s="58"/>
      <c r="AI705" s="58"/>
      <c r="AJ705" s="58"/>
      <c r="AK705" s="58"/>
      <c r="AL705" s="58"/>
      <c r="AM705" s="58"/>
      <c r="AN705" s="58"/>
      <c r="AO705" s="58"/>
      <c r="AP705" s="58"/>
      <c r="AQ705" s="58"/>
      <c r="AR705" s="58"/>
    </row>
    <row r="706" spans="1:44" ht="15.75" customHeight="1" x14ac:dyDescent="0.25">
      <c r="A706" s="64"/>
      <c r="B706" s="62"/>
      <c r="C706" s="62"/>
      <c r="D706" s="62"/>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c r="AE706" s="58"/>
      <c r="AF706" s="58"/>
      <c r="AG706" s="58"/>
      <c r="AH706" s="58"/>
      <c r="AI706" s="58"/>
      <c r="AJ706" s="58"/>
      <c r="AK706" s="58"/>
      <c r="AL706" s="58"/>
      <c r="AM706" s="58"/>
      <c r="AN706" s="58"/>
      <c r="AO706" s="58"/>
      <c r="AP706" s="58"/>
      <c r="AQ706" s="58"/>
      <c r="AR706" s="58"/>
    </row>
    <row r="707" spans="1:44" ht="15.75" customHeight="1" x14ac:dyDescent="0.25">
      <c r="A707" s="64"/>
      <c r="B707" s="62"/>
      <c r="C707" s="62"/>
      <c r="D707" s="62"/>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c r="AE707" s="58"/>
      <c r="AF707" s="58"/>
      <c r="AG707" s="58"/>
      <c r="AH707" s="58"/>
      <c r="AI707" s="58"/>
      <c r="AJ707" s="58"/>
      <c r="AK707" s="58"/>
      <c r="AL707" s="58"/>
      <c r="AM707" s="58"/>
      <c r="AN707" s="58"/>
      <c r="AO707" s="58"/>
      <c r="AP707" s="58"/>
      <c r="AQ707" s="58"/>
      <c r="AR707" s="58"/>
    </row>
    <row r="708" spans="1:44" ht="15.75" customHeight="1" x14ac:dyDescent="0.25">
      <c r="A708" s="64"/>
      <c r="B708" s="62"/>
      <c r="C708" s="62"/>
      <c r="D708" s="62"/>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c r="AE708" s="58"/>
      <c r="AF708" s="58"/>
      <c r="AG708" s="58"/>
      <c r="AH708" s="58"/>
      <c r="AI708" s="58"/>
      <c r="AJ708" s="58"/>
      <c r="AK708" s="58"/>
      <c r="AL708" s="58"/>
      <c r="AM708" s="58"/>
      <c r="AN708" s="58"/>
      <c r="AO708" s="58"/>
      <c r="AP708" s="58"/>
      <c r="AQ708" s="58"/>
      <c r="AR708" s="58"/>
    </row>
    <row r="709" spans="1:44" ht="15.75" customHeight="1" x14ac:dyDescent="0.25">
      <c r="A709" s="64"/>
      <c r="B709" s="62"/>
      <c r="C709" s="62"/>
      <c r="D709" s="62"/>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c r="AE709" s="58"/>
      <c r="AF709" s="58"/>
      <c r="AG709" s="58"/>
      <c r="AH709" s="58"/>
      <c r="AI709" s="58"/>
      <c r="AJ709" s="58"/>
      <c r="AK709" s="58"/>
      <c r="AL709" s="58"/>
      <c r="AM709" s="58"/>
      <c r="AN709" s="58"/>
      <c r="AO709" s="58"/>
      <c r="AP709" s="58"/>
      <c r="AQ709" s="58"/>
      <c r="AR709" s="58"/>
    </row>
    <row r="710" spans="1:44" ht="15.75" customHeight="1" x14ac:dyDescent="0.25">
      <c r="A710" s="64"/>
      <c r="B710" s="62"/>
      <c r="C710" s="62"/>
      <c r="D710" s="62"/>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c r="AE710" s="58"/>
      <c r="AF710" s="58"/>
      <c r="AG710" s="58"/>
      <c r="AH710" s="58"/>
      <c r="AI710" s="58"/>
      <c r="AJ710" s="58"/>
      <c r="AK710" s="58"/>
      <c r="AL710" s="58"/>
      <c r="AM710" s="58"/>
      <c r="AN710" s="58"/>
      <c r="AO710" s="58"/>
      <c r="AP710" s="58"/>
      <c r="AQ710" s="58"/>
      <c r="AR710" s="58"/>
    </row>
    <row r="711" spans="1:44" ht="15.75" customHeight="1" x14ac:dyDescent="0.25">
      <c r="A711" s="64"/>
      <c r="B711" s="62"/>
      <c r="C711" s="62"/>
      <c r="D711" s="62"/>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c r="AE711" s="58"/>
      <c r="AF711" s="58"/>
      <c r="AG711" s="58"/>
      <c r="AH711" s="58"/>
      <c r="AI711" s="58"/>
      <c r="AJ711" s="58"/>
      <c r="AK711" s="58"/>
      <c r="AL711" s="58"/>
      <c r="AM711" s="58"/>
      <c r="AN711" s="58"/>
      <c r="AO711" s="58"/>
      <c r="AP711" s="58"/>
      <c r="AQ711" s="58"/>
      <c r="AR711" s="58"/>
    </row>
    <row r="712" spans="1:44" ht="15.75" customHeight="1" x14ac:dyDescent="0.25">
      <c r="A712" s="64"/>
      <c r="B712" s="62"/>
      <c r="C712" s="62"/>
      <c r="D712" s="62"/>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c r="AE712" s="58"/>
      <c r="AF712" s="58"/>
      <c r="AG712" s="58"/>
      <c r="AH712" s="58"/>
      <c r="AI712" s="58"/>
      <c r="AJ712" s="58"/>
      <c r="AK712" s="58"/>
      <c r="AL712" s="58"/>
      <c r="AM712" s="58"/>
      <c r="AN712" s="58"/>
      <c r="AO712" s="58"/>
      <c r="AP712" s="58"/>
      <c r="AQ712" s="58"/>
      <c r="AR712" s="58"/>
    </row>
    <row r="713" spans="1:44" ht="15.75" customHeight="1" x14ac:dyDescent="0.25">
      <c r="A713" s="64"/>
      <c r="B713" s="62"/>
      <c r="C713" s="62"/>
      <c r="D713" s="62"/>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c r="AE713" s="58"/>
      <c r="AF713" s="58"/>
      <c r="AG713" s="58"/>
      <c r="AH713" s="58"/>
      <c r="AI713" s="58"/>
      <c r="AJ713" s="58"/>
      <c r="AK713" s="58"/>
      <c r="AL713" s="58"/>
      <c r="AM713" s="58"/>
      <c r="AN713" s="58"/>
      <c r="AO713" s="58"/>
      <c r="AP713" s="58"/>
      <c r="AQ713" s="58"/>
      <c r="AR713" s="58"/>
    </row>
    <row r="714" spans="1:44" ht="15.75" customHeight="1" x14ac:dyDescent="0.25">
      <c r="A714" s="64"/>
      <c r="B714" s="62"/>
      <c r="C714" s="62"/>
      <c r="D714" s="62"/>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c r="AE714" s="58"/>
      <c r="AF714" s="58"/>
      <c r="AG714" s="58"/>
      <c r="AH714" s="58"/>
      <c r="AI714" s="58"/>
      <c r="AJ714" s="58"/>
      <c r="AK714" s="58"/>
      <c r="AL714" s="58"/>
      <c r="AM714" s="58"/>
      <c r="AN714" s="58"/>
      <c r="AO714" s="58"/>
      <c r="AP714" s="58"/>
      <c r="AQ714" s="58"/>
      <c r="AR714" s="58"/>
    </row>
    <row r="715" spans="1:44" ht="15.75" customHeight="1" x14ac:dyDescent="0.25">
      <c r="A715" s="64"/>
      <c r="B715" s="62"/>
      <c r="C715" s="62"/>
      <c r="D715" s="62"/>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c r="AE715" s="58"/>
      <c r="AF715" s="58"/>
      <c r="AG715" s="58"/>
      <c r="AH715" s="58"/>
      <c r="AI715" s="58"/>
      <c r="AJ715" s="58"/>
      <c r="AK715" s="58"/>
      <c r="AL715" s="58"/>
      <c r="AM715" s="58"/>
      <c r="AN715" s="58"/>
      <c r="AO715" s="58"/>
      <c r="AP715" s="58"/>
      <c r="AQ715" s="58"/>
      <c r="AR715" s="58"/>
    </row>
    <row r="716" spans="1:44" ht="15.75" customHeight="1" x14ac:dyDescent="0.25">
      <c r="A716" s="64"/>
      <c r="B716" s="62"/>
      <c r="C716" s="62"/>
      <c r="D716" s="62"/>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c r="AE716" s="58"/>
      <c r="AF716" s="58"/>
      <c r="AG716" s="58"/>
      <c r="AH716" s="58"/>
      <c r="AI716" s="58"/>
      <c r="AJ716" s="58"/>
      <c r="AK716" s="58"/>
      <c r="AL716" s="58"/>
      <c r="AM716" s="58"/>
      <c r="AN716" s="58"/>
      <c r="AO716" s="58"/>
      <c r="AP716" s="58"/>
      <c r="AQ716" s="58"/>
      <c r="AR716" s="58"/>
    </row>
    <row r="717" spans="1:44" ht="15.75" customHeight="1" x14ac:dyDescent="0.25">
      <c r="A717" s="64"/>
      <c r="B717" s="62"/>
      <c r="C717" s="62"/>
      <c r="D717" s="62"/>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c r="AE717" s="58"/>
      <c r="AF717" s="58"/>
      <c r="AG717" s="58"/>
      <c r="AH717" s="58"/>
      <c r="AI717" s="58"/>
      <c r="AJ717" s="58"/>
      <c r="AK717" s="58"/>
      <c r="AL717" s="58"/>
      <c r="AM717" s="58"/>
      <c r="AN717" s="58"/>
      <c r="AO717" s="58"/>
      <c r="AP717" s="58"/>
      <c r="AQ717" s="58"/>
      <c r="AR717" s="58"/>
    </row>
    <row r="718" spans="1:44" ht="15.75" customHeight="1" x14ac:dyDescent="0.25">
      <c r="A718" s="64"/>
      <c r="B718" s="62"/>
      <c r="C718" s="62"/>
      <c r="D718" s="62"/>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c r="AE718" s="58"/>
      <c r="AF718" s="58"/>
      <c r="AG718" s="58"/>
      <c r="AH718" s="58"/>
      <c r="AI718" s="58"/>
      <c r="AJ718" s="58"/>
      <c r="AK718" s="58"/>
      <c r="AL718" s="58"/>
      <c r="AM718" s="58"/>
      <c r="AN718" s="58"/>
      <c r="AO718" s="58"/>
      <c r="AP718" s="58"/>
      <c r="AQ718" s="58"/>
      <c r="AR718" s="58"/>
    </row>
    <row r="719" spans="1:44" ht="15.75" customHeight="1" x14ac:dyDescent="0.25">
      <c r="A719" s="64"/>
      <c r="B719" s="62"/>
      <c r="C719" s="62"/>
      <c r="D719" s="62"/>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c r="AE719" s="58"/>
      <c r="AF719" s="58"/>
      <c r="AG719" s="58"/>
      <c r="AH719" s="58"/>
      <c r="AI719" s="58"/>
      <c r="AJ719" s="58"/>
      <c r="AK719" s="58"/>
      <c r="AL719" s="58"/>
      <c r="AM719" s="58"/>
      <c r="AN719" s="58"/>
      <c r="AO719" s="58"/>
      <c r="AP719" s="58"/>
      <c r="AQ719" s="58"/>
      <c r="AR719" s="58"/>
    </row>
    <row r="720" spans="1:44" ht="15.75" customHeight="1" x14ac:dyDescent="0.25">
      <c r="A720" s="64"/>
      <c r="B720" s="62"/>
      <c r="C720" s="62"/>
      <c r="D720" s="62"/>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c r="AE720" s="58"/>
      <c r="AF720" s="58"/>
      <c r="AG720" s="58"/>
      <c r="AH720" s="58"/>
      <c r="AI720" s="58"/>
      <c r="AJ720" s="58"/>
      <c r="AK720" s="58"/>
      <c r="AL720" s="58"/>
      <c r="AM720" s="58"/>
      <c r="AN720" s="58"/>
      <c r="AO720" s="58"/>
      <c r="AP720" s="58"/>
      <c r="AQ720" s="58"/>
      <c r="AR720" s="58"/>
    </row>
    <row r="721" spans="1:44" ht="15.75" customHeight="1" x14ac:dyDescent="0.25">
      <c r="A721" s="64"/>
      <c r="B721" s="62"/>
      <c r="C721" s="62"/>
      <c r="D721" s="62"/>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c r="AE721" s="58"/>
      <c r="AF721" s="58"/>
      <c r="AG721" s="58"/>
      <c r="AH721" s="58"/>
      <c r="AI721" s="58"/>
      <c r="AJ721" s="58"/>
      <c r="AK721" s="58"/>
      <c r="AL721" s="58"/>
      <c r="AM721" s="58"/>
      <c r="AN721" s="58"/>
      <c r="AO721" s="58"/>
      <c r="AP721" s="58"/>
      <c r="AQ721" s="58"/>
      <c r="AR721" s="58"/>
    </row>
    <row r="722" spans="1:44" ht="15.75" customHeight="1" x14ac:dyDescent="0.25">
      <c r="A722" s="64"/>
      <c r="B722" s="62"/>
      <c r="C722" s="62"/>
      <c r="D722" s="62"/>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c r="AE722" s="58"/>
      <c r="AF722" s="58"/>
      <c r="AG722" s="58"/>
      <c r="AH722" s="58"/>
      <c r="AI722" s="58"/>
      <c r="AJ722" s="58"/>
      <c r="AK722" s="58"/>
      <c r="AL722" s="58"/>
      <c r="AM722" s="58"/>
      <c r="AN722" s="58"/>
      <c r="AO722" s="58"/>
      <c r="AP722" s="58"/>
      <c r="AQ722" s="58"/>
      <c r="AR722" s="58"/>
    </row>
    <row r="723" spans="1:44" ht="15.75" customHeight="1" x14ac:dyDescent="0.25">
      <c r="A723" s="64"/>
      <c r="B723" s="62"/>
      <c r="C723" s="62"/>
      <c r="D723" s="62"/>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c r="AE723" s="58"/>
      <c r="AF723" s="58"/>
      <c r="AG723" s="58"/>
      <c r="AH723" s="58"/>
      <c r="AI723" s="58"/>
      <c r="AJ723" s="58"/>
      <c r="AK723" s="58"/>
      <c r="AL723" s="58"/>
      <c r="AM723" s="58"/>
      <c r="AN723" s="58"/>
      <c r="AO723" s="58"/>
      <c r="AP723" s="58"/>
      <c r="AQ723" s="58"/>
      <c r="AR723" s="58"/>
    </row>
    <row r="724" spans="1:44" ht="15.75" customHeight="1" x14ac:dyDescent="0.25">
      <c r="A724" s="64"/>
      <c r="B724" s="62"/>
      <c r="C724" s="62"/>
      <c r="D724" s="62"/>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c r="AE724" s="58"/>
      <c r="AF724" s="58"/>
      <c r="AG724" s="58"/>
      <c r="AH724" s="58"/>
      <c r="AI724" s="58"/>
      <c r="AJ724" s="58"/>
      <c r="AK724" s="58"/>
      <c r="AL724" s="58"/>
      <c r="AM724" s="58"/>
      <c r="AN724" s="58"/>
      <c r="AO724" s="58"/>
      <c r="AP724" s="58"/>
      <c r="AQ724" s="58"/>
      <c r="AR724" s="58"/>
    </row>
    <row r="725" spans="1:44" ht="15.75" customHeight="1" x14ac:dyDescent="0.25">
      <c r="A725" s="64"/>
      <c r="B725" s="62"/>
      <c r="C725" s="62"/>
      <c r="D725" s="62"/>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c r="AE725" s="58"/>
      <c r="AF725" s="58"/>
      <c r="AG725" s="58"/>
      <c r="AH725" s="58"/>
      <c r="AI725" s="58"/>
      <c r="AJ725" s="58"/>
      <c r="AK725" s="58"/>
      <c r="AL725" s="58"/>
      <c r="AM725" s="58"/>
      <c r="AN725" s="58"/>
      <c r="AO725" s="58"/>
      <c r="AP725" s="58"/>
      <c r="AQ725" s="58"/>
      <c r="AR725" s="58"/>
    </row>
    <row r="726" spans="1:44" ht="15.75" customHeight="1" x14ac:dyDescent="0.25">
      <c r="A726" s="64"/>
      <c r="B726" s="62"/>
      <c r="C726" s="62"/>
      <c r="D726" s="62"/>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c r="AE726" s="58"/>
      <c r="AF726" s="58"/>
      <c r="AG726" s="58"/>
      <c r="AH726" s="58"/>
      <c r="AI726" s="58"/>
      <c r="AJ726" s="58"/>
      <c r="AK726" s="58"/>
      <c r="AL726" s="58"/>
      <c r="AM726" s="58"/>
      <c r="AN726" s="58"/>
      <c r="AO726" s="58"/>
      <c r="AP726" s="58"/>
      <c r="AQ726" s="58"/>
      <c r="AR726" s="58"/>
    </row>
    <row r="727" spans="1:44" ht="15.75" customHeight="1" x14ac:dyDescent="0.25">
      <c r="A727" s="64"/>
      <c r="B727" s="62"/>
      <c r="C727" s="62"/>
      <c r="D727" s="62"/>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c r="AE727" s="58"/>
      <c r="AF727" s="58"/>
      <c r="AG727" s="58"/>
      <c r="AH727" s="58"/>
      <c r="AI727" s="58"/>
      <c r="AJ727" s="58"/>
      <c r="AK727" s="58"/>
      <c r="AL727" s="58"/>
      <c r="AM727" s="58"/>
      <c r="AN727" s="58"/>
      <c r="AO727" s="58"/>
      <c r="AP727" s="58"/>
      <c r="AQ727" s="58"/>
      <c r="AR727" s="58"/>
    </row>
    <row r="728" spans="1:44" ht="15.75" customHeight="1" x14ac:dyDescent="0.25">
      <c r="A728" s="64"/>
      <c r="B728" s="62"/>
      <c r="C728" s="62"/>
      <c r="D728" s="62"/>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c r="AE728" s="58"/>
      <c r="AF728" s="58"/>
      <c r="AG728" s="58"/>
      <c r="AH728" s="58"/>
      <c r="AI728" s="58"/>
      <c r="AJ728" s="58"/>
      <c r="AK728" s="58"/>
      <c r="AL728" s="58"/>
      <c r="AM728" s="58"/>
      <c r="AN728" s="58"/>
      <c r="AO728" s="58"/>
      <c r="AP728" s="58"/>
      <c r="AQ728" s="58"/>
      <c r="AR728" s="58"/>
    </row>
    <row r="729" spans="1:44" ht="15.75" customHeight="1" x14ac:dyDescent="0.25">
      <c r="A729" s="64"/>
      <c r="B729" s="62"/>
      <c r="C729" s="62"/>
      <c r="D729" s="62"/>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c r="AE729" s="58"/>
      <c r="AF729" s="58"/>
      <c r="AG729" s="58"/>
      <c r="AH729" s="58"/>
      <c r="AI729" s="58"/>
      <c r="AJ729" s="58"/>
      <c r="AK729" s="58"/>
      <c r="AL729" s="58"/>
      <c r="AM729" s="58"/>
      <c r="AN729" s="58"/>
      <c r="AO729" s="58"/>
      <c r="AP729" s="58"/>
      <c r="AQ729" s="58"/>
      <c r="AR729" s="58"/>
    </row>
    <row r="730" spans="1:44" ht="15.75" customHeight="1" x14ac:dyDescent="0.25">
      <c r="A730" s="64"/>
      <c r="B730" s="62"/>
      <c r="C730" s="62"/>
      <c r="D730" s="62"/>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c r="AE730" s="58"/>
      <c r="AF730" s="58"/>
      <c r="AG730" s="58"/>
      <c r="AH730" s="58"/>
      <c r="AI730" s="58"/>
      <c r="AJ730" s="58"/>
      <c r="AK730" s="58"/>
      <c r="AL730" s="58"/>
      <c r="AM730" s="58"/>
      <c r="AN730" s="58"/>
      <c r="AO730" s="58"/>
      <c r="AP730" s="58"/>
      <c r="AQ730" s="58"/>
      <c r="AR730" s="58"/>
    </row>
    <row r="731" spans="1:44" ht="15.75" customHeight="1" x14ac:dyDescent="0.25">
      <c r="A731" s="64"/>
      <c r="B731" s="62"/>
      <c r="C731" s="62"/>
      <c r="D731" s="62"/>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c r="AE731" s="58"/>
      <c r="AF731" s="58"/>
      <c r="AG731" s="58"/>
      <c r="AH731" s="58"/>
      <c r="AI731" s="58"/>
      <c r="AJ731" s="58"/>
      <c r="AK731" s="58"/>
      <c r="AL731" s="58"/>
      <c r="AM731" s="58"/>
      <c r="AN731" s="58"/>
      <c r="AO731" s="58"/>
      <c r="AP731" s="58"/>
      <c r="AQ731" s="58"/>
      <c r="AR731" s="58"/>
    </row>
    <row r="732" spans="1:44" ht="15.75" customHeight="1" x14ac:dyDescent="0.25">
      <c r="A732" s="64"/>
      <c r="B732" s="62"/>
      <c r="C732" s="62"/>
      <c r="D732" s="62"/>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c r="AE732" s="58"/>
      <c r="AF732" s="58"/>
      <c r="AG732" s="58"/>
      <c r="AH732" s="58"/>
      <c r="AI732" s="58"/>
      <c r="AJ732" s="58"/>
      <c r="AK732" s="58"/>
      <c r="AL732" s="58"/>
      <c r="AM732" s="58"/>
      <c r="AN732" s="58"/>
      <c r="AO732" s="58"/>
      <c r="AP732" s="58"/>
      <c r="AQ732" s="58"/>
      <c r="AR732" s="58"/>
    </row>
    <row r="733" spans="1:44" ht="15.75" customHeight="1" x14ac:dyDescent="0.25">
      <c r="A733" s="64"/>
      <c r="B733" s="62"/>
      <c r="C733" s="62"/>
      <c r="D733" s="62"/>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c r="AE733" s="58"/>
      <c r="AF733" s="58"/>
      <c r="AG733" s="58"/>
      <c r="AH733" s="58"/>
      <c r="AI733" s="58"/>
      <c r="AJ733" s="58"/>
      <c r="AK733" s="58"/>
      <c r="AL733" s="58"/>
      <c r="AM733" s="58"/>
      <c r="AN733" s="58"/>
      <c r="AO733" s="58"/>
      <c r="AP733" s="58"/>
      <c r="AQ733" s="58"/>
      <c r="AR733" s="58"/>
    </row>
    <row r="734" spans="1:44" ht="15.75" customHeight="1" x14ac:dyDescent="0.25">
      <c r="A734" s="64"/>
      <c r="B734" s="62"/>
      <c r="C734" s="62"/>
      <c r="D734" s="62"/>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c r="AE734" s="58"/>
      <c r="AF734" s="58"/>
      <c r="AG734" s="58"/>
      <c r="AH734" s="58"/>
      <c r="AI734" s="58"/>
      <c r="AJ734" s="58"/>
      <c r="AK734" s="58"/>
      <c r="AL734" s="58"/>
      <c r="AM734" s="58"/>
      <c r="AN734" s="58"/>
      <c r="AO734" s="58"/>
      <c r="AP734" s="58"/>
      <c r="AQ734" s="58"/>
      <c r="AR734" s="58"/>
    </row>
    <row r="735" spans="1:44" ht="15.75" customHeight="1" x14ac:dyDescent="0.25">
      <c r="A735" s="64"/>
      <c r="B735" s="62"/>
      <c r="C735" s="62"/>
      <c r="D735" s="62"/>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c r="AE735" s="58"/>
      <c r="AF735" s="58"/>
      <c r="AG735" s="58"/>
      <c r="AH735" s="58"/>
      <c r="AI735" s="58"/>
      <c r="AJ735" s="58"/>
      <c r="AK735" s="58"/>
      <c r="AL735" s="58"/>
      <c r="AM735" s="58"/>
      <c r="AN735" s="58"/>
      <c r="AO735" s="58"/>
      <c r="AP735" s="58"/>
      <c r="AQ735" s="58"/>
      <c r="AR735" s="58"/>
    </row>
    <row r="736" spans="1:44" ht="15.75" customHeight="1" x14ac:dyDescent="0.25">
      <c r="A736" s="64"/>
      <c r="B736" s="62"/>
      <c r="C736" s="62"/>
      <c r="D736" s="62"/>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c r="AE736" s="58"/>
      <c r="AF736" s="58"/>
      <c r="AG736" s="58"/>
      <c r="AH736" s="58"/>
      <c r="AI736" s="58"/>
      <c r="AJ736" s="58"/>
      <c r="AK736" s="58"/>
      <c r="AL736" s="58"/>
      <c r="AM736" s="58"/>
      <c r="AN736" s="58"/>
      <c r="AO736" s="58"/>
      <c r="AP736" s="58"/>
      <c r="AQ736" s="58"/>
      <c r="AR736" s="58"/>
    </row>
    <row r="737" spans="1:44" ht="15.75" customHeight="1" x14ac:dyDescent="0.25">
      <c r="A737" s="64"/>
      <c r="B737" s="62"/>
      <c r="C737" s="62"/>
      <c r="D737" s="62"/>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c r="AE737" s="58"/>
      <c r="AF737" s="58"/>
      <c r="AG737" s="58"/>
      <c r="AH737" s="58"/>
      <c r="AI737" s="58"/>
      <c r="AJ737" s="58"/>
      <c r="AK737" s="58"/>
      <c r="AL737" s="58"/>
      <c r="AM737" s="58"/>
      <c r="AN737" s="58"/>
      <c r="AO737" s="58"/>
      <c r="AP737" s="58"/>
      <c r="AQ737" s="58"/>
      <c r="AR737" s="58"/>
    </row>
    <row r="738" spans="1:44" ht="15.75" customHeight="1" x14ac:dyDescent="0.25">
      <c r="A738" s="64"/>
      <c r="B738" s="62"/>
      <c r="C738" s="62"/>
      <c r="D738" s="62"/>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c r="AE738" s="58"/>
      <c r="AF738" s="58"/>
      <c r="AG738" s="58"/>
      <c r="AH738" s="58"/>
      <c r="AI738" s="58"/>
      <c r="AJ738" s="58"/>
      <c r="AK738" s="58"/>
      <c r="AL738" s="58"/>
      <c r="AM738" s="58"/>
      <c r="AN738" s="58"/>
      <c r="AO738" s="58"/>
      <c r="AP738" s="58"/>
      <c r="AQ738" s="58"/>
      <c r="AR738" s="58"/>
    </row>
    <row r="739" spans="1:44" ht="15.75" customHeight="1" x14ac:dyDescent="0.25">
      <c r="A739" s="64"/>
      <c r="B739" s="62"/>
      <c r="C739" s="62"/>
      <c r="D739" s="62"/>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c r="AE739" s="58"/>
      <c r="AF739" s="58"/>
      <c r="AG739" s="58"/>
      <c r="AH739" s="58"/>
      <c r="AI739" s="58"/>
      <c r="AJ739" s="58"/>
      <c r="AK739" s="58"/>
      <c r="AL739" s="58"/>
      <c r="AM739" s="58"/>
      <c r="AN739" s="58"/>
      <c r="AO739" s="58"/>
      <c r="AP739" s="58"/>
      <c r="AQ739" s="58"/>
      <c r="AR739" s="58"/>
    </row>
    <row r="740" spans="1:44" ht="15.75" customHeight="1" x14ac:dyDescent="0.25">
      <c r="A740" s="64"/>
      <c r="B740" s="62"/>
      <c r="C740" s="62"/>
      <c r="D740" s="62"/>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c r="AE740" s="58"/>
      <c r="AF740" s="58"/>
      <c r="AG740" s="58"/>
      <c r="AH740" s="58"/>
      <c r="AI740" s="58"/>
      <c r="AJ740" s="58"/>
      <c r="AK740" s="58"/>
      <c r="AL740" s="58"/>
      <c r="AM740" s="58"/>
      <c r="AN740" s="58"/>
      <c r="AO740" s="58"/>
      <c r="AP740" s="58"/>
      <c r="AQ740" s="58"/>
      <c r="AR740" s="58"/>
    </row>
    <row r="741" spans="1:44" ht="15.75" customHeight="1" x14ac:dyDescent="0.25">
      <c r="A741" s="64"/>
      <c r="B741" s="62"/>
      <c r="C741" s="62"/>
      <c r="D741" s="62"/>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c r="AE741" s="58"/>
      <c r="AF741" s="58"/>
      <c r="AG741" s="58"/>
      <c r="AH741" s="58"/>
      <c r="AI741" s="58"/>
      <c r="AJ741" s="58"/>
      <c r="AK741" s="58"/>
      <c r="AL741" s="58"/>
      <c r="AM741" s="58"/>
      <c r="AN741" s="58"/>
      <c r="AO741" s="58"/>
      <c r="AP741" s="58"/>
      <c r="AQ741" s="58"/>
      <c r="AR741" s="58"/>
    </row>
    <row r="742" spans="1:44" ht="15.75" customHeight="1" x14ac:dyDescent="0.25">
      <c r="A742" s="64"/>
      <c r="B742" s="62"/>
      <c r="C742" s="62"/>
      <c r="D742" s="62"/>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c r="AE742" s="58"/>
      <c r="AF742" s="58"/>
      <c r="AG742" s="58"/>
      <c r="AH742" s="58"/>
      <c r="AI742" s="58"/>
      <c r="AJ742" s="58"/>
      <c r="AK742" s="58"/>
      <c r="AL742" s="58"/>
      <c r="AM742" s="58"/>
      <c r="AN742" s="58"/>
      <c r="AO742" s="58"/>
      <c r="AP742" s="58"/>
      <c r="AQ742" s="58"/>
      <c r="AR742" s="58"/>
    </row>
    <row r="743" spans="1:44" ht="15.75" customHeight="1" x14ac:dyDescent="0.25">
      <c r="A743" s="64"/>
      <c r="B743" s="62"/>
      <c r="C743" s="62"/>
      <c r="D743" s="62"/>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c r="AE743" s="58"/>
      <c r="AF743" s="58"/>
      <c r="AG743" s="58"/>
      <c r="AH743" s="58"/>
      <c r="AI743" s="58"/>
      <c r="AJ743" s="58"/>
      <c r="AK743" s="58"/>
      <c r="AL743" s="58"/>
      <c r="AM743" s="58"/>
      <c r="AN743" s="58"/>
      <c r="AO743" s="58"/>
      <c r="AP743" s="58"/>
      <c r="AQ743" s="58"/>
      <c r="AR743" s="58"/>
    </row>
    <row r="744" spans="1:44" ht="15.75" customHeight="1" x14ac:dyDescent="0.25">
      <c r="A744" s="64"/>
      <c r="B744" s="62"/>
      <c r="C744" s="62"/>
      <c r="D744" s="62"/>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c r="AE744" s="58"/>
      <c r="AF744" s="58"/>
      <c r="AG744" s="58"/>
      <c r="AH744" s="58"/>
      <c r="AI744" s="58"/>
      <c r="AJ744" s="58"/>
      <c r="AK744" s="58"/>
      <c r="AL744" s="58"/>
      <c r="AM744" s="58"/>
      <c r="AN744" s="58"/>
      <c r="AO744" s="58"/>
      <c r="AP744" s="58"/>
      <c r="AQ744" s="58"/>
      <c r="AR744" s="58"/>
    </row>
    <row r="745" spans="1:44" ht="15.75" customHeight="1" x14ac:dyDescent="0.25">
      <c r="A745" s="64"/>
      <c r="B745" s="62"/>
      <c r="C745" s="62"/>
      <c r="D745" s="62"/>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c r="AE745" s="58"/>
      <c r="AF745" s="58"/>
      <c r="AG745" s="58"/>
      <c r="AH745" s="58"/>
      <c r="AI745" s="58"/>
      <c r="AJ745" s="58"/>
      <c r="AK745" s="58"/>
      <c r="AL745" s="58"/>
      <c r="AM745" s="58"/>
      <c r="AN745" s="58"/>
      <c r="AO745" s="58"/>
      <c r="AP745" s="58"/>
      <c r="AQ745" s="58"/>
      <c r="AR745" s="58"/>
    </row>
    <row r="746" spans="1:44" ht="15.75" customHeight="1" x14ac:dyDescent="0.25">
      <c r="A746" s="64"/>
      <c r="B746" s="62"/>
      <c r="C746" s="62"/>
      <c r="D746" s="62"/>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c r="AE746" s="58"/>
      <c r="AF746" s="58"/>
      <c r="AG746" s="58"/>
      <c r="AH746" s="58"/>
      <c r="AI746" s="58"/>
      <c r="AJ746" s="58"/>
      <c r="AK746" s="58"/>
      <c r="AL746" s="58"/>
      <c r="AM746" s="58"/>
      <c r="AN746" s="58"/>
      <c r="AO746" s="58"/>
      <c r="AP746" s="58"/>
      <c r="AQ746" s="58"/>
      <c r="AR746" s="58"/>
    </row>
    <row r="747" spans="1:44" ht="15.75" customHeight="1" x14ac:dyDescent="0.25">
      <c r="A747" s="64"/>
      <c r="B747" s="62"/>
      <c r="C747" s="62"/>
      <c r="D747" s="62"/>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c r="AE747" s="58"/>
      <c r="AF747" s="58"/>
      <c r="AG747" s="58"/>
      <c r="AH747" s="58"/>
      <c r="AI747" s="58"/>
      <c r="AJ747" s="58"/>
      <c r="AK747" s="58"/>
      <c r="AL747" s="58"/>
      <c r="AM747" s="58"/>
      <c r="AN747" s="58"/>
      <c r="AO747" s="58"/>
      <c r="AP747" s="58"/>
      <c r="AQ747" s="58"/>
      <c r="AR747" s="58"/>
    </row>
    <row r="748" spans="1:44" ht="15.75" customHeight="1" x14ac:dyDescent="0.25">
      <c r="A748" s="64"/>
      <c r="B748" s="62"/>
      <c r="C748" s="62"/>
      <c r="D748" s="62"/>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c r="AE748" s="58"/>
      <c r="AF748" s="58"/>
      <c r="AG748" s="58"/>
      <c r="AH748" s="58"/>
      <c r="AI748" s="58"/>
      <c r="AJ748" s="58"/>
      <c r="AK748" s="58"/>
      <c r="AL748" s="58"/>
      <c r="AM748" s="58"/>
      <c r="AN748" s="58"/>
      <c r="AO748" s="58"/>
      <c r="AP748" s="58"/>
      <c r="AQ748" s="58"/>
      <c r="AR748" s="58"/>
    </row>
    <row r="749" spans="1:44" ht="15.75" customHeight="1" x14ac:dyDescent="0.25">
      <c r="A749" s="64"/>
      <c r="B749" s="62"/>
      <c r="C749" s="62"/>
      <c r="D749" s="62"/>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c r="AE749" s="58"/>
      <c r="AF749" s="58"/>
      <c r="AG749" s="58"/>
      <c r="AH749" s="58"/>
      <c r="AI749" s="58"/>
      <c r="AJ749" s="58"/>
      <c r="AK749" s="58"/>
      <c r="AL749" s="58"/>
      <c r="AM749" s="58"/>
      <c r="AN749" s="58"/>
      <c r="AO749" s="58"/>
      <c r="AP749" s="58"/>
      <c r="AQ749" s="58"/>
      <c r="AR749" s="58"/>
    </row>
    <row r="750" spans="1:44" ht="15.75" customHeight="1" x14ac:dyDescent="0.25">
      <c r="A750" s="64"/>
      <c r="B750" s="62"/>
      <c r="C750" s="62"/>
      <c r="D750" s="62"/>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c r="AE750" s="58"/>
      <c r="AF750" s="58"/>
      <c r="AG750" s="58"/>
      <c r="AH750" s="58"/>
      <c r="AI750" s="58"/>
      <c r="AJ750" s="58"/>
      <c r="AK750" s="58"/>
      <c r="AL750" s="58"/>
      <c r="AM750" s="58"/>
      <c r="AN750" s="58"/>
      <c r="AO750" s="58"/>
      <c r="AP750" s="58"/>
      <c r="AQ750" s="58"/>
      <c r="AR750" s="58"/>
    </row>
    <row r="751" spans="1:44" ht="15.75" customHeight="1" x14ac:dyDescent="0.25">
      <c r="A751" s="64"/>
      <c r="B751" s="62"/>
      <c r="C751" s="62"/>
      <c r="D751" s="62"/>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c r="AE751" s="58"/>
      <c r="AF751" s="58"/>
      <c r="AG751" s="58"/>
      <c r="AH751" s="58"/>
      <c r="AI751" s="58"/>
      <c r="AJ751" s="58"/>
      <c r="AK751" s="58"/>
      <c r="AL751" s="58"/>
      <c r="AM751" s="58"/>
      <c r="AN751" s="58"/>
      <c r="AO751" s="58"/>
      <c r="AP751" s="58"/>
      <c r="AQ751" s="58"/>
      <c r="AR751" s="58"/>
    </row>
    <row r="752" spans="1:44" ht="15.75" customHeight="1" x14ac:dyDescent="0.25">
      <c r="A752" s="64"/>
      <c r="B752" s="62"/>
      <c r="C752" s="62"/>
      <c r="D752" s="62"/>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c r="AE752" s="58"/>
      <c r="AF752" s="58"/>
      <c r="AG752" s="58"/>
      <c r="AH752" s="58"/>
      <c r="AI752" s="58"/>
      <c r="AJ752" s="58"/>
      <c r="AK752" s="58"/>
      <c r="AL752" s="58"/>
      <c r="AM752" s="58"/>
      <c r="AN752" s="58"/>
      <c r="AO752" s="58"/>
      <c r="AP752" s="58"/>
      <c r="AQ752" s="58"/>
      <c r="AR752" s="58"/>
    </row>
    <row r="753" spans="1:44" ht="15.75" customHeight="1" x14ac:dyDescent="0.25">
      <c r="A753" s="64"/>
      <c r="B753" s="62"/>
      <c r="C753" s="62"/>
      <c r="D753" s="62"/>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c r="AE753" s="58"/>
      <c r="AF753" s="58"/>
      <c r="AG753" s="58"/>
      <c r="AH753" s="58"/>
      <c r="AI753" s="58"/>
      <c r="AJ753" s="58"/>
      <c r="AK753" s="58"/>
      <c r="AL753" s="58"/>
      <c r="AM753" s="58"/>
      <c r="AN753" s="58"/>
      <c r="AO753" s="58"/>
      <c r="AP753" s="58"/>
      <c r="AQ753" s="58"/>
      <c r="AR753" s="58"/>
    </row>
    <row r="754" spans="1:44" ht="15.75" customHeight="1" x14ac:dyDescent="0.25">
      <c r="A754" s="64"/>
      <c r="B754" s="62"/>
      <c r="C754" s="62"/>
      <c r="D754" s="62"/>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c r="AE754" s="58"/>
      <c r="AF754" s="58"/>
      <c r="AG754" s="58"/>
      <c r="AH754" s="58"/>
      <c r="AI754" s="58"/>
      <c r="AJ754" s="58"/>
      <c r="AK754" s="58"/>
      <c r="AL754" s="58"/>
      <c r="AM754" s="58"/>
      <c r="AN754" s="58"/>
      <c r="AO754" s="58"/>
      <c r="AP754" s="58"/>
      <c r="AQ754" s="58"/>
      <c r="AR754" s="58"/>
    </row>
    <row r="755" spans="1:44" ht="15.75" customHeight="1" x14ac:dyDescent="0.25">
      <c r="A755" s="64"/>
      <c r="B755" s="62"/>
      <c r="C755" s="62"/>
      <c r="D755" s="62"/>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c r="AE755" s="58"/>
      <c r="AF755" s="58"/>
      <c r="AG755" s="58"/>
      <c r="AH755" s="58"/>
      <c r="AI755" s="58"/>
      <c r="AJ755" s="58"/>
      <c r="AK755" s="58"/>
      <c r="AL755" s="58"/>
      <c r="AM755" s="58"/>
      <c r="AN755" s="58"/>
      <c r="AO755" s="58"/>
      <c r="AP755" s="58"/>
      <c r="AQ755" s="58"/>
      <c r="AR755" s="58"/>
    </row>
    <row r="756" spans="1:44" ht="15.75" customHeight="1" x14ac:dyDescent="0.25">
      <c r="A756" s="64"/>
      <c r="B756" s="62"/>
      <c r="C756" s="62"/>
      <c r="D756" s="62"/>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c r="AE756" s="58"/>
      <c r="AF756" s="58"/>
      <c r="AG756" s="58"/>
      <c r="AH756" s="58"/>
      <c r="AI756" s="58"/>
      <c r="AJ756" s="58"/>
      <c r="AK756" s="58"/>
      <c r="AL756" s="58"/>
      <c r="AM756" s="58"/>
      <c r="AN756" s="58"/>
      <c r="AO756" s="58"/>
      <c r="AP756" s="58"/>
      <c r="AQ756" s="58"/>
      <c r="AR756" s="58"/>
    </row>
    <row r="757" spans="1:44" ht="15.75" customHeight="1" x14ac:dyDescent="0.25">
      <c r="A757" s="64"/>
      <c r="B757" s="62"/>
      <c r="C757" s="62"/>
      <c r="D757" s="62"/>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c r="AG757" s="58"/>
      <c r="AH757" s="58"/>
      <c r="AI757" s="58"/>
      <c r="AJ757" s="58"/>
      <c r="AK757" s="58"/>
      <c r="AL757" s="58"/>
      <c r="AM757" s="58"/>
      <c r="AN757" s="58"/>
      <c r="AO757" s="58"/>
      <c r="AP757" s="58"/>
      <c r="AQ757" s="58"/>
      <c r="AR757" s="58"/>
    </row>
    <row r="758" spans="1:44" ht="15.75" customHeight="1" x14ac:dyDescent="0.25">
      <c r="A758" s="64"/>
      <c r="B758" s="62"/>
      <c r="C758" s="62"/>
      <c r="D758" s="62"/>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c r="AE758" s="58"/>
      <c r="AF758" s="58"/>
      <c r="AG758" s="58"/>
      <c r="AH758" s="58"/>
      <c r="AI758" s="58"/>
      <c r="AJ758" s="58"/>
      <c r="AK758" s="58"/>
      <c r="AL758" s="58"/>
      <c r="AM758" s="58"/>
      <c r="AN758" s="58"/>
      <c r="AO758" s="58"/>
      <c r="AP758" s="58"/>
      <c r="AQ758" s="58"/>
      <c r="AR758" s="58"/>
    </row>
    <row r="759" spans="1:44" ht="15.75" customHeight="1" x14ac:dyDescent="0.25">
      <c r="A759" s="64"/>
      <c r="B759" s="62"/>
      <c r="C759" s="62"/>
      <c r="D759" s="62"/>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c r="AE759" s="58"/>
      <c r="AF759" s="58"/>
      <c r="AG759" s="58"/>
      <c r="AH759" s="58"/>
      <c r="AI759" s="58"/>
      <c r="AJ759" s="58"/>
      <c r="AK759" s="58"/>
      <c r="AL759" s="58"/>
      <c r="AM759" s="58"/>
      <c r="AN759" s="58"/>
      <c r="AO759" s="58"/>
      <c r="AP759" s="58"/>
      <c r="AQ759" s="58"/>
      <c r="AR759" s="58"/>
    </row>
    <row r="760" spans="1:44" ht="15.75" customHeight="1" x14ac:dyDescent="0.25">
      <c r="A760" s="64"/>
      <c r="B760" s="62"/>
      <c r="C760" s="62"/>
      <c r="D760" s="62"/>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c r="AE760" s="58"/>
      <c r="AF760" s="58"/>
      <c r="AG760" s="58"/>
      <c r="AH760" s="58"/>
      <c r="AI760" s="58"/>
      <c r="AJ760" s="58"/>
      <c r="AK760" s="58"/>
      <c r="AL760" s="58"/>
      <c r="AM760" s="58"/>
      <c r="AN760" s="58"/>
      <c r="AO760" s="58"/>
      <c r="AP760" s="58"/>
      <c r="AQ760" s="58"/>
      <c r="AR760" s="58"/>
    </row>
    <row r="761" spans="1:44" ht="15.75" customHeight="1" x14ac:dyDescent="0.25">
      <c r="A761" s="64"/>
      <c r="B761" s="62"/>
      <c r="C761" s="62"/>
      <c r="D761" s="62"/>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c r="AE761" s="58"/>
      <c r="AF761" s="58"/>
      <c r="AG761" s="58"/>
      <c r="AH761" s="58"/>
      <c r="AI761" s="58"/>
      <c r="AJ761" s="58"/>
      <c r="AK761" s="58"/>
      <c r="AL761" s="58"/>
      <c r="AM761" s="58"/>
      <c r="AN761" s="58"/>
      <c r="AO761" s="58"/>
      <c r="AP761" s="58"/>
      <c r="AQ761" s="58"/>
      <c r="AR761" s="58"/>
    </row>
    <row r="762" spans="1:44" ht="15.75" customHeight="1" x14ac:dyDescent="0.25">
      <c r="A762" s="64"/>
      <c r="B762" s="62"/>
      <c r="C762" s="62"/>
      <c r="D762" s="62"/>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c r="AE762" s="58"/>
      <c r="AF762" s="58"/>
      <c r="AG762" s="58"/>
      <c r="AH762" s="58"/>
      <c r="AI762" s="58"/>
      <c r="AJ762" s="58"/>
      <c r="AK762" s="58"/>
      <c r="AL762" s="58"/>
      <c r="AM762" s="58"/>
      <c r="AN762" s="58"/>
      <c r="AO762" s="58"/>
      <c r="AP762" s="58"/>
      <c r="AQ762" s="58"/>
      <c r="AR762" s="58"/>
    </row>
    <row r="763" spans="1:44" ht="15.75" customHeight="1" x14ac:dyDescent="0.25">
      <c r="A763" s="64"/>
      <c r="B763" s="62"/>
      <c r="C763" s="62"/>
      <c r="D763" s="62"/>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c r="AE763" s="58"/>
      <c r="AF763" s="58"/>
      <c r="AG763" s="58"/>
      <c r="AH763" s="58"/>
      <c r="AI763" s="58"/>
      <c r="AJ763" s="58"/>
      <c r="AK763" s="58"/>
      <c r="AL763" s="58"/>
      <c r="AM763" s="58"/>
      <c r="AN763" s="58"/>
      <c r="AO763" s="58"/>
      <c r="AP763" s="58"/>
      <c r="AQ763" s="58"/>
      <c r="AR763" s="58"/>
    </row>
    <row r="764" spans="1:44" ht="15.75" customHeight="1" x14ac:dyDescent="0.25">
      <c r="A764" s="64"/>
      <c r="B764" s="62"/>
      <c r="C764" s="62"/>
      <c r="D764" s="62"/>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c r="AE764" s="58"/>
      <c r="AF764" s="58"/>
      <c r="AG764" s="58"/>
      <c r="AH764" s="58"/>
      <c r="AI764" s="58"/>
      <c r="AJ764" s="58"/>
      <c r="AK764" s="58"/>
      <c r="AL764" s="58"/>
      <c r="AM764" s="58"/>
      <c r="AN764" s="58"/>
      <c r="AO764" s="58"/>
      <c r="AP764" s="58"/>
      <c r="AQ764" s="58"/>
      <c r="AR764" s="58"/>
    </row>
    <row r="765" spans="1:44" ht="15.75" customHeight="1" x14ac:dyDescent="0.25">
      <c r="A765" s="64"/>
      <c r="B765" s="62"/>
      <c r="C765" s="62"/>
      <c r="D765" s="62"/>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c r="AE765" s="58"/>
      <c r="AF765" s="58"/>
      <c r="AG765" s="58"/>
      <c r="AH765" s="58"/>
      <c r="AI765" s="58"/>
      <c r="AJ765" s="58"/>
      <c r="AK765" s="58"/>
      <c r="AL765" s="58"/>
      <c r="AM765" s="58"/>
      <c r="AN765" s="58"/>
      <c r="AO765" s="58"/>
      <c r="AP765" s="58"/>
      <c r="AQ765" s="58"/>
      <c r="AR765" s="58"/>
    </row>
    <row r="766" spans="1:44" ht="15.75" customHeight="1" x14ac:dyDescent="0.25">
      <c r="A766" s="64"/>
      <c r="B766" s="62"/>
      <c r="C766" s="62"/>
      <c r="D766" s="62"/>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c r="AE766" s="58"/>
      <c r="AF766" s="58"/>
      <c r="AG766" s="58"/>
      <c r="AH766" s="58"/>
      <c r="AI766" s="58"/>
      <c r="AJ766" s="58"/>
      <c r="AK766" s="58"/>
      <c r="AL766" s="58"/>
      <c r="AM766" s="58"/>
      <c r="AN766" s="58"/>
      <c r="AO766" s="58"/>
      <c r="AP766" s="58"/>
      <c r="AQ766" s="58"/>
      <c r="AR766" s="58"/>
    </row>
    <row r="767" spans="1:44" ht="15.75" customHeight="1" x14ac:dyDescent="0.25">
      <c r="A767" s="64"/>
      <c r="B767" s="62"/>
      <c r="C767" s="62"/>
      <c r="D767" s="62"/>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c r="AE767" s="58"/>
      <c r="AF767" s="58"/>
      <c r="AG767" s="58"/>
      <c r="AH767" s="58"/>
      <c r="AI767" s="58"/>
      <c r="AJ767" s="58"/>
      <c r="AK767" s="58"/>
      <c r="AL767" s="58"/>
      <c r="AM767" s="58"/>
      <c r="AN767" s="58"/>
      <c r="AO767" s="58"/>
      <c r="AP767" s="58"/>
      <c r="AQ767" s="58"/>
      <c r="AR767" s="58"/>
    </row>
    <row r="768" spans="1:44" ht="15.75" customHeight="1" x14ac:dyDescent="0.25">
      <c r="A768" s="64"/>
      <c r="B768" s="62"/>
      <c r="C768" s="62"/>
      <c r="D768" s="62"/>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c r="AE768" s="58"/>
      <c r="AF768" s="58"/>
      <c r="AG768" s="58"/>
      <c r="AH768" s="58"/>
      <c r="AI768" s="58"/>
      <c r="AJ768" s="58"/>
      <c r="AK768" s="58"/>
      <c r="AL768" s="58"/>
      <c r="AM768" s="58"/>
      <c r="AN768" s="58"/>
      <c r="AO768" s="58"/>
      <c r="AP768" s="58"/>
      <c r="AQ768" s="58"/>
      <c r="AR768" s="58"/>
    </row>
    <row r="769" spans="1:44" ht="15.75" customHeight="1" x14ac:dyDescent="0.25">
      <c r="A769" s="64"/>
      <c r="B769" s="62"/>
      <c r="C769" s="62"/>
      <c r="D769" s="62"/>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c r="AE769" s="58"/>
      <c r="AF769" s="58"/>
      <c r="AG769" s="58"/>
      <c r="AH769" s="58"/>
      <c r="AI769" s="58"/>
      <c r="AJ769" s="58"/>
      <c r="AK769" s="58"/>
      <c r="AL769" s="58"/>
      <c r="AM769" s="58"/>
      <c r="AN769" s="58"/>
      <c r="AO769" s="58"/>
      <c r="AP769" s="58"/>
      <c r="AQ769" s="58"/>
      <c r="AR769" s="58"/>
    </row>
    <row r="770" spans="1:44" ht="15.75" customHeight="1" x14ac:dyDescent="0.25">
      <c r="A770" s="64"/>
      <c r="B770" s="62"/>
      <c r="C770" s="62"/>
      <c r="D770" s="62"/>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c r="AE770" s="58"/>
      <c r="AF770" s="58"/>
      <c r="AG770" s="58"/>
      <c r="AH770" s="58"/>
      <c r="AI770" s="58"/>
      <c r="AJ770" s="58"/>
      <c r="AK770" s="58"/>
      <c r="AL770" s="58"/>
      <c r="AM770" s="58"/>
      <c r="AN770" s="58"/>
      <c r="AO770" s="58"/>
      <c r="AP770" s="58"/>
      <c r="AQ770" s="58"/>
      <c r="AR770" s="58"/>
    </row>
    <row r="771" spans="1:44" ht="15.75" customHeight="1" x14ac:dyDescent="0.25">
      <c r="A771" s="64"/>
      <c r="B771" s="62"/>
      <c r="C771" s="62"/>
      <c r="D771" s="62"/>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c r="AE771" s="58"/>
      <c r="AF771" s="58"/>
      <c r="AG771" s="58"/>
      <c r="AH771" s="58"/>
      <c r="AI771" s="58"/>
      <c r="AJ771" s="58"/>
      <c r="AK771" s="58"/>
      <c r="AL771" s="58"/>
      <c r="AM771" s="58"/>
      <c r="AN771" s="58"/>
      <c r="AO771" s="58"/>
      <c r="AP771" s="58"/>
      <c r="AQ771" s="58"/>
      <c r="AR771" s="58"/>
    </row>
    <row r="772" spans="1:44" ht="15.75" customHeight="1" x14ac:dyDescent="0.25">
      <c r="A772" s="64"/>
      <c r="B772" s="62"/>
      <c r="C772" s="62"/>
      <c r="D772" s="62"/>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c r="AE772" s="58"/>
      <c r="AF772" s="58"/>
      <c r="AG772" s="58"/>
      <c r="AH772" s="58"/>
      <c r="AI772" s="58"/>
      <c r="AJ772" s="58"/>
      <c r="AK772" s="58"/>
      <c r="AL772" s="58"/>
      <c r="AM772" s="58"/>
      <c r="AN772" s="58"/>
      <c r="AO772" s="58"/>
      <c r="AP772" s="58"/>
      <c r="AQ772" s="58"/>
      <c r="AR772" s="58"/>
    </row>
    <row r="773" spans="1:44" ht="15.75" customHeight="1" x14ac:dyDescent="0.25">
      <c r="A773" s="64"/>
      <c r="B773" s="62"/>
      <c r="C773" s="62"/>
      <c r="D773" s="62"/>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c r="AE773" s="58"/>
      <c r="AF773" s="58"/>
      <c r="AG773" s="58"/>
      <c r="AH773" s="58"/>
      <c r="AI773" s="58"/>
      <c r="AJ773" s="58"/>
      <c r="AK773" s="58"/>
      <c r="AL773" s="58"/>
      <c r="AM773" s="58"/>
      <c r="AN773" s="58"/>
      <c r="AO773" s="58"/>
      <c r="AP773" s="58"/>
      <c r="AQ773" s="58"/>
      <c r="AR773" s="58"/>
    </row>
    <row r="774" spans="1:44" ht="15.75" customHeight="1" x14ac:dyDescent="0.25">
      <c r="A774" s="64"/>
      <c r="B774" s="62"/>
      <c r="C774" s="62"/>
      <c r="D774" s="62"/>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c r="AE774" s="58"/>
      <c r="AF774" s="58"/>
      <c r="AG774" s="58"/>
      <c r="AH774" s="58"/>
      <c r="AI774" s="58"/>
      <c r="AJ774" s="58"/>
      <c r="AK774" s="58"/>
      <c r="AL774" s="58"/>
      <c r="AM774" s="58"/>
      <c r="AN774" s="58"/>
      <c r="AO774" s="58"/>
      <c r="AP774" s="58"/>
      <c r="AQ774" s="58"/>
      <c r="AR774" s="58"/>
    </row>
    <row r="775" spans="1:44" ht="15.75" customHeight="1" x14ac:dyDescent="0.25">
      <c r="A775" s="64"/>
      <c r="B775" s="62"/>
      <c r="C775" s="62"/>
      <c r="D775" s="62"/>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c r="AE775" s="58"/>
      <c r="AF775" s="58"/>
      <c r="AG775" s="58"/>
      <c r="AH775" s="58"/>
      <c r="AI775" s="58"/>
      <c r="AJ775" s="58"/>
      <c r="AK775" s="58"/>
      <c r="AL775" s="58"/>
      <c r="AM775" s="58"/>
      <c r="AN775" s="58"/>
      <c r="AO775" s="58"/>
      <c r="AP775" s="58"/>
      <c r="AQ775" s="58"/>
      <c r="AR775" s="58"/>
    </row>
    <row r="776" spans="1:44" ht="15.75" customHeight="1" x14ac:dyDescent="0.25">
      <c r="A776" s="64"/>
      <c r="B776" s="62"/>
      <c r="C776" s="62"/>
      <c r="D776" s="62"/>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c r="AE776" s="58"/>
      <c r="AF776" s="58"/>
      <c r="AG776" s="58"/>
      <c r="AH776" s="58"/>
      <c r="AI776" s="58"/>
      <c r="AJ776" s="58"/>
      <c r="AK776" s="58"/>
      <c r="AL776" s="58"/>
      <c r="AM776" s="58"/>
      <c r="AN776" s="58"/>
      <c r="AO776" s="58"/>
      <c r="AP776" s="58"/>
      <c r="AQ776" s="58"/>
      <c r="AR776" s="58"/>
    </row>
    <row r="777" spans="1:44" ht="15.75" customHeight="1" x14ac:dyDescent="0.25">
      <c r="A777" s="64"/>
      <c r="B777" s="62"/>
      <c r="C777" s="62"/>
      <c r="D777" s="62"/>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c r="AE777" s="58"/>
      <c r="AF777" s="58"/>
      <c r="AG777" s="58"/>
      <c r="AH777" s="58"/>
      <c r="AI777" s="58"/>
      <c r="AJ777" s="58"/>
      <c r="AK777" s="58"/>
      <c r="AL777" s="58"/>
      <c r="AM777" s="58"/>
      <c r="AN777" s="58"/>
      <c r="AO777" s="58"/>
      <c r="AP777" s="58"/>
      <c r="AQ777" s="58"/>
      <c r="AR777" s="58"/>
    </row>
    <row r="778" spans="1:44" ht="15.75" customHeight="1" x14ac:dyDescent="0.25">
      <c r="A778" s="64"/>
      <c r="B778" s="62"/>
      <c r="C778" s="62"/>
      <c r="D778" s="62"/>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c r="AE778" s="58"/>
      <c r="AF778" s="58"/>
      <c r="AG778" s="58"/>
      <c r="AH778" s="58"/>
      <c r="AI778" s="58"/>
      <c r="AJ778" s="58"/>
      <c r="AK778" s="58"/>
      <c r="AL778" s="58"/>
      <c r="AM778" s="58"/>
      <c r="AN778" s="58"/>
      <c r="AO778" s="58"/>
      <c r="AP778" s="58"/>
      <c r="AQ778" s="58"/>
      <c r="AR778" s="58"/>
    </row>
    <row r="779" spans="1:44" ht="15.75" customHeight="1" x14ac:dyDescent="0.25">
      <c r="A779" s="64"/>
      <c r="B779" s="62"/>
      <c r="C779" s="62"/>
      <c r="D779" s="62"/>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c r="AE779" s="58"/>
      <c r="AF779" s="58"/>
      <c r="AG779" s="58"/>
      <c r="AH779" s="58"/>
      <c r="AI779" s="58"/>
      <c r="AJ779" s="58"/>
      <c r="AK779" s="58"/>
      <c r="AL779" s="58"/>
      <c r="AM779" s="58"/>
      <c r="AN779" s="58"/>
      <c r="AO779" s="58"/>
      <c r="AP779" s="58"/>
      <c r="AQ779" s="58"/>
      <c r="AR779" s="58"/>
    </row>
    <row r="780" spans="1:44" ht="15.75" customHeight="1" x14ac:dyDescent="0.25">
      <c r="A780" s="64"/>
      <c r="B780" s="62"/>
      <c r="C780" s="62"/>
      <c r="D780" s="62"/>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c r="AE780" s="58"/>
      <c r="AF780" s="58"/>
      <c r="AG780" s="58"/>
      <c r="AH780" s="58"/>
      <c r="AI780" s="58"/>
      <c r="AJ780" s="58"/>
      <c r="AK780" s="58"/>
      <c r="AL780" s="58"/>
      <c r="AM780" s="58"/>
      <c r="AN780" s="58"/>
      <c r="AO780" s="58"/>
      <c r="AP780" s="58"/>
      <c r="AQ780" s="58"/>
      <c r="AR780" s="58"/>
    </row>
    <row r="781" spans="1:44" ht="15.75" customHeight="1" x14ac:dyDescent="0.25">
      <c r="A781" s="64"/>
      <c r="B781" s="62"/>
      <c r="C781" s="62"/>
      <c r="D781" s="62"/>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c r="AE781" s="58"/>
      <c r="AF781" s="58"/>
      <c r="AG781" s="58"/>
      <c r="AH781" s="58"/>
      <c r="AI781" s="58"/>
      <c r="AJ781" s="58"/>
      <c r="AK781" s="58"/>
      <c r="AL781" s="58"/>
      <c r="AM781" s="58"/>
      <c r="AN781" s="58"/>
      <c r="AO781" s="58"/>
      <c r="AP781" s="58"/>
      <c r="AQ781" s="58"/>
      <c r="AR781" s="58"/>
    </row>
    <row r="782" spans="1:44" ht="15.75" customHeight="1" x14ac:dyDescent="0.25">
      <c r="A782" s="64"/>
      <c r="B782" s="62"/>
      <c r="C782" s="62"/>
      <c r="D782" s="62"/>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c r="AE782" s="58"/>
      <c r="AF782" s="58"/>
      <c r="AG782" s="58"/>
      <c r="AH782" s="58"/>
      <c r="AI782" s="58"/>
      <c r="AJ782" s="58"/>
      <c r="AK782" s="58"/>
      <c r="AL782" s="58"/>
      <c r="AM782" s="58"/>
      <c r="AN782" s="58"/>
      <c r="AO782" s="58"/>
      <c r="AP782" s="58"/>
      <c r="AQ782" s="58"/>
      <c r="AR782" s="58"/>
    </row>
    <row r="783" spans="1:44" ht="15.75" customHeight="1" x14ac:dyDescent="0.25">
      <c r="A783" s="64"/>
      <c r="B783" s="62"/>
      <c r="C783" s="62"/>
      <c r="D783" s="62"/>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c r="AE783" s="58"/>
      <c r="AF783" s="58"/>
      <c r="AG783" s="58"/>
      <c r="AH783" s="58"/>
      <c r="AI783" s="58"/>
      <c r="AJ783" s="58"/>
      <c r="AK783" s="58"/>
      <c r="AL783" s="58"/>
      <c r="AM783" s="58"/>
      <c r="AN783" s="58"/>
      <c r="AO783" s="58"/>
      <c r="AP783" s="58"/>
      <c r="AQ783" s="58"/>
      <c r="AR783" s="58"/>
    </row>
    <row r="784" spans="1:44" ht="15.75" customHeight="1" x14ac:dyDescent="0.25">
      <c r="A784" s="64"/>
      <c r="B784" s="62"/>
      <c r="C784" s="62"/>
      <c r="D784" s="62"/>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c r="AE784" s="58"/>
      <c r="AF784" s="58"/>
      <c r="AG784" s="58"/>
      <c r="AH784" s="58"/>
      <c r="AI784" s="58"/>
      <c r="AJ784" s="58"/>
      <c r="AK784" s="58"/>
      <c r="AL784" s="58"/>
      <c r="AM784" s="58"/>
      <c r="AN784" s="58"/>
      <c r="AO784" s="58"/>
      <c r="AP784" s="58"/>
      <c r="AQ784" s="58"/>
      <c r="AR784" s="58"/>
    </row>
    <row r="785" spans="1:44" ht="15.75" customHeight="1" x14ac:dyDescent="0.25">
      <c r="A785" s="64"/>
      <c r="B785" s="62"/>
      <c r="C785" s="62"/>
      <c r="D785" s="62"/>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c r="AE785" s="58"/>
      <c r="AF785" s="58"/>
      <c r="AG785" s="58"/>
      <c r="AH785" s="58"/>
      <c r="AI785" s="58"/>
      <c r="AJ785" s="58"/>
      <c r="AK785" s="58"/>
      <c r="AL785" s="58"/>
      <c r="AM785" s="58"/>
      <c r="AN785" s="58"/>
      <c r="AO785" s="58"/>
      <c r="AP785" s="58"/>
      <c r="AQ785" s="58"/>
      <c r="AR785" s="58"/>
    </row>
    <row r="786" spans="1:44" ht="15.75" customHeight="1" x14ac:dyDescent="0.25">
      <c r="A786" s="64"/>
      <c r="B786" s="62"/>
      <c r="C786" s="62"/>
      <c r="D786" s="62"/>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c r="AE786" s="58"/>
      <c r="AF786" s="58"/>
      <c r="AG786" s="58"/>
      <c r="AH786" s="58"/>
      <c r="AI786" s="58"/>
      <c r="AJ786" s="58"/>
      <c r="AK786" s="58"/>
      <c r="AL786" s="58"/>
      <c r="AM786" s="58"/>
      <c r="AN786" s="58"/>
      <c r="AO786" s="58"/>
      <c r="AP786" s="58"/>
      <c r="AQ786" s="58"/>
      <c r="AR786" s="58"/>
    </row>
    <row r="787" spans="1:44" ht="15.75" customHeight="1" x14ac:dyDescent="0.25">
      <c r="A787" s="64"/>
      <c r="B787" s="62"/>
      <c r="C787" s="62"/>
      <c r="D787" s="62"/>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c r="AE787" s="58"/>
      <c r="AF787" s="58"/>
      <c r="AG787" s="58"/>
      <c r="AH787" s="58"/>
      <c r="AI787" s="58"/>
      <c r="AJ787" s="58"/>
      <c r="AK787" s="58"/>
      <c r="AL787" s="58"/>
      <c r="AM787" s="58"/>
      <c r="AN787" s="58"/>
      <c r="AO787" s="58"/>
      <c r="AP787" s="58"/>
      <c r="AQ787" s="58"/>
      <c r="AR787" s="58"/>
    </row>
    <row r="788" spans="1:44" ht="15.75" customHeight="1" x14ac:dyDescent="0.25">
      <c r="A788" s="64"/>
      <c r="B788" s="62"/>
      <c r="C788" s="62"/>
      <c r="D788" s="62"/>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c r="AE788" s="58"/>
      <c r="AF788" s="58"/>
      <c r="AG788" s="58"/>
      <c r="AH788" s="58"/>
      <c r="AI788" s="58"/>
      <c r="AJ788" s="58"/>
      <c r="AK788" s="58"/>
      <c r="AL788" s="58"/>
      <c r="AM788" s="58"/>
      <c r="AN788" s="58"/>
      <c r="AO788" s="58"/>
      <c r="AP788" s="58"/>
      <c r="AQ788" s="58"/>
      <c r="AR788" s="58"/>
    </row>
    <row r="789" spans="1:44" ht="15.75" customHeight="1" x14ac:dyDescent="0.25">
      <c r="A789" s="64"/>
      <c r="B789" s="62"/>
      <c r="C789" s="62"/>
      <c r="D789" s="62"/>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c r="AE789" s="58"/>
      <c r="AF789" s="58"/>
      <c r="AG789" s="58"/>
      <c r="AH789" s="58"/>
      <c r="AI789" s="58"/>
      <c r="AJ789" s="58"/>
      <c r="AK789" s="58"/>
      <c r="AL789" s="58"/>
      <c r="AM789" s="58"/>
      <c r="AN789" s="58"/>
      <c r="AO789" s="58"/>
      <c r="AP789" s="58"/>
      <c r="AQ789" s="58"/>
      <c r="AR789" s="58"/>
    </row>
    <row r="790" spans="1:44" ht="15.75" customHeight="1" x14ac:dyDescent="0.25">
      <c r="A790" s="64"/>
      <c r="B790" s="62"/>
      <c r="C790" s="62"/>
      <c r="D790" s="62"/>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c r="AE790" s="58"/>
      <c r="AF790" s="58"/>
      <c r="AG790" s="58"/>
      <c r="AH790" s="58"/>
      <c r="AI790" s="58"/>
      <c r="AJ790" s="58"/>
      <c r="AK790" s="58"/>
      <c r="AL790" s="58"/>
      <c r="AM790" s="58"/>
      <c r="AN790" s="58"/>
      <c r="AO790" s="58"/>
      <c r="AP790" s="58"/>
      <c r="AQ790" s="58"/>
      <c r="AR790" s="58"/>
    </row>
    <row r="791" spans="1:44" ht="15.75" customHeight="1" x14ac:dyDescent="0.25">
      <c r="A791" s="64"/>
      <c r="B791" s="62"/>
      <c r="C791" s="62"/>
      <c r="D791" s="62"/>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c r="AE791" s="58"/>
      <c r="AF791" s="58"/>
      <c r="AG791" s="58"/>
      <c r="AH791" s="58"/>
      <c r="AI791" s="58"/>
      <c r="AJ791" s="58"/>
      <c r="AK791" s="58"/>
      <c r="AL791" s="58"/>
      <c r="AM791" s="58"/>
      <c r="AN791" s="58"/>
      <c r="AO791" s="58"/>
      <c r="AP791" s="58"/>
      <c r="AQ791" s="58"/>
      <c r="AR791" s="58"/>
    </row>
    <row r="792" spans="1:44" ht="15.75" customHeight="1" x14ac:dyDescent="0.25">
      <c r="A792" s="64"/>
      <c r="B792" s="62"/>
      <c r="C792" s="62"/>
      <c r="D792" s="62"/>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c r="AE792" s="58"/>
      <c r="AF792" s="58"/>
      <c r="AG792" s="58"/>
      <c r="AH792" s="58"/>
      <c r="AI792" s="58"/>
      <c r="AJ792" s="58"/>
      <c r="AK792" s="58"/>
      <c r="AL792" s="58"/>
      <c r="AM792" s="58"/>
      <c r="AN792" s="58"/>
      <c r="AO792" s="58"/>
      <c r="AP792" s="58"/>
      <c r="AQ792" s="58"/>
      <c r="AR792" s="58"/>
    </row>
    <row r="793" spans="1:44" ht="15.75" customHeight="1" x14ac:dyDescent="0.25">
      <c r="A793" s="64"/>
      <c r="B793" s="62"/>
      <c r="C793" s="62"/>
      <c r="D793" s="62"/>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c r="AE793" s="58"/>
      <c r="AF793" s="58"/>
      <c r="AG793" s="58"/>
      <c r="AH793" s="58"/>
      <c r="AI793" s="58"/>
      <c r="AJ793" s="58"/>
      <c r="AK793" s="58"/>
      <c r="AL793" s="58"/>
      <c r="AM793" s="58"/>
      <c r="AN793" s="58"/>
      <c r="AO793" s="58"/>
      <c r="AP793" s="58"/>
      <c r="AQ793" s="58"/>
      <c r="AR793" s="58"/>
    </row>
    <row r="794" spans="1:44" ht="15.75" customHeight="1" x14ac:dyDescent="0.25">
      <c r="A794" s="64"/>
      <c r="B794" s="62"/>
      <c r="C794" s="62"/>
      <c r="D794" s="62"/>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c r="AE794" s="58"/>
      <c r="AF794" s="58"/>
      <c r="AG794" s="58"/>
      <c r="AH794" s="58"/>
      <c r="AI794" s="58"/>
      <c r="AJ794" s="58"/>
      <c r="AK794" s="58"/>
      <c r="AL794" s="58"/>
      <c r="AM794" s="58"/>
      <c r="AN794" s="58"/>
      <c r="AO794" s="58"/>
      <c r="AP794" s="58"/>
      <c r="AQ794" s="58"/>
      <c r="AR794" s="58"/>
    </row>
    <row r="795" spans="1:44" ht="15.75" customHeight="1" x14ac:dyDescent="0.25">
      <c r="A795" s="64"/>
      <c r="B795" s="62"/>
      <c r="C795" s="62"/>
      <c r="D795" s="62"/>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c r="AE795" s="58"/>
      <c r="AF795" s="58"/>
      <c r="AG795" s="58"/>
      <c r="AH795" s="58"/>
      <c r="AI795" s="58"/>
      <c r="AJ795" s="58"/>
      <c r="AK795" s="58"/>
      <c r="AL795" s="58"/>
      <c r="AM795" s="58"/>
      <c r="AN795" s="58"/>
      <c r="AO795" s="58"/>
      <c r="AP795" s="58"/>
      <c r="AQ795" s="58"/>
      <c r="AR795" s="58"/>
    </row>
    <row r="796" spans="1:44" ht="15.75" customHeight="1" x14ac:dyDescent="0.25">
      <c r="A796" s="64"/>
      <c r="B796" s="62"/>
      <c r="C796" s="62"/>
      <c r="D796" s="62"/>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c r="AE796" s="58"/>
      <c r="AF796" s="58"/>
      <c r="AG796" s="58"/>
      <c r="AH796" s="58"/>
      <c r="AI796" s="58"/>
      <c r="AJ796" s="58"/>
      <c r="AK796" s="58"/>
      <c r="AL796" s="58"/>
      <c r="AM796" s="58"/>
      <c r="AN796" s="58"/>
      <c r="AO796" s="58"/>
      <c r="AP796" s="58"/>
      <c r="AQ796" s="58"/>
      <c r="AR796" s="58"/>
    </row>
    <row r="797" spans="1:44" ht="15.75" customHeight="1" x14ac:dyDescent="0.25">
      <c r="A797" s="64"/>
      <c r="B797" s="62"/>
      <c r="C797" s="62"/>
      <c r="D797" s="62"/>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c r="AE797" s="58"/>
      <c r="AF797" s="58"/>
      <c r="AG797" s="58"/>
      <c r="AH797" s="58"/>
      <c r="AI797" s="58"/>
      <c r="AJ797" s="58"/>
      <c r="AK797" s="58"/>
      <c r="AL797" s="58"/>
      <c r="AM797" s="58"/>
      <c r="AN797" s="58"/>
      <c r="AO797" s="58"/>
      <c r="AP797" s="58"/>
      <c r="AQ797" s="58"/>
      <c r="AR797" s="58"/>
    </row>
    <row r="798" spans="1:44" ht="15.75" customHeight="1" x14ac:dyDescent="0.25">
      <c r="A798" s="64"/>
      <c r="B798" s="62"/>
      <c r="C798" s="62"/>
      <c r="D798" s="62"/>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c r="AE798" s="58"/>
      <c r="AF798" s="58"/>
      <c r="AG798" s="58"/>
      <c r="AH798" s="58"/>
      <c r="AI798" s="58"/>
      <c r="AJ798" s="58"/>
      <c r="AK798" s="58"/>
      <c r="AL798" s="58"/>
      <c r="AM798" s="58"/>
      <c r="AN798" s="58"/>
      <c r="AO798" s="58"/>
      <c r="AP798" s="58"/>
      <c r="AQ798" s="58"/>
      <c r="AR798" s="58"/>
    </row>
    <row r="799" spans="1:44" ht="15.75" customHeight="1" x14ac:dyDescent="0.25">
      <c r="A799" s="64"/>
      <c r="B799" s="62"/>
      <c r="C799" s="62"/>
      <c r="D799" s="62"/>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c r="AE799" s="58"/>
      <c r="AF799" s="58"/>
      <c r="AG799" s="58"/>
      <c r="AH799" s="58"/>
      <c r="AI799" s="58"/>
      <c r="AJ799" s="58"/>
      <c r="AK799" s="58"/>
      <c r="AL799" s="58"/>
      <c r="AM799" s="58"/>
      <c r="AN799" s="58"/>
      <c r="AO799" s="58"/>
      <c r="AP799" s="58"/>
      <c r="AQ799" s="58"/>
      <c r="AR799" s="58"/>
    </row>
    <row r="800" spans="1:44" ht="15.75" customHeight="1" x14ac:dyDescent="0.25">
      <c r="A800" s="64"/>
      <c r="B800" s="62"/>
      <c r="C800" s="62"/>
      <c r="D800" s="62"/>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c r="AE800" s="58"/>
      <c r="AF800" s="58"/>
      <c r="AG800" s="58"/>
      <c r="AH800" s="58"/>
      <c r="AI800" s="58"/>
      <c r="AJ800" s="58"/>
      <c r="AK800" s="58"/>
      <c r="AL800" s="58"/>
      <c r="AM800" s="58"/>
      <c r="AN800" s="58"/>
      <c r="AO800" s="58"/>
      <c r="AP800" s="58"/>
      <c r="AQ800" s="58"/>
      <c r="AR800" s="58"/>
    </row>
    <row r="801" spans="1:44" ht="15.75" customHeight="1" x14ac:dyDescent="0.25">
      <c r="A801" s="64"/>
      <c r="B801" s="62"/>
      <c r="C801" s="62"/>
      <c r="D801" s="62"/>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c r="AG801" s="58"/>
      <c r="AH801" s="58"/>
      <c r="AI801" s="58"/>
      <c r="AJ801" s="58"/>
      <c r="AK801" s="58"/>
      <c r="AL801" s="58"/>
      <c r="AM801" s="58"/>
      <c r="AN801" s="58"/>
      <c r="AO801" s="58"/>
      <c r="AP801" s="58"/>
      <c r="AQ801" s="58"/>
      <c r="AR801" s="58"/>
    </row>
    <row r="802" spans="1:44" ht="15.75" customHeight="1" x14ac:dyDescent="0.25">
      <c r="A802" s="64"/>
      <c r="B802" s="62"/>
      <c r="C802" s="62"/>
      <c r="D802" s="62"/>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c r="AE802" s="58"/>
      <c r="AF802" s="58"/>
      <c r="AG802" s="58"/>
      <c r="AH802" s="58"/>
      <c r="AI802" s="58"/>
      <c r="AJ802" s="58"/>
      <c r="AK802" s="58"/>
      <c r="AL802" s="58"/>
      <c r="AM802" s="58"/>
      <c r="AN802" s="58"/>
      <c r="AO802" s="58"/>
      <c r="AP802" s="58"/>
      <c r="AQ802" s="58"/>
      <c r="AR802" s="58"/>
    </row>
    <row r="803" spans="1:44" ht="15.75" customHeight="1" x14ac:dyDescent="0.25">
      <c r="A803" s="64"/>
      <c r="B803" s="62"/>
      <c r="C803" s="62"/>
      <c r="D803" s="62"/>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c r="AE803" s="58"/>
      <c r="AF803" s="58"/>
      <c r="AG803" s="58"/>
      <c r="AH803" s="58"/>
      <c r="AI803" s="58"/>
      <c r="AJ803" s="58"/>
      <c r="AK803" s="58"/>
      <c r="AL803" s="58"/>
      <c r="AM803" s="58"/>
      <c r="AN803" s="58"/>
      <c r="AO803" s="58"/>
      <c r="AP803" s="58"/>
      <c r="AQ803" s="58"/>
      <c r="AR803" s="58"/>
    </row>
    <row r="804" spans="1:44" ht="15.75" customHeight="1" x14ac:dyDescent="0.25">
      <c r="A804" s="64"/>
      <c r="B804" s="62"/>
      <c r="C804" s="62"/>
      <c r="D804" s="62"/>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c r="AE804" s="58"/>
      <c r="AF804" s="58"/>
      <c r="AG804" s="58"/>
      <c r="AH804" s="58"/>
      <c r="AI804" s="58"/>
      <c r="AJ804" s="58"/>
      <c r="AK804" s="58"/>
      <c r="AL804" s="58"/>
      <c r="AM804" s="58"/>
      <c r="AN804" s="58"/>
      <c r="AO804" s="58"/>
      <c r="AP804" s="58"/>
      <c r="AQ804" s="58"/>
      <c r="AR804" s="58"/>
    </row>
    <row r="805" spans="1:44" ht="15.75" customHeight="1" x14ac:dyDescent="0.25">
      <c r="A805" s="64"/>
      <c r="B805" s="62"/>
      <c r="C805" s="62"/>
      <c r="D805" s="62"/>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c r="AE805" s="58"/>
      <c r="AF805" s="58"/>
      <c r="AG805" s="58"/>
      <c r="AH805" s="58"/>
      <c r="AI805" s="58"/>
      <c r="AJ805" s="58"/>
      <c r="AK805" s="58"/>
      <c r="AL805" s="58"/>
      <c r="AM805" s="58"/>
      <c r="AN805" s="58"/>
      <c r="AO805" s="58"/>
      <c r="AP805" s="58"/>
      <c r="AQ805" s="58"/>
      <c r="AR805" s="58"/>
    </row>
    <row r="806" spans="1:44" ht="15.75" customHeight="1" x14ac:dyDescent="0.25">
      <c r="A806" s="64"/>
      <c r="B806" s="62"/>
      <c r="C806" s="62"/>
      <c r="D806" s="62"/>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c r="AE806" s="58"/>
      <c r="AF806" s="58"/>
      <c r="AG806" s="58"/>
      <c r="AH806" s="58"/>
      <c r="AI806" s="58"/>
      <c r="AJ806" s="58"/>
      <c r="AK806" s="58"/>
      <c r="AL806" s="58"/>
      <c r="AM806" s="58"/>
      <c r="AN806" s="58"/>
      <c r="AO806" s="58"/>
      <c r="AP806" s="58"/>
      <c r="AQ806" s="58"/>
      <c r="AR806" s="58"/>
    </row>
    <row r="807" spans="1:44" ht="15.75" customHeight="1" x14ac:dyDescent="0.25">
      <c r="A807" s="64"/>
      <c r="B807" s="62"/>
      <c r="C807" s="62"/>
      <c r="D807" s="62"/>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c r="AE807" s="58"/>
      <c r="AF807" s="58"/>
      <c r="AG807" s="58"/>
      <c r="AH807" s="58"/>
      <c r="AI807" s="58"/>
      <c r="AJ807" s="58"/>
      <c r="AK807" s="58"/>
      <c r="AL807" s="58"/>
      <c r="AM807" s="58"/>
      <c r="AN807" s="58"/>
      <c r="AO807" s="58"/>
      <c r="AP807" s="58"/>
      <c r="AQ807" s="58"/>
      <c r="AR807" s="58"/>
    </row>
    <row r="808" spans="1:44" ht="15.75" customHeight="1" x14ac:dyDescent="0.25">
      <c r="A808" s="64"/>
      <c r="B808" s="62"/>
      <c r="C808" s="62"/>
      <c r="D808" s="62"/>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c r="AG808" s="58"/>
      <c r="AH808" s="58"/>
      <c r="AI808" s="58"/>
      <c r="AJ808" s="58"/>
      <c r="AK808" s="58"/>
      <c r="AL808" s="58"/>
      <c r="AM808" s="58"/>
      <c r="AN808" s="58"/>
      <c r="AO808" s="58"/>
      <c r="AP808" s="58"/>
      <c r="AQ808" s="58"/>
      <c r="AR808" s="58"/>
    </row>
    <row r="809" spans="1:44" ht="15.75" customHeight="1" x14ac:dyDescent="0.25">
      <c r="A809" s="64"/>
      <c r="B809" s="62"/>
      <c r="C809" s="62"/>
      <c r="D809" s="62"/>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c r="AE809" s="58"/>
      <c r="AF809" s="58"/>
      <c r="AG809" s="58"/>
      <c r="AH809" s="58"/>
      <c r="AI809" s="58"/>
      <c r="AJ809" s="58"/>
      <c r="AK809" s="58"/>
      <c r="AL809" s="58"/>
      <c r="AM809" s="58"/>
      <c r="AN809" s="58"/>
      <c r="AO809" s="58"/>
      <c r="AP809" s="58"/>
      <c r="AQ809" s="58"/>
      <c r="AR809" s="58"/>
    </row>
    <row r="810" spans="1:44" ht="15.75" customHeight="1" x14ac:dyDescent="0.25">
      <c r="A810" s="64"/>
      <c r="B810" s="62"/>
      <c r="C810" s="62"/>
      <c r="D810" s="62"/>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c r="AE810" s="58"/>
      <c r="AF810" s="58"/>
      <c r="AG810" s="58"/>
      <c r="AH810" s="58"/>
      <c r="AI810" s="58"/>
      <c r="AJ810" s="58"/>
      <c r="AK810" s="58"/>
      <c r="AL810" s="58"/>
      <c r="AM810" s="58"/>
      <c r="AN810" s="58"/>
      <c r="AO810" s="58"/>
      <c r="AP810" s="58"/>
      <c r="AQ810" s="58"/>
      <c r="AR810" s="58"/>
    </row>
    <row r="811" spans="1:44" ht="15.75" customHeight="1" x14ac:dyDescent="0.25">
      <c r="A811" s="64"/>
      <c r="B811" s="62"/>
      <c r="C811" s="62"/>
      <c r="D811" s="62"/>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c r="AE811" s="58"/>
      <c r="AF811" s="58"/>
      <c r="AG811" s="58"/>
      <c r="AH811" s="58"/>
      <c r="AI811" s="58"/>
      <c r="AJ811" s="58"/>
      <c r="AK811" s="58"/>
      <c r="AL811" s="58"/>
      <c r="AM811" s="58"/>
      <c r="AN811" s="58"/>
      <c r="AO811" s="58"/>
      <c r="AP811" s="58"/>
      <c r="AQ811" s="58"/>
      <c r="AR811" s="58"/>
    </row>
    <row r="812" spans="1:44" ht="15.75" customHeight="1" x14ac:dyDescent="0.25">
      <c r="A812" s="64"/>
      <c r="B812" s="62"/>
      <c r="C812" s="62"/>
      <c r="D812" s="62"/>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c r="AE812" s="58"/>
      <c r="AF812" s="58"/>
      <c r="AG812" s="58"/>
      <c r="AH812" s="58"/>
      <c r="AI812" s="58"/>
      <c r="AJ812" s="58"/>
      <c r="AK812" s="58"/>
      <c r="AL812" s="58"/>
      <c r="AM812" s="58"/>
      <c r="AN812" s="58"/>
      <c r="AO812" s="58"/>
      <c r="AP812" s="58"/>
      <c r="AQ812" s="58"/>
      <c r="AR812" s="58"/>
    </row>
    <row r="813" spans="1:44" ht="15.75" customHeight="1" x14ac:dyDescent="0.25">
      <c r="A813" s="64"/>
      <c r="B813" s="62"/>
      <c r="C813" s="62"/>
      <c r="D813" s="62"/>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c r="AE813" s="58"/>
      <c r="AF813" s="58"/>
      <c r="AG813" s="58"/>
      <c r="AH813" s="58"/>
      <c r="AI813" s="58"/>
      <c r="AJ813" s="58"/>
      <c r="AK813" s="58"/>
      <c r="AL813" s="58"/>
      <c r="AM813" s="58"/>
      <c r="AN813" s="58"/>
      <c r="AO813" s="58"/>
      <c r="AP813" s="58"/>
      <c r="AQ813" s="58"/>
      <c r="AR813" s="58"/>
    </row>
    <row r="814" spans="1:44" ht="15.75" customHeight="1" x14ac:dyDescent="0.25">
      <c r="A814" s="64"/>
      <c r="B814" s="62"/>
      <c r="C814" s="62"/>
      <c r="D814" s="62"/>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c r="AE814" s="58"/>
      <c r="AF814" s="58"/>
      <c r="AG814" s="58"/>
      <c r="AH814" s="58"/>
      <c r="AI814" s="58"/>
      <c r="AJ814" s="58"/>
      <c r="AK814" s="58"/>
      <c r="AL814" s="58"/>
      <c r="AM814" s="58"/>
      <c r="AN814" s="58"/>
      <c r="AO814" s="58"/>
      <c r="AP814" s="58"/>
      <c r="AQ814" s="58"/>
      <c r="AR814" s="58"/>
    </row>
    <row r="815" spans="1:44" ht="15.75" customHeight="1" x14ac:dyDescent="0.25">
      <c r="A815" s="64"/>
      <c r="B815" s="62"/>
      <c r="C815" s="62"/>
      <c r="D815" s="62"/>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c r="AG815" s="58"/>
      <c r="AH815" s="58"/>
      <c r="AI815" s="58"/>
      <c r="AJ815" s="58"/>
      <c r="AK815" s="58"/>
      <c r="AL815" s="58"/>
      <c r="AM815" s="58"/>
      <c r="AN815" s="58"/>
      <c r="AO815" s="58"/>
      <c r="AP815" s="58"/>
      <c r="AQ815" s="58"/>
      <c r="AR815" s="58"/>
    </row>
    <row r="816" spans="1:44" ht="15.75" customHeight="1" x14ac:dyDescent="0.25">
      <c r="A816" s="64"/>
      <c r="B816" s="62"/>
      <c r="C816" s="62"/>
      <c r="D816" s="62"/>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8"/>
      <c r="AI816" s="58"/>
      <c r="AJ816" s="58"/>
      <c r="AK816" s="58"/>
      <c r="AL816" s="58"/>
      <c r="AM816" s="58"/>
      <c r="AN816" s="58"/>
      <c r="AO816" s="58"/>
      <c r="AP816" s="58"/>
      <c r="AQ816" s="58"/>
      <c r="AR816" s="58"/>
    </row>
    <row r="817" spans="1:44" ht="15.75" customHeight="1" x14ac:dyDescent="0.25">
      <c r="A817" s="64"/>
      <c r="B817" s="62"/>
      <c r="C817" s="62"/>
      <c r="D817" s="62"/>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c r="AG817" s="58"/>
      <c r="AH817" s="58"/>
      <c r="AI817" s="58"/>
      <c r="AJ817" s="58"/>
      <c r="AK817" s="58"/>
      <c r="AL817" s="58"/>
      <c r="AM817" s="58"/>
      <c r="AN817" s="58"/>
      <c r="AO817" s="58"/>
      <c r="AP817" s="58"/>
      <c r="AQ817" s="58"/>
      <c r="AR817" s="58"/>
    </row>
    <row r="818" spans="1:44" ht="15.75" customHeight="1" x14ac:dyDescent="0.25">
      <c r="A818" s="64"/>
      <c r="B818" s="62"/>
      <c r="C818" s="62"/>
      <c r="D818" s="62"/>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c r="AG818" s="58"/>
      <c r="AH818" s="58"/>
      <c r="AI818" s="58"/>
      <c r="AJ818" s="58"/>
      <c r="AK818" s="58"/>
      <c r="AL818" s="58"/>
      <c r="AM818" s="58"/>
      <c r="AN818" s="58"/>
      <c r="AO818" s="58"/>
      <c r="AP818" s="58"/>
      <c r="AQ818" s="58"/>
      <c r="AR818" s="58"/>
    </row>
    <row r="819" spans="1:44" ht="15.75" customHeight="1" x14ac:dyDescent="0.25">
      <c r="A819" s="64"/>
      <c r="B819" s="62"/>
      <c r="C819" s="62"/>
      <c r="D819" s="62"/>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c r="AG819" s="58"/>
      <c r="AH819" s="58"/>
      <c r="AI819" s="58"/>
      <c r="AJ819" s="58"/>
      <c r="AK819" s="58"/>
      <c r="AL819" s="58"/>
      <c r="AM819" s="58"/>
      <c r="AN819" s="58"/>
      <c r="AO819" s="58"/>
      <c r="AP819" s="58"/>
      <c r="AQ819" s="58"/>
      <c r="AR819" s="58"/>
    </row>
    <row r="820" spans="1:44" ht="15.75" customHeight="1" x14ac:dyDescent="0.25">
      <c r="A820" s="64"/>
      <c r="B820" s="62"/>
      <c r="C820" s="62"/>
      <c r="D820" s="62"/>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c r="AE820" s="58"/>
      <c r="AF820" s="58"/>
      <c r="AG820" s="58"/>
      <c r="AH820" s="58"/>
      <c r="AI820" s="58"/>
      <c r="AJ820" s="58"/>
      <c r="AK820" s="58"/>
      <c r="AL820" s="58"/>
      <c r="AM820" s="58"/>
      <c r="AN820" s="58"/>
      <c r="AO820" s="58"/>
      <c r="AP820" s="58"/>
      <c r="AQ820" s="58"/>
      <c r="AR820" s="58"/>
    </row>
    <row r="821" spans="1:44" ht="15.75" customHeight="1" x14ac:dyDescent="0.25">
      <c r="A821" s="64"/>
      <c r="B821" s="62"/>
      <c r="C821" s="62"/>
      <c r="D821" s="62"/>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c r="AE821" s="58"/>
      <c r="AF821" s="58"/>
      <c r="AG821" s="58"/>
      <c r="AH821" s="58"/>
      <c r="AI821" s="58"/>
      <c r="AJ821" s="58"/>
      <c r="AK821" s="58"/>
      <c r="AL821" s="58"/>
      <c r="AM821" s="58"/>
      <c r="AN821" s="58"/>
      <c r="AO821" s="58"/>
      <c r="AP821" s="58"/>
      <c r="AQ821" s="58"/>
      <c r="AR821" s="58"/>
    </row>
    <row r="822" spans="1:44" ht="15.75" customHeight="1" x14ac:dyDescent="0.25">
      <c r="A822" s="64"/>
      <c r="B822" s="62"/>
      <c r="C822" s="62"/>
      <c r="D822" s="62"/>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c r="AE822" s="58"/>
      <c r="AF822" s="58"/>
      <c r="AG822" s="58"/>
      <c r="AH822" s="58"/>
      <c r="AI822" s="58"/>
      <c r="AJ822" s="58"/>
      <c r="AK822" s="58"/>
      <c r="AL822" s="58"/>
      <c r="AM822" s="58"/>
      <c r="AN822" s="58"/>
      <c r="AO822" s="58"/>
      <c r="AP822" s="58"/>
      <c r="AQ822" s="58"/>
      <c r="AR822" s="58"/>
    </row>
    <row r="823" spans="1:44" ht="15.75" customHeight="1" x14ac:dyDescent="0.25">
      <c r="A823" s="64"/>
      <c r="B823" s="62"/>
      <c r="C823" s="62"/>
      <c r="D823" s="62"/>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c r="AE823" s="58"/>
      <c r="AF823" s="58"/>
      <c r="AG823" s="58"/>
      <c r="AH823" s="58"/>
      <c r="AI823" s="58"/>
      <c r="AJ823" s="58"/>
      <c r="AK823" s="58"/>
      <c r="AL823" s="58"/>
      <c r="AM823" s="58"/>
      <c r="AN823" s="58"/>
      <c r="AO823" s="58"/>
      <c r="AP823" s="58"/>
      <c r="AQ823" s="58"/>
      <c r="AR823" s="58"/>
    </row>
    <row r="824" spans="1:44" ht="15.75" customHeight="1" x14ac:dyDescent="0.25">
      <c r="A824" s="64"/>
      <c r="B824" s="62"/>
      <c r="C824" s="62"/>
      <c r="D824" s="62"/>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c r="AE824" s="58"/>
      <c r="AF824" s="58"/>
      <c r="AG824" s="58"/>
      <c r="AH824" s="58"/>
      <c r="AI824" s="58"/>
      <c r="AJ824" s="58"/>
      <c r="AK824" s="58"/>
      <c r="AL824" s="58"/>
      <c r="AM824" s="58"/>
      <c r="AN824" s="58"/>
      <c r="AO824" s="58"/>
      <c r="AP824" s="58"/>
      <c r="AQ824" s="58"/>
      <c r="AR824" s="58"/>
    </row>
    <row r="825" spans="1:44" ht="15.75" customHeight="1" x14ac:dyDescent="0.25">
      <c r="A825" s="64"/>
      <c r="B825" s="62"/>
      <c r="C825" s="62"/>
      <c r="D825" s="62"/>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c r="AE825" s="58"/>
      <c r="AF825" s="58"/>
      <c r="AG825" s="58"/>
      <c r="AH825" s="58"/>
      <c r="AI825" s="58"/>
      <c r="AJ825" s="58"/>
      <c r="AK825" s="58"/>
      <c r="AL825" s="58"/>
      <c r="AM825" s="58"/>
      <c r="AN825" s="58"/>
      <c r="AO825" s="58"/>
      <c r="AP825" s="58"/>
      <c r="AQ825" s="58"/>
      <c r="AR825" s="58"/>
    </row>
    <row r="826" spans="1:44" ht="15.75" customHeight="1" x14ac:dyDescent="0.25">
      <c r="A826" s="64"/>
      <c r="B826" s="62"/>
      <c r="C826" s="62"/>
      <c r="D826" s="62"/>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c r="AE826" s="58"/>
      <c r="AF826" s="58"/>
      <c r="AG826" s="58"/>
      <c r="AH826" s="58"/>
      <c r="AI826" s="58"/>
      <c r="AJ826" s="58"/>
      <c r="AK826" s="58"/>
      <c r="AL826" s="58"/>
      <c r="AM826" s="58"/>
      <c r="AN826" s="58"/>
      <c r="AO826" s="58"/>
      <c r="AP826" s="58"/>
      <c r="AQ826" s="58"/>
      <c r="AR826" s="58"/>
    </row>
    <row r="827" spans="1:44" ht="15.75" customHeight="1" x14ac:dyDescent="0.25">
      <c r="A827" s="64"/>
      <c r="B827" s="62"/>
      <c r="C827" s="62"/>
      <c r="D827" s="62"/>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c r="AE827" s="58"/>
      <c r="AF827" s="58"/>
      <c r="AG827" s="58"/>
      <c r="AH827" s="58"/>
      <c r="AI827" s="58"/>
      <c r="AJ827" s="58"/>
      <c r="AK827" s="58"/>
      <c r="AL827" s="58"/>
      <c r="AM827" s="58"/>
      <c r="AN827" s="58"/>
      <c r="AO827" s="58"/>
      <c r="AP827" s="58"/>
      <c r="AQ827" s="58"/>
      <c r="AR827" s="58"/>
    </row>
    <row r="828" spans="1:44" ht="15.75" customHeight="1" x14ac:dyDescent="0.25">
      <c r="A828" s="64"/>
      <c r="B828" s="62"/>
      <c r="C828" s="62"/>
      <c r="D828" s="62"/>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c r="AE828" s="58"/>
      <c r="AF828" s="58"/>
      <c r="AG828" s="58"/>
      <c r="AH828" s="58"/>
      <c r="AI828" s="58"/>
      <c r="AJ828" s="58"/>
      <c r="AK828" s="58"/>
      <c r="AL828" s="58"/>
      <c r="AM828" s="58"/>
      <c r="AN828" s="58"/>
      <c r="AO828" s="58"/>
      <c r="AP828" s="58"/>
      <c r="AQ828" s="58"/>
      <c r="AR828" s="58"/>
    </row>
    <row r="829" spans="1:44" ht="15.75" customHeight="1" x14ac:dyDescent="0.25">
      <c r="A829" s="64"/>
      <c r="B829" s="62"/>
      <c r="C829" s="62"/>
      <c r="D829" s="62"/>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c r="AE829" s="58"/>
      <c r="AF829" s="58"/>
      <c r="AG829" s="58"/>
      <c r="AH829" s="58"/>
      <c r="AI829" s="58"/>
      <c r="AJ829" s="58"/>
      <c r="AK829" s="58"/>
      <c r="AL829" s="58"/>
      <c r="AM829" s="58"/>
      <c r="AN829" s="58"/>
      <c r="AO829" s="58"/>
      <c r="AP829" s="58"/>
      <c r="AQ829" s="58"/>
      <c r="AR829" s="58"/>
    </row>
    <row r="830" spans="1:44" ht="15.75" customHeight="1" x14ac:dyDescent="0.25">
      <c r="A830" s="64"/>
      <c r="B830" s="62"/>
      <c r="C830" s="62"/>
      <c r="D830" s="62"/>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c r="AE830" s="58"/>
      <c r="AF830" s="58"/>
      <c r="AG830" s="58"/>
      <c r="AH830" s="58"/>
      <c r="AI830" s="58"/>
      <c r="AJ830" s="58"/>
      <c r="AK830" s="58"/>
      <c r="AL830" s="58"/>
      <c r="AM830" s="58"/>
      <c r="AN830" s="58"/>
      <c r="AO830" s="58"/>
      <c r="AP830" s="58"/>
      <c r="AQ830" s="58"/>
      <c r="AR830" s="58"/>
    </row>
    <row r="831" spans="1:44" ht="15.75" customHeight="1" x14ac:dyDescent="0.25">
      <c r="A831" s="64"/>
      <c r="B831" s="62"/>
      <c r="C831" s="62"/>
      <c r="D831" s="62"/>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c r="AE831" s="58"/>
      <c r="AF831" s="58"/>
      <c r="AG831" s="58"/>
      <c r="AH831" s="58"/>
      <c r="AI831" s="58"/>
      <c r="AJ831" s="58"/>
      <c r="AK831" s="58"/>
      <c r="AL831" s="58"/>
      <c r="AM831" s="58"/>
      <c r="AN831" s="58"/>
      <c r="AO831" s="58"/>
      <c r="AP831" s="58"/>
      <c r="AQ831" s="58"/>
      <c r="AR831" s="58"/>
    </row>
    <row r="832" spans="1:44" ht="15.75" customHeight="1" x14ac:dyDescent="0.25">
      <c r="A832" s="64"/>
      <c r="B832" s="62"/>
      <c r="C832" s="62"/>
      <c r="D832" s="62"/>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c r="AE832" s="58"/>
      <c r="AF832" s="58"/>
      <c r="AG832" s="58"/>
      <c r="AH832" s="58"/>
      <c r="AI832" s="58"/>
      <c r="AJ832" s="58"/>
      <c r="AK832" s="58"/>
      <c r="AL832" s="58"/>
      <c r="AM832" s="58"/>
      <c r="AN832" s="58"/>
      <c r="AO832" s="58"/>
      <c r="AP832" s="58"/>
      <c r="AQ832" s="58"/>
      <c r="AR832" s="58"/>
    </row>
    <row r="833" spans="1:44" ht="15.75" customHeight="1" x14ac:dyDescent="0.25">
      <c r="A833" s="64"/>
      <c r="B833" s="62"/>
      <c r="C833" s="62"/>
      <c r="D833" s="62"/>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c r="AE833" s="58"/>
      <c r="AF833" s="58"/>
      <c r="AG833" s="58"/>
      <c r="AH833" s="58"/>
      <c r="AI833" s="58"/>
      <c r="AJ833" s="58"/>
      <c r="AK833" s="58"/>
      <c r="AL833" s="58"/>
      <c r="AM833" s="58"/>
      <c r="AN833" s="58"/>
      <c r="AO833" s="58"/>
      <c r="AP833" s="58"/>
      <c r="AQ833" s="58"/>
      <c r="AR833" s="58"/>
    </row>
    <row r="834" spans="1:44" ht="15.75" customHeight="1" x14ac:dyDescent="0.25">
      <c r="A834" s="64"/>
      <c r="B834" s="62"/>
      <c r="C834" s="62"/>
      <c r="D834" s="62"/>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c r="AE834" s="58"/>
      <c r="AF834" s="58"/>
      <c r="AG834" s="58"/>
      <c r="AH834" s="58"/>
      <c r="AI834" s="58"/>
      <c r="AJ834" s="58"/>
      <c r="AK834" s="58"/>
      <c r="AL834" s="58"/>
      <c r="AM834" s="58"/>
      <c r="AN834" s="58"/>
      <c r="AO834" s="58"/>
      <c r="AP834" s="58"/>
      <c r="AQ834" s="58"/>
      <c r="AR834" s="58"/>
    </row>
    <row r="835" spans="1:44" ht="15.75" customHeight="1" x14ac:dyDescent="0.25">
      <c r="A835" s="64"/>
      <c r="B835" s="62"/>
      <c r="C835" s="62"/>
      <c r="D835" s="62"/>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c r="AE835" s="58"/>
      <c r="AF835" s="58"/>
      <c r="AG835" s="58"/>
      <c r="AH835" s="58"/>
      <c r="AI835" s="58"/>
      <c r="AJ835" s="58"/>
      <c r="AK835" s="58"/>
      <c r="AL835" s="58"/>
      <c r="AM835" s="58"/>
      <c r="AN835" s="58"/>
      <c r="AO835" s="58"/>
      <c r="AP835" s="58"/>
      <c r="AQ835" s="58"/>
      <c r="AR835" s="58"/>
    </row>
    <row r="836" spans="1:44" ht="15.75" customHeight="1" x14ac:dyDescent="0.25">
      <c r="A836" s="64"/>
      <c r="B836" s="62"/>
      <c r="C836" s="62"/>
      <c r="D836" s="62"/>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c r="AE836" s="58"/>
      <c r="AF836" s="58"/>
      <c r="AG836" s="58"/>
      <c r="AH836" s="58"/>
      <c r="AI836" s="58"/>
      <c r="AJ836" s="58"/>
      <c r="AK836" s="58"/>
      <c r="AL836" s="58"/>
      <c r="AM836" s="58"/>
      <c r="AN836" s="58"/>
      <c r="AO836" s="58"/>
      <c r="AP836" s="58"/>
      <c r="AQ836" s="58"/>
      <c r="AR836" s="58"/>
    </row>
    <row r="837" spans="1:44" ht="15.75" customHeight="1" x14ac:dyDescent="0.25">
      <c r="A837" s="64"/>
      <c r="B837" s="62"/>
      <c r="C837" s="62"/>
      <c r="D837" s="62"/>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c r="AG837" s="58"/>
      <c r="AH837" s="58"/>
      <c r="AI837" s="58"/>
      <c r="AJ837" s="58"/>
      <c r="AK837" s="58"/>
      <c r="AL837" s="58"/>
      <c r="AM837" s="58"/>
      <c r="AN837" s="58"/>
      <c r="AO837" s="58"/>
      <c r="AP837" s="58"/>
      <c r="AQ837" s="58"/>
      <c r="AR837" s="58"/>
    </row>
    <row r="838" spans="1:44" ht="15.75" customHeight="1" x14ac:dyDescent="0.25">
      <c r="A838" s="64"/>
      <c r="B838" s="62"/>
      <c r="C838" s="62"/>
      <c r="D838" s="62"/>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c r="AE838" s="58"/>
      <c r="AF838" s="58"/>
      <c r="AG838" s="58"/>
      <c r="AH838" s="58"/>
      <c r="AI838" s="58"/>
      <c r="AJ838" s="58"/>
      <c r="AK838" s="58"/>
      <c r="AL838" s="58"/>
      <c r="AM838" s="58"/>
      <c r="AN838" s="58"/>
      <c r="AO838" s="58"/>
      <c r="AP838" s="58"/>
      <c r="AQ838" s="58"/>
      <c r="AR838" s="58"/>
    </row>
    <row r="839" spans="1:44" ht="15.75" customHeight="1" x14ac:dyDescent="0.25">
      <c r="A839" s="64"/>
      <c r="B839" s="62"/>
      <c r="C839" s="62"/>
      <c r="D839" s="62"/>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c r="AE839" s="58"/>
      <c r="AF839" s="58"/>
      <c r="AG839" s="58"/>
      <c r="AH839" s="58"/>
      <c r="AI839" s="58"/>
      <c r="AJ839" s="58"/>
      <c r="AK839" s="58"/>
      <c r="AL839" s="58"/>
      <c r="AM839" s="58"/>
      <c r="AN839" s="58"/>
      <c r="AO839" s="58"/>
      <c r="AP839" s="58"/>
      <c r="AQ839" s="58"/>
      <c r="AR839" s="58"/>
    </row>
    <row r="840" spans="1:44" ht="15.75" customHeight="1" x14ac:dyDescent="0.25">
      <c r="A840" s="64"/>
      <c r="B840" s="62"/>
      <c r="C840" s="62"/>
      <c r="D840" s="62"/>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c r="AE840" s="58"/>
      <c r="AF840" s="58"/>
      <c r="AG840" s="58"/>
      <c r="AH840" s="58"/>
      <c r="AI840" s="58"/>
      <c r="AJ840" s="58"/>
      <c r="AK840" s="58"/>
      <c r="AL840" s="58"/>
      <c r="AM840" s="58"/>
      <c r="AN840" s="58"/>
      <c r="AO840" s="58"/>
      <c r="AP840" s="58"/>
      <c r="AQ840" s="58"/>
      <c r="AR840" s="58"/>
    </row>
    <row r="841" spans="1:44" ht="15.75" customHeight="1" x14ac:dyDescent="0.25">
      <c r="A841" s="64"/>
      <c r="B841" s="62"/>
      <c r="C841" s="62"/>
      <c r="D841" s="62"/>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c r="AE841" s="58"/>
      <c r="AF841" s="58"/>
      <c r="AG841" s="58"/>
      <c r="AH841" s="58"/>
      <c r="AI841" s="58"/>
      <c r="AJ841" s="58"/>
      <c r="AK841" s="58"/>
      <c r="AL841" s="58"/>
      <c r="AM841" s="58"/>
      <c r="AN841" s="58"/>
      <c r="AO841" s="58"/>
      <c r="AP841" s="58"/>
      <c r="AQ841" s="58"/>
      <c r="AR841" s="58"/>
    </row>
    <row r="842" spans="1:44" ht="15.75" customHeight="1" x14ac:dyDescent="0.25">
      <c r="A842" s="64"/>
      <c r="B842" s="62"/>
      <c r="C842" s="62"/>
      <c r="D842" s="62"/>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c r="AE842" s="58"/>
      <c r="AF842" s="58"/>
      <c r="AG842" s="58"/>
      <c r="AH842" s="58"/>
      <c r="AI842" s="58"/>
      <c r="AJ842" s="58"/>
      <c r="AK842" s="58"/>
      <c r="AL842" s="58"/>
      <c r="AM842" s="58"/>
      <c r="AN842" s="58"/>
      <c r="AO842" s="58"/>
      <c r="AP842" s="58"/>
      <c r="AQ842" s="58"/>
      <c r="AR842" s="58"/>
    </row>
    <row r="843" spans="1:44" ht="15.75" customHeight="1" x14ac:dyDescent="0.25">
      <c r="A843" s="64"/>
      <c r="B843" s="62"/>
      <c r="C843" s="62"/>
      <c r="D843" s="62"/>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c r="AE843" s="58"/>
      <c r="AF843" s="58"/>
      <c r="AG843" s="58"/>
      <c r="AH843" s="58"/>
      <c r="AI843" s="58"/>
      <c r="AJ843" s="58"/>
      <c r="AK843" s="58"/>
      <c r="AL843" s="58"/>
      <c r="AM843" s="58"/>
      <c r="AN843" s="58"/>
      <c r="AO843" s="58"/>
      <c r="AP843" s="58"/>
      <c r="AQ843" s="58"/>
      <c r="AR843" s="58"/>
    </row>
    <row r="844" spans="1:44" ht="15.75" customHeight="1" x14ac:dyDescent="0.25">
      <c r="A844" s="64"/>
      <c r="B844" s="62"/>
      <c r="C844" s="62"/>
      <c r="D844" s="62"/>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c r="AE844" s="58"/>
      <c r="AF844" s="58"/>
      <c r="AG844" s="58"/>
      <c r="AH844" s="58"/>
      <c r="AI844" s="58"/>
      <c r="AJ844" s="58"/>
      <c r="AK844" s="58"/>
      <c r="AL844" s="58"/>
      <c r="AM844" s="58"/>
      <c r="AN844" s="58"/>
      <c r="AO844" s="58"/>
      <c r="AP844" s="58"/>
      <c r="AQ844" s="58"/>
      <c r="AR844" s="58"/>
    </row>
    <row r="845" spans="1:44" ht="15.75" customHeight="1" x14ac:dyDescent="0.25">
      <c r="A845" s="64"/>
      <c r="B845" s="62"/>
      <c r="C845" s="62"/>
      <c r="D845" s="62"/>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c r="AE845" s="58"/>
      <c r="AF845" s="58"/>
      <c r="AG845" s="58"/>
      <c r="AH845" s="58"/>
      <c r="AI845" s="58"/>
      <c r="AJ845" s="58"/>
      <c r="AK845" s="58"/>
      <c r="AL845" s="58"/>
      <c r="AM845" s="58"/>
      <c r="AN845" s="58"/>
      <c r="AO845" s="58"/>
      <c r="AP845" s="58"/>
      <c r="AQ845" s="58"/>
      <c r="AR845" s="58"/>
    </row>
    <row r="846" spans="1:44" ht="15.75" customHeight="1" x14ac:dyDescent="0.25">
      <c r="A846" s="64"/>
      <c r="B846" s="62"/>
      <c r="C846" s="62"/>
      <c r="D846" s="62"/>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c r="AE846" s="58"/>
      <c r="AF846" s="58"/>
      <c r="AG846" s="58"/>
      <c r="AH846" s="58"/>
      <c r="AI846" s="58"/>
      <c r="AJ846" s="58"/>
      <c r="AK846" s="58"/>
      <c r="AL846" s="58"/>
      <c r="AM846" s="58"/>
      <c r="AN846" s="58"/>
      <c r="AO846" s="58"/>
      <c r="AP846" s="58"/>
      <c r="AQ846" s="58"/>
      <c r="AR846" s="58"/>
    </row>
    <row r="847" spans="1:44" ht="15.75" customHeight="1" x14ac:dyDescent="0.25">
      <c r="A847" s="64"/>
      <c r="B847" s="62"/>
      <c r="C847" s="62"/>
      <c r="D847" s="62"/>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c r="AE847" s="58"/>
      <c r="AF847" s="58"/>
      <c r="AG847" s="58"/>
      <c r="AH847" s="58"/>
      <c r="AI847" s="58"/>
      <c r="AJ847" s="58"/>
      <c r="AK847" s="58"/>
      <c r="AL847" s="58"/>
      <c r="AM847" s="58"/>
      <c r="AN847" s="58"/>
      <c r="AO847" s="58"/>
      <c r="AP847" s="58"/>
      <c r="AQ847" s="58"/>
      <c r="AR847" s="58"/>
    </row>
    <row r="848" spans="1:44" ht="15.75" customHeight="1" x14ac:dyDescent="0.25">
      <c r="A848" s="64"/>
      <c r="B848" s="62"/>
      <c r="C848" s="62"/>
      <c r="D848" s="62"/>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c r="AE848" s="58"/>
      <c r="AF848" s="58"/>
      <c r="AG848" s="58"/>
      <c r="AH848" s="58"/>
      <c r="AI848" s="58"/>
      <c r="AJ848" s="58"/>
      <c r="AK848" s="58"/>
      <c r="AL848" s="58"/>
      <c r="AM848" s="58"/>
      <c r="AN848" s="58"/>
      <c r="AO848" s="58"/>
      <c r="AP848" s="58"/>
      <c r="AQ848" s="58"/>
      <c r="AR848" s="58"/>
    </row>
    <row r="849" spans="1:44" ht="15.75" customHeight="1" x14ac:dyDescent="0.25">
      <c r="A849" s="64"/>
      <c r="B849" s="62"/>
      <c r="C849" s="62"/>
      <c r="D849" s="62"/>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c r="AE849" s="58"/>
      <c r="AF849" s="58"/>
      <c r="AG849" s="58"/>
      <c r="AH849" s="58"/>
      <c r="AI849" s="58"/>
      <c r="AJ849" s="58"/>
      <c r="AK849" s="58"/>
      <c r="AL849" s="58"/>
      <c r="AM849" s="58"/>
      <c r="AN849" s="58"/>
      <c r="AO849" s="58"/>
      <c r="AP849" s="58"/>
      <c r="AQ849" s="58"/>
      <c r="AR849" s="58"/>
    </row>
    <row r="850" spans="1:44" ht="15.75" customHeight="1" x14ac:dyDescent="0.25">
      <c r="A850" s="64"/>
      <c r="B850" s="62"/>
      <c r="C850" s="62"/>
      <c r="D850" s="62"/>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c r="AE850" s="58"/>
      <c r="AF850" s="58"/>
      <c r="AG850" s="58"/>
      <c r="AH850" s="58"/>
      <c r="AI850" s="58"/>
      <c r="AJ850" s="58"/>
      <c r="AK850" s="58"/>
      <c r="AL850" s="58"/>
      <c r="AM850" s="58"/>
      <c r="AN850" s="58"/>
      <c r="AO850" s="58"/>
      <c r="AP850" s="58"/>
      <c r="AQ850" s="58"/>
      <c r="AR850" s="58"/>
    </row>
    <row r="851" spans="1:44" ht="15.75" customHeight="1" x14ac:dyDescent="0.25">
      <c r="A851" s="64"/>
      <c r="B851" s="62"/>
      <c r="C851" s="62"/>
      <c r="D851" s="62"/>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c r="AE851" s="58"/>
      <c r="AF851" s="58"/>
      <c r="AG851" s="58"/>
      <c r="AH851" s="58"/>
      <c r="AI851" s="58"/>
      <c r="AJ851" s="58"/>
      <c r="AK851" s="58"/>
      <c r="AL851" s="58"/>
      <c r="AM851" s="58"/>
      <c r="AN851" s="58"/>
      <c r="AO851" s="58"/>
      <c r="AP851" s="58"/>
      <c r="AQ851" s="58"/>
      <c r="AR851" s="58"/>
    </row>
    <row r="852" spans="1:44" ht="15.75" customHeight="1" x14ac:dyDescent="0.25">
      <c r="A852" s="64"/>
      <c r="B852" s="62"/>
      <c r="C852" s="62"/>
      <c r="D852" s="62"/>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c r="AE852" s="58"/>
      <c r="AF852" s="58"/>
      <c r="AG852" s="58"/>
      <c r="AH852" s="58"/>
      <c r="AI852" s="58"/>
      <c r="AJ852" s="58"/>
      <c r="AK852" s="58"/>
      <c r="AL852" s="58"/>
      <c r="AM852" s="58"/>
      <c r="AN852" s="58"/>
      <c r="AO852" s="58"/>
      <c r="AP852" s="58"/>
      <c r="AQ852" s="58"/>
      <c r="AR852" s="58"/>
    </row>
    <row r="853" spans="1:44" ht="15.75" customHeight="1" x14ac:dyDescent="0.25">
      <c r="A853" s="64"/>
      <c r="B853" s="62"/>
      <c r="C853" s="62"/>
      <c r="D853" s="62"/>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c r="AE853" s="58"/>
      <c r="AF853" s="58"/>
      <c r="AG853" s="58"/>
      <c r="AH853" s="58"/>
      <c r="AI853" s="58"/>
      <c r="AJ853" s="58"/>
      <c r="AK853" s="58"/>
      <c r="AL853" s="58"/>
      <c r="AM853" s="58"/>
      <c r="AN853" s="58"/>
      <c r="AO853" s="58"/>
      <c r="AP853" s="58"/>
      <c r="AQ853" s="58"/>
      <c r="AR853" s="58"/>
    </row>
    <row r="854" spans="1:44" ht="15.75" customHeight="1" x14ac:dyDescent="0.25">
      <c r="A854" s="64"/>
      <c r="B854" s="62"/>
      <c r="C854" s="62"/>
      <c r="D854" s="62"/>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c r="AE854" s="58"/>
      <c r="AF854" s="58"/>
      <c r="AG854" s="58"/>
      <c r="AH854" s="58"/>
      <c r="AI854" s="58"/>
      <c r="AJ854" s="58"/>
      <c r="AK854" s="58"/>
      <c r="AL854" s="58"/>
      <c r="AM854" s="58"/>
      <c r="AN854" s="58"/>
      <c r="AO854" s="58"/>
      <c r="AP854" s="58"/>
      <c r="AQ854" s="58"/>
      <c r="AR854" s="58"/>
    </row>
    <row r="855" spans="1:44" ht="15.75" customHeight="1" x14ac:dyDescent="0.25">
      <c r="A855" s="64"/>
      <c r="B855" s="62"/>
      <c r="C855" s="62"/>
      <c r="D855" s="62"/>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c r="AE855" s="58"/>
      <c r="AF855" s="58"/>
      <c r="AG855" s="58"/>
      <c r="AH855" s="58"/>
      <c r="AI855" s="58"/>
      <c r="AJ855" s="58"/>
      <c r="AK855" s="58"/>
      <c r="AL855" s="58"/>
      <c r="AM855" s="58"/>
      <c r="AN855" s="58"/>
      <c r="AO855" s="58"/>
      <c r="AP855" s="58"/>
      <c r="AQ855" s="58"/>
      <c r="AR855" s="58"/>
    </row>
    <row r="856" spans="1:44" ht="15.75" customHeight="1" x14ac:dyDescent="0.25">
      <c r="A856" s="64"/>
      <c r="B856" s="62"/>
      <c r="C856" s="62"/>
      <c r="D856" s="62"/>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c r="AE856" s="58"/>
      <c r="AF856" s="58"/>
      <c r="AG856" s="58"/>
      <c r="AH856" s="58"/>
      <c r="AI856" s="58"/>
      <c r="AJ856" s="58"/>
      <c r="AK856" s="58"/>
      <c r="AL856" s="58"/>
      <c r="AM856" s="58"/>
      <c r="AN856" s="58"/>
      <c r="AO856" s="58"/>
      <c r="AP856" s="58"/>
      <c r="AQ856" s="58"/>
      <c r="AR856" s="58"/>
    </row>
    <row r="857" spans="1:44" ht="15.75" customHeight="1" x14ac:dyDescent="0.25">
      <c r="A857" s="64"/>
      <c r="B857" s="62"/>
      <c r="C857" s="62"/>
      <c r="D857" s="62"/>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c r="AE857" s="58"/>
      <c r="AF857" s="58"/>
      <c r="AG857" s="58"/>
      <c r="AH857" s="58"/>
      <c r="AI857" s="58"/>
      <c r="AJ857" s="58"/>
      <c r="AK857" s="58"/>
      <c r="AL857" s="58"/>
      <c r="AM857" s="58"/>
      <c r="AN857" s="58"/>
      <c r="AO857" s="58"/>
      <c r="AP857" s="58"/>
      <c r="AQ857" s="58"/>
      <c r="AR857" s="58"/>
    </row>
    <row r="858" spans="1:44" ht="15.75" customHeight="1" x14ac:dyDescent="0.25">
      <c r="A858" s="64"/>
      <c r="B858" s="62"/>
      <c r="C858" s="62"/>
      <c r="D858" s="62"/>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c r="AE858" s="58"/>
      <c r="AF858" s="58"/>
      <c r="AG858" s="58"/>
      <c r="AH858" s="58"/>
      <c r="AI858" s="58"/>
      <c r="AJ858" s="58"/>
      <c r="AK858" s="58"/>
      <c r="AL858" s="58"/>
      <c r="AM858" s="58"/>
      <c r="AN858" s="58"/>
      <c r="AO858" s="58"/>
      <c r="AP858" s="58"/>
      <c r="AQ858" s="58"/>
      <c r="AR858" s="58"/>
    </row>
    <row r="859" spans="1:44" ht="15.75" customHeight="1" x14ac:dyDescent="0.25">
      <c r="A859" s="64"/>
      <c r="B859" s="62"/>
      <c r="C859" s="62"/>
      <c r="D859" s="62"/>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c r="AE859" s="58"/>
      <c r="AF859" s="58"/>
      <c r="AG859" s="58"/>
      <c r="AH859" s="58"/>
      <c r="AI859" s="58"/>
      <c r="AJ859" s="58"/>
      <c r="AK859" s="58"/>
      <c r="AL859" s="58"/>
      <c r="AM859" s="58"/>
      <c r="AN859" s="58"/>
      <c r="AO859" s="58"/>
      <c r="AP859" s="58"/>
      <c r="AQ859" s="58"/>
      <c r="AR859" s="58"/>
    </row>
    <row r="860" spans="1:44" ht="15.75" customHeight="1" x14ac:dyDescent="0.25">
      <c r="A860" s="64"/>
      <c r="B860" s="62"/>
      <c r="C860" s="62"/>
      <c r="D860" s="62"/>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c r="AE860" s="58"/>
      <c r="AF860" s="58"/>
      <c r="AG860" s="58"/>
      <c r="AH860" s="58"/>
      <c r="AI860" s="58"/>
      <c r="AJ860" s="58"/>
      <c r="AK860" s="58"/>
      <c r="AL860" s="58"/>
      <c r="AM860" s="58"/>
      <c r="AN860" s="58"/>
      <c r="AO860" s="58"/>
      <c r="AP860" s="58"/>
      <c r="AQ860" s="58"/>
      <c r="AR860" s="58"/>
    </row>
    <row r="861" spans="1:44" ht="15.75" customHeight="1" x14ac:dyDescent="0.25">
      <c r="A861" s="64"/>
      <c r="B861" s="62"/>
      <c r="C861" s="62"/>
      <c r="D861" s="62"/>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c r="AE861" s="58"/>
      <c r="AF861" s="58"/>
      <c r="AG861" s="58"/>
      <c r="AH861" s="58"/>
      <c r="AI861" s="58"/>
      <c r="AJ861" s="58"/>
      <c r="AK861" s="58"/>
      <c r="AL861" s="58"/>
      <c r="AM861" s="58"/>
      <c r="AN861" s="58"/>
      <c r="AO861" s="58"/>
      <c r="AP861" s="58"/>
      <c r="AQ861" s="58"/>
      <c r="AR861" s="58"/>
    </row>
    <row r="862" spans="1:44" ht="15.75" customHeight="1" x14ac:dyDescent="0.25">
      <c r="A862" s="64"/>
      <c r="B862" s="62"/>
      <c r="C862" s="62"/>
      <c r="D862" s="62"/>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c r="AE862" s="58"/>
      <c r="AF862" s="58"/>
      <c r="AG862" s="58"/>
      <c r="AH862" s="58"/>
      <c r="AI862" s="58"/>
      <c r="AJ862" s="58"/>
      <c r="AK862" s="58"/>
      <c r="AL862" s="58"/>
      <c r="AM862" s="58"/>
      <c r="AN862" s="58"/>
      <c r="AO862" s="58"/>
      <c r="AP862" s="58"/>
      <c r="AQ862" s="58"/>
      <c r="AR862" s="58"/>
    </row>
    <row r="863" spans="1:44" ht="15.75" customHeight="1" x14ac:dyDescent="0.25">
      <c r="A863" s="64"/>
      <c r="B863" s="62"/>
      <c r="C863" s="62"/>
      <c r="D863" s="62"/>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c r="AE863" s="58"/>
      <c r="AF863" s="58"/>
      <c r="AG863" s="58"/>
      <c r="AH863" s="58"/>
      <c r="AI863" s="58"/>
      <c r="AJ863" s="58"/>
      <c r="AK863" s="58"/>
      <c r="AL863" s="58"/>
      <c r="AM863" s="58"/>
      <c r="AN863" s="58"/>
      <c r="AO863" s="58"/>
      <c r="AP863" s="58"/>
      <c r="AQ863" s="58"/>
      <c r="AR863" s="58"/>
    </row>
    <row r="864" spans="1:44" ht="15.75" customHeight="1" x14ac:dyDescent="0.25">
      <c r="A864" s="64"/>
      <c r="B864" s="62"/>
      <c r="C864" s="62"/>
      <c r="D864" s="62"/>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c r="AE864" s="58"/>
      <c r="AF864" s="58"/>
      <c r="AG864" s="58"/>
      <c r="AH864" s="58"/>
      <c r="AI864" s="58"/>
      <c r="AJ864" s="58"/>
      <c r="AK864" s="58"/>
      <c r="AL864" s="58"/>
      <c r="AM864" s="58"/>
      <c r="AN864" s="58"/>
      <c r="AO864" s="58"/>
      <c r="AP864" s="58"/>
      <c r="AQ864" s="58"/>
      <c r="AR864" s="58"/>
    </row>
    <row r="865" spans="1:44" ht="15.75" customHeight="1" x14ac:dyDescent="0.25">
      <c r="A865" s="64"/>
      <c r="B865" s="62"/>
      <c r="C865" s="62"/>
      <c r="D865" s="62"/>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c r="AE865" s="58"/>
      <c r="AF865" s="58"/>
      <c r="AG865" s="58"/>
      <c r="AH865" s="58"/>
      <c r="AI865" s="58"/>
      <c r="AJ865" s="58"/>
      <c r="AK865" s="58"/>
      <c r="AL865" s="58"/>
      <c r="AM865" s="58"/>
      <c r="AN865" s="58"/>
      <c r="AO865" s="58"/>
      <c r="AP865" s="58"/>
      <c r="AQ865" s="58"/>
      <c r="AR865" s="58"/>
    </row>
    <row r="866" spans="1:44" ht="15.75" customHeight="1" x14ac:dyDescent="0.25">
      <c r="A866" s="64"/>
      <c r="B866" s="62"/>
      <c r="C866" s="62"/>
      <c r="D866" s="62"/>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c r="AE866" s="58"/>
      <c r="AF866" s="58"/>
      <c r="AG866" s="58"/>
      <c r="AH866" s="58"/>
      <c r="AI866" s="58"/>
      <c r="AJ866" s="58"/>
      <c r="AK866" s="58"/>
      <c r="AL866" s="58"/>
      <c r="AM866" s="58"/>
      <c r="AN866" s="58"/>
      <c r="AO866" s="58"/>
      <c r="AP866" s="58"/>
      <c r="AQ866" s="58"/>
      <c r="AR866" s="58"/>
    </row>
    <row r="867" spans="1:44" ht="15.75" customHeight="1" x14ac:dyDescent="0.25">
      <c r="A867" s="64"/>
      <c r="B867" s="62"/>
      <c r="C867" s="62"/>
      <c r="D867" s="62"/>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c r="AE867" s="58"/>
      <c r="AF867" s="58"/>
      <c r="AG867" s="58"/>
      <c r="AH867" s="58"/>
      <c r="AI867" s="58"/>
      <c r="AJ867" s="58"/>
      <c r="AK867" s="58"/>
      <c r="AL867" s="58"/>
      <c r="AM867" s="58"/>
      <c r="AN867" s="58"/>
      <c r="AO867" s="58"/>
      <c r="AP867" s="58"/>
      <c r="AQ867" s="58"/>
      <c r="AR867" s="58"/>
    </row>
    <row r="868" spans="1:44" ht="15.75" customHeight="1" x14ac:dyDescent="0.25">
      <c r="A868" s="64"/>
      <c r="B868" s="62"/>
      <c r="C868" s="62"/>
      <c r="D868" s="62"/>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c r="AE868" s="58"/>
      <c r="AF868" s="58"/>
      <c r="AG868" s="58"/>
      <c r="AH868" s="58"/>
      <c r="AI868" s="58"/>
      <c r="AJ868" s="58"/>
      <c r="AK868" s="58"/>
      <c r="AL868" s="58"/>
      <c r="AM868" s="58"/>
      <c r="AN868" s="58"/>
      <c r="AO868" s="58"/>
      <c r="AP868" s="58"/>
      <c r="AQ868" s="58"/>
      <c r="AR868" s="58"/>
    </row>
    <row r="869" spans="1:44" ht="15.75" customHeight="1" x14ac:dyDescent="0.25">
      <c r="A869" s="64"/>
      <c r="B869" s="62"/>
      <c r="C869" s="62"/>
      <c r="D869" s="62"/>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c r="AE869" s="58"/>
      <c r="AF869" s="58"/>
      <c r="AG869" s="58"/>
      <c r="AH869" s="58"/>
      <c r="AI869" s="58"/>
      <c r="AJ869" s="58"/>
      <c r="AK869" s="58"/>
      <c r="AL869" s="58"/>
      <c r="AM869" s="58"/>
      <c r="AN869" s="58"/>
      <c r="AO869" s="58"/>
      <c r="AP869" s="58"/>
      <c r="AQ869" s="58"/>
      <c r="AR869" s="58"/>
    </row>
    <row r="870" spans="1:44" ht="15.75" customHeight="1" x14ac:dyDescent="0.25">
      <c r="A870" s="64"/>
      <c r="B870" s="62"/>
      <c r="C870" s="62"/>
      <c r="D870" s="62"/>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c r="AE870" s="58"/>
      <c r="AF870" s="58"/>
      <c r="AG870" s="58"/>
      <c r="AH870" s="58"/>
      <c r="AI870" s="58"/>
      <c r="AJ870" s="58"/>
      <c r="AK870" s="58"/>
      <c r="AL870" s="58"/>
      <c r="AM870" s="58"/>
      <c r="AN870" s="58"/>
      <c r="AO870" s="58"/>
      <c r="AP870" s="58"/>
      <c r="AQ870" s="58"/>
      <c r="AR870" s="58"/>
    </row>
    <row r="871" spans="1:44" ht="15.75" customHeight="1" x14ac:dyDescent="0.25">
      <c r="A871" s="64"/>
      <c r="B871" s="62"/>
      <c r="C871" s="62"/>
      <c r="D871" s="62"/>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c r="AE871" s="58"/>
      <c r="AF871" s="58"/>
      <c r="AG871" s="58"/>
      <c r="AH871" s="58"/>
      <c r="AI871" s="58"/>
      <c r="AJ871" s="58"/>
      <c r="AK871" s="58"/>
      <c r="AL871" s="58"/>
      <c r="AM871" s="58"/>
      <c r="AN871" s="58"/>
      <c r="AO871" s="58"/>
      <c r="AP871" s="58"/>
      <c r="AQ871" s="58"/>
      <c r="AR871" s="58"/>
    </row>
    <row r="872" spans="1:44" ht="15.75" customHeight="1" x14ac:dyDescent="0.25">
      <c r="A872" s="64"/>
      <c r="B872" s="62"/>
      <c r="C872" s="62"/>
      <c r="D872" s="62"/>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c r="AE872" s="58"/>
      <c r="AF872" s="58"/>
      <c r="AG872" s="58"/>
      <c r="AH872" s="58"/>
      <c r="AI872" s="58"/>
      <c r="AJ872" s="58"/>
      <c r="AK872" s="58"/>
      <c r="AL872" s="58"/>
      <c r="AM872" s="58"/>
      <c r="AN872" s="58"/>
      <c r="AO872" s="58"/>
      <c r="AP872" s="58"/>
      <c r="AQ872" s="58"/>
      <c r="AR872" s="58"/>
    </row>
    <row r="873" spans="1:44" ht="15.75" customHeight="1" x14ac:dyDescent="0.25">
      <c r="A873" s="64"/>
      <c r="B873" s="62"/>
      <c r="C873" s="62"/>
      <c r="D873" s="62"/>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c r="AE873" s="58"/>
      <c r="AF873" s="58"/>
      <c r="AG873" s="58"/>
      <c r="AH873" s="58"/>
      <c r="AI873" s="58"/>
      <c r="AJ873" s="58"/>
      <c r="AK873" s="58"/>
      <c r="AL873" s="58"/>
      <c r="AM873" s="58"/>
      <c r="AN873" s="58"/>
      <c r="AO873" s="58"/>
      <c r="AP873" s="58"/>
      <c r="AQ873" s="58"/>
      <c r="AR873" s="58"/>
    </row>
    <row r="874" spans="1:44" ht="15.75" customHeight="1" x14ac:dyDescent="0.25">
      <c r="A874" s="64"/>
      <c r="B874" s="62"/>
      <c r="C874" s="62"/>
      <c r="D874" s="62"/>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c r="AE874" s="58"/>
      <c r="AF874" s="58"/>
      <c r="AG874" s="58"/>
      <c r="AH874" s="58"/>
      <c r="AI874" s="58"/>
      <c r="AJ874" s="58"/>
      <c r="AK874" s="58"/>
      <c r="AL874" s="58"/>
      <c r="AM874" s="58"/>
      <c r="AN874" s="58"/>
      <c r="AO874" s="58"/>
      <c r="AP874" s="58"/>
      <c r="AQ874" s="58"/>
      <c r="AR874" s="58"/>
    </row>
    <row r="875" spans="1:44" ht="15.75" customHeight="1" x14ac:dyDescent="0.25">
      <c r="A875" s="64"/>
      <c r="B875" s="62"/>
      <c r="C875" s="62"/>
      <c r="D875" s="62"/>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c r="AE875" s="58"/>
      <c r="AF875" s="58"/>
      <c r="AG875" s="58"/>
      <c r="AH875" s="58"/>
      <c r="AI875" s="58"/>
      <c r="AJ875" s="58"/>
      <c r="AK875" s="58"/>
      <c r="AL875" s="58"/>
      <c r="AM875" s="58"/>
      <c r="AN875" s="58"/>
      <c r="AO875" s="58"/>
      <c r="AP875" s="58"/>
      <c r="AQ875" s="58"/>
      <c r="AR875" s="58"/>
    </row>
    <row r="876" spans="1:44" ht="15.75" customHeight="1" x14ac:dyDescent="0.25">
      <c r="A876" s="64"/>
      <c r="B876" s="62"/>
      <c r="C876" s="62"/>
      <c r="D876" s="62"/>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c r="AE876" s="58"/>
      <c r="AF876" s="58"/>
      <c r="AG876" s="58"/>
      <c r="AH876" s="58"/>
      <c r="AI876" s="58"/>
      <c r="AJ876" s="58"/>
      <c r="AK876" s="58"/>
      <c r="AL876" s="58"/>
      <c r="AM876" s="58"/>
      <c r="AN876" s="58"/>
      <c r="AO876" s="58"/>
      <c r="AP876" s="58"/>
      <c r="AQ876" s="58"/>
      <c r="AR876" s="58"/>
    </row>
    <row r="877" spans="1:44" ht="15.75" customHeight="1" x14ac:dyDescent="0.25">
      <c r="A877" s="64"/>
      <c r="B877" s="62"/>
      <c r="C877" s="62"/>
      <c r="D877" s="62"/>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c r="AE877" s="58"/>
      <c r="AF877" s="58"/>
      <c r="AG877" s="58"/>
      <c r="AH877" s="58"/>
      <c r="AI877" s="58"/>
      <c r="AJ877" s="58"/>
      <c r="AK877" s="58"/>
      <c r="AL877" s="58"/>
      <c r="AM877" s="58"/>
      <c r="AN877" s="58"/>
      <c r="AO877" s="58"/>
      <c r="AP877" s="58"/>
      <c r="AQ877" s="58"/>
      <c r="AR877" s="58"/>
    </row>
    <row r="878" spans="1:44" ht="15.75" customHeight="1" x14ac:dyDescent="0.25">
      <c r="A878" s="64"/>
      <c r="B878" s="62"/>
      <c r="C878" s="62"/>
      <c r="D878" s="62"/>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c r="AE878" s="58"/>
      <c r="AF878" s="58"/>
      <c r="AG878" s="58"/>
      <c r="AH878" s="58"/>
      <c r="AI878" s="58"/>
      <c r="AJ878" s="58"/>
      <c r="AK878" s="58"/>
      <c r="AL878" s="58"/>
      <c r="AM878" s="58"/>
      <c r="AN878" s="58"/>
      <c r="AO878" s="58"/>
      <c r="AP878" s="58"/>
      <c r="AQ878" s="58"/>
      <c r="AR878" s="58"/>
    </row>
    <row r="879" spans="1:44" ht="15.75" customHeight="1" x14ac:dyDescent="0.25">
      <c r="A879" s="64"/>
      <c r="B879" s="62"/>
      <c r="C879" s="62"/>
      <c r="D879" s="62"/>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c r="AE879" s="58"/>
      <c r="AF879" s="58"/>
      <c r="AG879" s="58"/>
      <c r="AH879" s="58"/>
      <c r="AI879" s="58"/>
      <c r="AJ879" s="58"/>
      <c r="AK879" s="58"/>
      <c r="AL879" s="58"/>
      <c r="AM879" s="58"/>
      <c r="AN879" s="58"/>
      <c r="AO879" s="58"/>
      <c r="AP879" s="58"/>
      <c r="AQ879" s="58"/>
      <c r="AR879" s="58"/>
    </row>
    <row r="880" spans="1:44" ht="15.75" customHeight="1" x14ac:dyDescent="0.25">
      <c r="A880" s="64"/>
      <c r="B880" s="62"/>
      <c r="C880" s="62"/>
      <c r="D880" s="62"/>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c r="AE880" s="58"/>
      <c r="AF880" s="58"/>
      <c r="AG880" s="58"/>
      <c r="AH880" s="58"/>
      <c r="AI880" s="58"/>
      <c r="AJ880" s="58"/>
      <c r="AK880" s="58"/>
      <c r="AL880" s="58"/>
      <c r="AM880" s="58"/>
      <c r="AN880" s="58"/>
      <c r="AO880" s="58"/>
      <c r="AP880" s="58"/>
      <c r="AQ880" s="58"/>
      <c r="AR880" s="58"/>
    </row>
    <row r="881" spans="1:44" ht="15.75" customHeight="1" x14ac:dyDescent="0.25">
      <c r="A881" s="64"/>
      <c r="B881" s="62"/>
      <c r="C881" s="62"/>
      <c r="D881" s="62"/>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c r="AE881" s="58"/>
      <c r="AF881" s="58"/>
      <c r="AG881" s="58"/>
      <c r="AH881" s="58"/>
      <c r="AI881" s="58"/>
      <c r="AJ881" s="58"/>
      <c r="AK881" s="58"/>
      <c r="AL881" s="58"/>
      <c r="AM881" s="58"/>
      <c r="AN881" s="58"/>
      <c r="AO881" s="58"/>
      <c r="AP881" s="58"/>
      <c r="AQ881" s="58"/>
      <c r="AR881" s="58"/>
    </row>
    <row r="882" spans="1:44" ht="15.75" customHeight="1" x14ac:dyDescent="0.25">
      <c r="A882" s="64"/>
      <c r="B882" s="62"/>
      <c r="C882" s="62"/>
      <c r="D882" s="62"/>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c r="AE882" s="58"/>
      <c r="AF882" s="58"/>
      <c r="AG882" s="58"/>
      <c r="AH882" s="58"/>
      <c r="AI882" s="58"/>
      <c r="AJ882" s="58"/>
      <c r="AK882" s="58"/>
      <c r="AL882" s="58"/>
      <c r="AM882" s="58"/>
      <c r="AN882" s="58"/>
      <c r="AO882" s="58"/>
      <c r="AP882" s="58"/>
      <c r="AQ882" s="58"/>
      <c r="AR882" s="58"/>
    </row>
    <row r="883" spans="1:44" ht="15.75" customHeight="1" x14ac:dyDescent="0.25">
      <c r="A883" s="64"/>
      <c r="B883" s="62"/>
      <c r="C883" s="62"/>
      <c r="D883" s="62"/>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c r="AE883" s="58"/>
      <c r="AF883" s="58"/>
      <c r="AG883" s="58"/>
      <c r="AH883" s="58"/>
      <c r="AI883" s="58"/>
      <c r="AJ883" s="58"/>
      <c r="AK883" s="58"/>
      <c r="AL883" s="58"/>
      <c r="AM883" s="58"/>
      <c r="AN883" s="58"/>
      <c r="AO883" s="58"/>
      <c r="AP883" s="58"/>
      <c r="AQ883" s="58"/>
      <c r="AR883" s="58"/>
    </row>
    <row r="884" spans="1:44" ht="15.75" customHeight="1" x14ac:dyDescent="0.25">
      <c r="A884" s="64"/>
      <c r="B884" s="62"/>
      <c r="C884" s="62"/>
      <c r="D884" s="62"/>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c r="AE884" s="58"/>
      <c r="AF884" s="58"/>
      <c r="AG884" s="58"/>
      <c r="AH884" s="58"/>
      <c r="AI884" s="58"/>
      <c r="AJ884" s="58"/>
      <c r="AK884" s="58"/>
      <c r="AL884" s="58"/>
      <c r="AM884" s="58"/>
      <c r="AN884" s="58"/>
      <c r="AO884" s="58"/>
      <c r="AP884" s="58"/>
      <c r="AQ884" s="58"/>
      <c r="AR884" s="58"/>
    </row>
    <row r="885" spans="1:44" ht="15.75" customHeight="1" x14ac:dyDescent="0.25">
      <c r="A885" s="64"/>
      <c r="B885" s="62"/>
      <c r="C885" s="62"/>
      <c r="D885" s="62"/>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c r="AE885" s="58"/>
      <c r="AF885" s="58"/>
      <c r="AG885" s="58"/>
      <c r="AH885" s="58"/>
      <c r="AI885" s="58"/>
      <c r="AJ885" s="58"/>
      <c r="AK885" s="58"/>
      <c r="AL885" s="58"/>
      <c r="AM885" s="58"/>
      <c r="AN885" s="58"/>
      <c r="AO885" s="58"/>
      <c r="AP885" s="58"/>
      <c r="AQ885" s="58"/>
      <c r="AR885" s="58"/>
    </row>
    <row r="886" spans="1:44" ht="15.75" customHeight="1" x14ac:dyDescent="0.25">
      <c r="A886" s="64"/>
      <c r="B886" s="62"/>
      <c r="C886" s="62"/>
      <c r="D886" s="62"/>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c r="AE886" s="58"/>
      <c r="AF886" s="58"/>
      <c r="AG886" s="58"/>
      <c r="AH886" s="58"/>
      <c r="AI886" s="58"/>
      <c r="AJ886" s="58"/>
      <c r="AK886" s="58"/>
      <c r="AL886" s="58"/>
      <c r="AM886" s="58"/>
      <c r="AN886" s="58"/>
      <c r="AO886" s="58"/>
      <c r="AP886" s="58"/>
      <c r="AQ886" s="58"/>
      <c r="AR886" s="58"/>
    </row>
    <row r="887" spans="1:44" ht="15.75" customHeight="1" x14ac:dyDescent="0.25">
      <c r="A887" s="64"/>
      <c r="B887" s="62"/>
      <c r="C887" s="62"/>
      <c r="D887" s="62"/>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c r="AE887" s="58"/>
      <c r="AF887" s="58"/>
      <c r="AG887" s="58"/>
      <c r="AH887" s="58"/>
      <c r="AI887" s="58"/>
      <c r="AJ887" s="58"/>
      <c r="AK887" s="58"/>
      <c r="AL887" s="58"/>
      <c r="AM887" s="58"/>
      <c r="AN887" s="58"/>
      <c r="AO887" s="58"/>
      <c r="AP887" s="58"/>
      <c r="AQ887" s="58"/>
      <c r="AR887" s="58"/>
    </row>
    <row r="888" spans="1:44" ht="15.75" customHeight="1" x14ac:dyDescent="0.25">
      <c r="A888" s="64"/>
      <c r="B888" s="62"/>
      <c r="C888" s="62"/>
      <c r="D888" s="62"/>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c r="AE888" s="58"/>
      <c r="AF888" s="58"/>
      <c r="AG888" s="58"/>
      <c r="AH888" s="58"/>
      <c r="AI888" s="58"/>
      <c r="AJ888" s="58"/>
      <c r="AK888" s="58"/>
      <c r="AL888" s="58"/>
      <c r="AM888" s="58"/>
      <c r="AN888" s="58"/>
      <c r="AO888" s="58"/>
      <c r="AP888" s="58"/>
      <c r="AQ888" s="58"/>
      <c r="AR888" s="58"/>
    </row>
    <row r="889" spans="1:44" ht="15.75" customHeight="1" x14ac:dyDescent="0.25">
      <c r="A889" s="64"/>
      <c r="B889" s="62"/>
      <c r="C889" s="62"/>
      <c r="D889" s="62"/>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c r="AE889" s="58"/>
      <c r="AF889" s="58"/>
      <c r="AG889" s="58"/>
      <c r="AH889" s="58"/>
      <c r="AI889" s="58"/>
      <c r="AJ889" s="58"/>
      <c r="AK889" s="58"/>
      <c r="AL889" s="58"/>
      <c r="AM889" s="58"/>
      <c r="AN889" s="58"/>
      <c r="AO889" s="58"/>
      <c r="AP889" s="58"/>
      <c r="AQ889" s="58"/>
      <c r="AR889" s="58"/>
    </row>
    <row r="890" spans="1:44" ht="15.75" customHeight="1" x14ac:dyDescent="0.25">
      <c r="A890" s="64"/>
      <c r="B890" s="62"/>
      <c r="C890" s="62"/>
      <c r="D890" s="62"/>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c r="AE890" s="58"/>
      <c r="AF890" s="58"/>
      <c r="AG890" s="58"/>
      <c r="AH890" s="58"/>
      <c r="AI890" s="58"/>
      <c r="AJ890" s="58"/>
      <c r="AK890" s="58"/>
      <c r="AL890" s="58"/>
      <c r="AM890" s="58"/>
      <c r="AN890" s="58"/>
      <c r="AO890" s="58"/>
      <c r="AP890" s="58"/>
      <c r="AQ890" s="58"/>
      <c r="AR890" s="58"/>
    </row>
    <row r="891" spans="1:44" ht="15.75" customHeight="1" x14ac:dyDescent="0.25">
      <c r="A891" s="64"/>
      <c r="B891" s="62"/>
      <c r="C891" s="62"/>
      <c r="D891" s="62"/>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c r="AE891" s="58"/>
      <c r="AF891" s="58"/>
      <c r="AG891" s="58"/>
      <c r="AH891" s="58"/>
      <c r="AI891" s="58"/>
      <c r="AJ891" s="58"/>
      <c r="AK891" s="58"/>
      <c r="AL891" s="58"/>
      <c r="AM891" s="58"/>
      <c r="AN891" s="58"/>
      <c r="AO891" s="58"/>
      <c r="AP891" s="58"/>
      <c r="AQ891" s="58"/>
      <c r="AR891" s="58"/>
    </row>
    <row r="892" spans="1:44" ht="15.75" customHeight="1" x14ac:dyDescent="0.25">
      <c r="A892" s="64"/>
      <c r="B892" s="62"/>
      <c r="C892" s="62"/>
      <c r="D892" s="62"/>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c r="AE892" s="58"/>
      <c r="AF892" s="58"/>
      <c r="AG892" s="58"/>
      <c r="AH892" s="58"/>
      <c r="AI892" s="58"/>
      <c r="AJ892" s="58"/>
      <c r="AK892" s="58"/>
      <c r="AL892" s="58"/>
      <c r="AM892" s="58"/>
      <c r="AN892" s="58"/>
      <c r="AO892" s="58"/>
      <c r="AP892" s="58"/>
      <c r="AQ892" s="58"/>
      <c r="AR892" s="58"/>
    </row>
    <row r="893" spans="1:44" ht="15.75" customHeight="1" x14ac:dyDescent="0.25">
      <c r="A893" s="64"/>
      <c r="B893" s="62"/>
      <c r="C893" s="62"/>
      <c r="D893" s="62"/>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c r="AE893" s="58"/>
      <c r="AF893" s="58"/>
      <c r="AG893" s="58"/>
      <c r="AH893" s="58"/>
      <c r="AI893" s="58"/>
      <c r="AJ893" s="58"/>
      <c r="AK893" s="58"/>
      <c r="AL893" s="58"/>
      <c r="AM893" s="58"/>
      <c r="AN893" s="58"/>
      <c r="AO893" s="58"/>
      <c r="AP893" s="58"/>
      <c r="AQ893" s="58"/>
      <c r="AR893" s="58"/>
    </row>
    <row r="894" spans="1:44" ht="15.75" customHeight="1" x14ac:dyDescent="0.25">
      <c r="A894" s="64"/>
      <c r="B894" s="62"/>
      <c r="C894" s="62"/>
      <c r="D894" s="62"/>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c r="AE894" s="58"/>
      <c r="AF894" s="58"/>
      <c r="AG894" s="58"/>
      <c r="AH894" s="58"/>
      <c r="AI894" s="58"/>
      <c r="AJ894" s="58"/>
      <c r="AK894" s="58"/>
      <c r="AL894" s="58"/>
      <c r="AM894" s="58"/>
      <c r="AN894" s="58"/>
      <c r="AO894" s="58"/>
      <c r="AP894" s="58"/>
      <c r="AQ894" s="58"/>
      <c r="AR894" s="58"/>
    </row>
    <row r="895" spans="1:44" ht="15.75" customHeight="1" x14ac:dyDescent="0.25">
      <c r="A895" s="64"/>
      <c r="B895" s="62"/>
      <c r="C895" s="62"/>
      <c r="D895" s="62"/>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c r="AE895" s="58"/>
      <c r="AF895" s="58"/>
      <c r="AG895" s="58"/>
      <c r="AH895" s="58"/>
      <c r="AI895" s="58"/>
      <c r="AJ895" s="58"/>
      <c r="AK895" s="58"/>
      <c r="AL895" s="58"/>
      <c r="AM895" s="58"/>
      <c r="AN895" s="58"/>
      <c r="AO895" s="58"/>
      <c r="AP895" s="58"/>
      <c r="AQ895" s="58"/>
      <c r="AR895" s="58"/>
    </row>
    <row r="896" spans="1:44" ht="15.75" customHeight="1" x14ac:dyDescent="0.25">
      <c r="A896" s="64"/>
      <c r="B896" s="62"/>
      <c r="C896" s="62"/>
      <c r="D896" s="62"/>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c r="AE896" s="58"/>
      <c r="AF896" s="58"/>
      <c r="AG896" s="58"/>
      <c r="AH896" s="58"/>
      <c r="AI896" s="58"/>
      <c r="AJ896" s="58"/>
      <c r="AK896" s="58"/>
      <c r="AL896" s="58"/>
      <c r="AM896" s="58"/>
      <c r="AN896" s="58"/>
      <c r="AO896" s="58"/>
      <c r="AP896" s="58"/>
      <c r="AQ896" s="58"/>
      <c r="AR896" s="58"/>
    </row>
    <row r="897" spans="1:44" ht="15.75" customHeight="1" x14ac:dyDescent="0.25">
      <c r="A897" s="64"/>
      <c r="B897" s="62"/>
      <c r="C897" s="62"/>
      <c r="D897" s="62"/>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c r="AE897" s="58"/>
      <c r="AF897" s="58"/>
      <c r="AG897" s="58"/>
      <c r="AH897" s="58"/>
      <c r="AI897" s="58"/>
      <c r="AJ897" s="58"/>
      <c r="AK897" s="58"/>
      <c r="AL897" s="58"/>
      <c r="AM897" s="58"/>
      <c r="AN897" s="58"/>
      <c r="AO897" s="58"/>
      <c r="AP897" s="58"/>
      <c r="AQ897" s="58"/>
      <c r="AR897" s="58"/>
    </row>
    <row r="898" spans="1:44" ht="15.75" customHeight="1" x14ac:dyDescent="0.25">
      <c r="A898" s="64"/>
      <c r="B898" s="62"/>
      <c r="C898" s="62"/>
      <c r="D898" s="62"/>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c r="AE898" s="58"/>
      <c r="AF898" s="58"/>
      <c r="AG898" s="58"/>
      <c r="AH898" s="58"/>
      <c r="AI898" s="58"/>
      <c r="AJ898" s="58"/>
      <c r="AK898" s="58"/>
      <c r="AL898" s="58"/>
      <c r="AM898" s="58"/>
      <c r="AN898" s="58"/>
      <c r="AO898" s="58"/>
      <c r="AP898" s="58"/>
      <c r="AQ898" s="58"/>
      <c r="AR898" s="58"/>
    </row>
    <row r="899" spans="1:44" ht="15.75" customHeight="1" x14ac:dyDescent="0.25">
      <c r="A899" s="64"/>
      <c r="B899" s="62"/>
      <c r="C899" s="62"/>
      <c r="D899" s="62"/>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c r="AE899" s="58"/>
      <c r="AF899" s="58"/>
      <c r="AG899" s="58"/>
      <c r="AH899" s="58"/>
      <c r="AI899" s="58"/>
      <c r="AJ899" s="58"/>
      <c r="AK899" s="58"/>
      <c r="AL899" s="58"/>
      <c r="AM899" s="58"/>
      <c r="AN899" s="58"/>
      <c r="AO899" s="58"/>
      <c r="AP899" s="58"/>
      <c r="AQ899" s="58"/>
      <c r="AR899" s="58"/>
    </row>
    <row r="900" spans="1:44" ht="15.75" customHeight="1" x14ac:dyDescent="0.25">
      <c r="A900" s="64"/>
      <c r="B900" s="62"/>
      <c r="C900" s="62"/>
      <c r="D900" s="62"/>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c r="AE900" s="58"/>
      <c r="AF900" s="58"/>
      <c r="AG900" s="58"/>
      <c r="AH900" s="58"/>
      <c r="AI900" s="58"/>
      <c r="AJ900" s="58"/>
      <c r="AK900" s="58"/>
      <c r="AL900" s="58"/>
      <c r="AM900" s="58"/>
      <c r="AN900" s="58"/>
      <c r="AO900" s="58"/>
      <c r="AP900" s="58"/>
      <c r="AQ900" s="58"/>
      <c r="AR900" s="58"/>
    </row>
    <row r="901" spans="1:44" ht="15.75" customHeight="1" x14ac:dyDescent="0.25">
      <c r="A901" s="64"/>
      <c r="B901" s="62"/>
      <c r="C901" s="62"/>
      <c r="D901" s="62"/>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c r="AE901" s="58"/>
      <c r="AF901" s="58"/>
      <c r="AG901" s="58"/>
      <c r="AH901" s="58"/>
      <c r="AI901" s="58"/>
      <c r="AJ901" s="58"/>
      <c r="AK901" s="58"/>
      <c r="AL901" s="58"/>
      <c r="AM901" s="58"/>
      <c r="AN901" s="58"/>
      <c r="AO901" s="58"/>
      <c r="AP901" s="58"/>
      <c r="AQ901" s="58"/>
      <c r="AR901" s="58"/>
    </row>
    <row r="902" spans="1:44" ht="15.75" customHeight="1" x14ac:dyDescent="0.25">
      <c r="A902" s="64"/>
      <c r="B902" s="62"/>
      <c r="C902" s="62"/>
      <c r="D902" s="62"/>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c r="AE902" s="58"/>
      <c r="AF902" s="58"/>
      <c r="AG902" s="58"/>
      <c r="AH902" s="58"/>
      <c r="AI902" s="58"/>
      <c r="AJ902" s="58"/>
      <c r="AK902" s="58"/>
      <c r="AL902" s="58"/>
      <c r="AM902" s="58"/>
      <c r="AN902" s="58"/>
      <c r="AO902" s="58"/>
      <c r="AP902" s="58"/>
      <c r="AQ902" s="58"/>
      <c r="AR902" s="58"/>
    </row>
    <row r="903" spans="1:44" ht="15.75" customHeight="1" x14ac:dyDescent="0.25">
      <c r="A903" s="64"/>
      <c r="B903" s="62"/>
      <c r="C903" s="62"/>
      <c r="D903" s="62"/>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c r="AE903" s="58"/>
      <c r="AF903" s="58"/>
      <c r="AG903" s="58"/>
      <c r="AH903" s="58"/>
      <c r="AI903" s="58"/>
      <c r="AJ903" s="58"/>
      <c r="AK903" s="58"/>
      <c r="AL903" s="58"/>
      <c r="AM903" s="58"/>
      <c r="AN903" s="58"/>
      <c r="AO903" s="58"/>
      <c r="AP903" s="58"/>
      <c r="AQ903" s="58"/>
      <c r="AR903" s="58"/>
    </row>
    <row r="904" spans="1:44" ht="15.75" customHeight="1" x14ac:dyDescent="0.25">
      <c r="A904" s="64"/>
      <c r="B904" s="62"/>
      <c r="C904" s="62"/>
      <c r="D904" s="62"/>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c r="AE904" s="58"/>
      <c r="AF904" s="58"/>
      <c r="AG904" s="58"/>
      <c r="AH904" s="58"/>
      <c r="AI904" s="58"/>
      <c r="AJ904" s="58"/>
      <c r="AK904" s="58"/>
      <c r="AL904" s="58"/>
      <c r="AM904" s="58"/>
      <c r="AN904" s="58"/>
      <c r="AO904" s="58"/>
      <c r="AP904" s="58"/>
      <c r="AQ904" s="58"/>
      <c r="AR904" s="58"/>
    </row>
    <row r="905" spans="1:44" ht="15.75" customHeight="1" x14ac:dyDescent="0.25">
      <c r="A905" s="64"/>
      <c r="B905" s="62"/>
      <c r="C905" s="62"/>
      <c r="D905" s="62"/>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c r="AE905" s="58"/>
      <c r="AF905" s="58"/>
      <c r="AG905" s="58"/>
      <c r="AH905" s="58"/>
      <c r="AI905" s="58"/>
      <c r="AJ905" s="58"/>
      <c r="AK905" s="58"/>
      <c r="AL905" s="58"/>
      <c r="AM905" s="58"/>
      <c r="AN905" s="58"/>
      <c r="AO905" s="58"/>
      <c r="AP905" s="58"/>
      <c r="AQ905" s="58"/>
      <c r="AR905" s="58"/>
    </row>
    <row r="906" spans="1:44" ht="15.75" customHeight="1" x14ac:dyDescent="0.25">
      <c r="A906" s="64"/>
      <c r="B906" s="62"/>
      <c r="C906" s="62"/>
      <c r="D906" s="62"/>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c r="AE906" s="58"/>
      <c r="AF906" s="58"/>
      <c r="AG906" s="58"/>
      <c r="AH906" s="58"/>
      <c r="AI906" s="58"/>
      <c r="AJ906" s="58"/>
      <c r="AK906" s="58"/>
      <c r="AL906" s="58"/>
      <c r="AM906" s="58"/>
      <c r="AN906" s="58"/>
      <c r="AO906" s="58"/>
      <c r="AP906" s="58"/>
      <c r="AQ906" s="58"/>
      <c r="AR906" s="58"/>
    </row>
    <row r="907" spans="1:44" ht="15.75" customHeight="1" x14ac:dyDescent="0.25">
      <c r="A907" s="64"/>
      <c r="B907" s="62"/>
      <c r="C907" s="62"/>
      <c r="D907" s="62"/>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c r="AE907" s="58"/>
      <c r="AF907" s="58"/>
      <c r="AG907" s="58"/>
      <c r="AH907" s="58"/>
      <c r="AI907" s="58"/>
      <c r="AJ907" s="58"/>
      <c r="AK907" s="58"/>
      <c r="AL907" s="58"/>
      <c r="AM907" s="58"/>
      <c r="AN907" s="58"/>
      <c r="AO907" s="58"/>
      <c r="AP907" s="58"/>
      <c r="AQ907" s="58"/>
      <c r="AR907" s="58"/>
    </row>
    <row r="908" spans="1:44" ht="15.75" customHeight="1" x14ac:dyDescent="0.25">
      <c r="A908" s="64"/>
      <c r="B908" s="62"/>
      <c r="C908" s="62"/>
      <c r="D908" s="62"/>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c r="AE908" s="58"/>
      <c r="AF908" s="58"/>
      <c r="AG908" s="58"/>
      <c r="AH908" s="58"/>
      <c r="AI908" s="58"/>
      <c r="AJ908" s="58"/>
      <c r="AK908" s="58"/>
      <c r="AL908" s="58"/>
      <c r="AM908" s="58"/>
      <c r="AN908" s="58"/>
      <c r="AO908" s="58"/>
      <c r="AP908" s="58"/>
      <c r="AQ908" s="58"/>
      <c r="AR908" s="58"/>
    </row>
    <row r="909" spans="1:44" ht="15.75" customHeight="1" x14ac:dyDescent="0.25">
      <c r="A909" s="64"/>
      <c r="B909" s="62"/>
      <c r="C909" s="62"/>
      <c r="D909" s="62"/>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c r="AE909" s="58"/>
      <c r="AF909" s="58"/>
      <c r="AG909" s="58"/>
      <c r="AH909" s="58"/>
      <c r="AI909" s="58"/>
      <c r="AJ909" s="58"/>
      <c r="AK909" s="58"/>
      <c r="AL909" s="58"/>
      <c r="AM909" s="58"/>
      <c r="AN909" s="58"/>
      <c r="AO909" s="58"/>
      <c r="AP909" s="58"/>
      <c r="AQ909" s="58"/>
      <c r="AR909" s="58"/>
    </row>
    <row r="910" spans="1:44" ht="15.75" customHeight="1" x14ac:dyDescent="0.25">
      <c r="A910" s="64"/>
      <c r="B910" s="62"/>
      <c r="C910" s="62"/>
      <c r="D910" s="62"/>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c r="AE910" s="58"/>
      <c r="AF910" s="58"/>
      <c r="AG910" s="58"/>
      <c r="AH910" s="58"/>
      <c r="AI910" s="58"/>
      <c r="AJ910" s="58"/>
      <c r="AK910" s="58"/>
      <c r="AL910" s="58"/>
      <c r="AM910" s="58"/>
      <c r="AN910" s="58"/>
      <c r="AO910" s="58"/>
      <c r="AP910" s="58"/>
      <c r="AQ910" s="58"/>
      <c r="AR910" s="58"/>
    </row>
    <row r="911" spans="1:44" ht="15.75" customHeight="1" x14ac:dyDescent="0.25">
      <c r="A911" s="64"/>
      <c r="B911" s="62"/>
      <c r="C911" s="62"/>
      <c r="D911" s="62"/>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c r="AE911" s="58"/>
      <c r="AF911" s="58"/>
      <c r="AG911" s="58"/>
      <c r="AH911" s="58"/>
      <c r="AI911" s="58"/>
      <c r="AJ911" s="58"/>
      <c r="AK911" s="58"/>
      <c r="AL911" s="58"/>
      <c r="AM911" s="58"/>
      <c r="AN911" s="58"/>
      <c r="AO911" s="58"/>
      <c r="AP911" s="58"/>
      <c r="AQ911" s="58"/>
      <c r="AR911" s="58"/>
    </row>
    <row r="912" spans="1:44" ht="15.75" customHeight="1" x14ac:dyDescent="0.25">
      <c r="A912" s="64"/>
      <c r="B912" s="62"/>
      <c r="C912" s="62"/>
      <c r="D912" s="62"/>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c r="AE912" s="58"/>
      <c r="AF912" s="58"/>
      <c r="AG912" s="58"/>
      <c r="AH912" s="58"/>
      <c r="AI912" s="58"/>
      <c r="AJ912" s="58"/>
      <c r="AK912" s="58"/>
      <c r="AL912" s="58"/>
      <c r="AM912" s="58"/>
      <c r="AN912" s="58"/>
      <c r="AO912" s="58"/>
      <c r="AP912" s="58"/>
      <c r="AQ912" s="58"/>
      <c r="AR912" s="58"/>
    </row>
    <row r="913" spans="1:44" ht="15.75" customHeight="1" x14ac:dyDescent="0.25">
      <c r="A913" s="64"/>
      <c r="B913" s="62"/>
      <c r="C913" s="62"/>
      <c r="D913" s="62"/>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c r="AE913" s="58"/>
      <c r="AF913" s="58"/>
      <c r="AG913" s="58"/>
      <c r="AH913" s="58"/>
      <c r="AI913" s="58"/>
      <c r="AJ913" s="58"/>
      <c r="AK913" s="58"/>
      <c r="AL913" s="58"/>
      <c r="AM913" s="58"/>
      <c r="AN913" s="58"/>
      <c r="AO913" s="58"/>
      <c r="AP913" s="58"/>
      <c r="AQ913" s="58"/>
      <c r="AR913" s="58"/>
    </row>
    <row r="914" spans="1:44" ht="15.75" customHeight="1" x14ac:dyDescent="0.25">
      <c r="A914" s="64"/>
      <c r="B914" s="62"/>
      <c r="C914" s="62"/>
      <c r="D914" s="62"/>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c r="AE914" s="58"/>
      <c r="AF914" s="58"/>
      <c r="AG914" s="58"/>
      <c r="AH914" s="58"/>
      <c r="AI914" s="58"/>
      <c r="AJ914" s="58"/>
      <c r="AK914" s="58"/>
      <c r="AL914" s="58"/>
      <c r="AM914" s="58"/>
      <c r="AN914" s="58"/>
      <c r="AO914" s="58"/>
      <c r="AP914" s="58"/>
      <c r="AQ914" s="58"/>
      <c r="AR914" s="58"/>
    </row>
    <row r="915" spans="1:44" ht="15.75" customHeight="1" x14ac:dyDescent="0.25">
      <c r="A915" s="64"/>
      <c r="B915" s="62"/>
      <c r="C915" s="62"/>
      <c r="D915" s="62"/>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c r="AE915" s="58"/>
      <c r="AF915" s="58"/>
      <c r="AG915" s="58"/>
      <c r="AH915" s="58"/>
      <c r="AI915" s="58"/>
      <c r="AJ915" s="58"/>
      <c r="AK915" s="58"/>
      <c r="AL915" s="58"/>
      <c r="AM915" s="58"/>
      <c r="AN915" s="58"/>
      <c r="AO915" s="58"/>
      <c r="AP915" s="58"/>
      <c r="AQ915" s="58"/>
      <c r="AR915" s="58"/>
    </row>
    <row r="916" spans="1:44" ht="15.75" customHeight="1" x14ac:dyDescent="0.25">
      <c r="A916" s="64"/>
      <c r="B916" s="62"/>
      <c r="C916" s="62"/>
      <c r="D916" s="62"/>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c r="AE916" s="58"/>
      <c r="AF916" s="58"/>
      <c r="AG916" s="58"/>
      <c r="AH916" s="58"/>
      <c r="AI916" s="58"/>
      <c r="AJ916" s="58"/>
      <c r="AK916" s="58"/>
      <c r="AL916" s="58"/>
      <c r="AM916" s="58"/>
      <c r="AN916" s="58"/>
      <c r="AO916" s="58"/>
      <c r="AP916" s="58"/>
      <c r="AQ916" s="58"/>
      <c r="AR916" s="58"/>
    </row>
    <row r="917" spans="1:44" ht="15.75" customHeight="1" x14ac:dyDescent="0.25">
      <c r="A917" s="64"/>
      <c r="B917" s="62"/>
      <c r="C917" s="62"/>
      <c r="D917" s="62"/>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c r="AE917" s="58"/>
      <c r="AF917" s="58"/>
      <c r="AG917" s="58"/>
      <c r="AH917" s="58"/>
      <c r="AI917" s="58"/>
      <c r="AJ917" s="58"/>
      <c r="AK917" s="58"/>
      <c r="AL917" s="58"/>
      <c r="AM917" s="58"/>
      <c r="AN917" s="58"/>
      <c r="AO917" s="58"/>
      <c r="AP917" s="58"/>
      <c r="AQ917" s="58"/>
      <c r="AR917" s="58"/>
    </row>
    <row r="918" spans="1:44" ht="15.75" customHeight="1" x14ac:dyDescent="0.25">
      <c r="A918" s="64"/>
      <c r="B918" s="62"/>
      <c r="C918" s="62"/>
      <c r="D918" s="62"/>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c r="AE918" s="58"/>
      <c r="AF918" s="58"/>
      <c r="AG918" s="58"/>
      <c r="AH918" s="58"/>
      <c r="AI918" s="58"/>
      <c r="AJ918" s="58"/>
      <c r="AK918" s="58"/>
      <c r="AL918" s="58"/>
      <c r="AM918" s="58"/>
      <c r="AN918" s="58"/>
      <c r="AO918" s="58"/>
      <c r="AP918" s="58"/>
      <c r="AQ918" s="58"/>
      <c r="AR918" s="58"/>
    </row>
    <row r="919" spans="1:44" ht="15.75" customHeight="1" x14ac:dyDescent="0.25">
      <c r="A919" s="64"/>
      <c r="B919" s="62"/>
      <c r="C919" s="62"/>
      <c r="D919" s="62"/>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c r="AE919" s="58"/>
      <c r="AF919" s="58"/>
      <c r="AG919" s="58"/>
      <c r="AH919" s="58"/>
      <c r="AI919" s="58"/>
      <c r="AJ919" s="58"/>
      <c r="AK919" s="58"/>
      <c r="AL919" s="58"/>
      <c r="AM919" s="58"/>
      <c r="AN919" s="58"/>
      <c r="AO919" s="58"/>
      <c r="AP919" s="58"/>
      <c r="AQ919" s="58"/>
      <c r="AR919" s="58"/>
    </row>
    <row r="920" spans="1:44" ht="15.75" customHeight="1" x14ac:dyDescent="0.25">
      <c r="A920" s="64"/>
      <c r="B920" s="62"/>
      <c r="C920" s="62"/>
      <c r="D920" s="62"/>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c r="AE920" s="58"/>
      <c r="AF920" s="58"/>
      <c r="AG920" s="58"/>
      <c r="AH920" s="58"/>
      <c r="AI920" s="58"/>
      <c r="AJ920" s="58"/>
      <c r="AK920" s="58"/>
      <c r="AL920" s="58"/>
      <c r="AM920" s="58"/>
      <c r="AN920" s="58"/>
      <c r="AO920" s="58"/>
      <c r="AP920" s="58"/>
      <c r="AQ920" s="58"/>
      <c r="AR920" s="58"/>
    </row>
    <row r="921" spans="1:44" ht="15.75" customHeight="1" x14ac:dyDescent="0.25">
      <c r="A921" s="64"/>
      <c r="B921" s="62"/>
      <c r="C921" s="62"/>
      <c r="D921" s="62"/>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c r="AE921" s="58"/>
      <c r="AF921" s="58"/>
      <c r="AG921" s="58"/>
      <c r="AH921" s="58"/>
      <c r="AI921" s="58"/>
      <c r="AJ921" s="58"/>
      <c r="AK921" s="58"/>
      <c r="AL921" s="58"/>
      <c r="AM921" s="58"/>
      <c r="AN921" s="58"/>
      <c r="AO921" s="58"/>
      <c r="AP921" s="58"/>
      <c r="AQ921" s="58"/>
      <c r="AR921" s="58"/>
    </row>
    <row r="922" spans="1:44" ht="15.75" customHeight="1" x14ac:dyDescent="0.25">
      <c r="A922" s="64"/>
      <c r="B922" s="62"/>
      <c r="C922" s="62"/>
      <c r="D922" s="62"/>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c r="AE922" s="58"/>
      <c r="AF922" s="58"/>
      <c r="AG922" s="58"/>
      <c r="AH922" s="58"/>
      <c r="AI922" s="58"/>
      <c r="AJ922" s="58"/>
      <c r="AK922" s="58"/>
      <c r="AL922" s="58"/>
      <c r="AM922" s="58"/>
      <c r="AN922" s="58"/>
      <c r="AO922" s="58"/>
      <c r="AP922" s="58"/>
      <c r="AQ922" s="58"/>
      <c r="AR922" s="58"/>
    </row>
    <row r="923" spans="1:44" ht="15.75" customHeight="1" x14ac:dyDescent="0.25">
      <c r="A923" s="64"/>
      <c r="B923" s="62"/>
      <c r="C923" s="62"/>
      <c r="D923" s="62"/>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c r="AE923" s="58"/>
      <c r="AF923" s="58"/>
      <c r="AG923" s="58"/>
      <c r="AH923" s="58"/>
      <c r="AI923" s="58"/>
      <c r="AJ923" s="58"/>
      <c r="AK923" s="58"/>
      <c r="AL923" s="58"/>
      <c r="AM923" s="58"/>
      <c r="AN923" s="58"/>
      <c r="AO923" s="58"/>
      <c r="AP923" s="58"/>
      <c r="AQ923" s="58"/>
      <c r="AR923" s="58"/>
    </row>
    <row r="924" spans="1:44" ht="15.75" customHeight="1" x14ac:dyDescent="0.25">
      <c r="A924" s="64"/>
      <c r="B924" s="62"/>
      <c r="C924" s="62"/>
      <c r="D924" s="62"/>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c r="AE924" s="58"/>
      <c r="AF924" s="58"/>
      <c r="AG924" s="58"/>
      <c r="AH924" s="58"/>
      <c r="AI924" s="58"/>
      <c r="AJ924" s="58"/>
      <c r="AK924" s="58"/>
      <c r="AL924" s="58"/>
      <c r="AM924" s="58"/>
      <c r="AN924" s="58"/>
      <c r="AO924" s="58"/>
      <c r="AP924" s="58"/>
      <c r="AQ924" s="58"/>
      <c r="AR924" s="58"/>
    </row>
    <row r="925" spans="1:44" ht="15.75" customHeight="1" x14ac:dyDescent="0.25">
      <c r="A925" s="64"/>
      <c r="B925" s="62"/>
      <c r="C925" s="62"/>
      <c r="D925" s="62"/>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c r="AE925" s="58"/>
      <c r="AF925" s="58"/>
      <c r="AG925" s="58"/>
      <c r="AH925" s="58"/>
      <c r="AI925" s="58"/>
      <c r="AJ925" s="58"/>
      <c r="AK925" s="58"/>
      <c r="AL925" s="58"/>
      <c r="AM925" s="58"/>
      <c r="AN925" s="58"/>
      <c r="AO925" s="58"/>
      <c r="AP925" s="58"/>
      <c r="AQ925" s="58"/>
      <c r="AR925" s="58"/>
    </row>
    <row r="926" spans="1:44" ht="15.75" customHeight="1" x14ac:dyDescent="0.25">
      <c r="A926" s="64"/>
      <c r="B926" s="62"/>
      <c r="C926" s="62"/>
      <c r="D926" s="62"/>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c r="AE926" s="58"/>
      <c r="AF926" s="58"/>
      <c r="AG926" s="58"/>
      <c r="AH926" s="58"/>
      <c r="AI926" s="58"/>
      <c r="AJ926" s="58"/>
      <c r="AK926" s="58"/>
      <c r="AL926" s="58"/>
      <c r="AM926" s="58"/>
      <c r="AN926" s="58"/>
      <c r="AO926" s="58"/>
      <c r="AP926" s="58"/>
      <c r="AQ926" s="58"/>
      <c r="AR926" s="58"/>
    </row>
    <row r="927" spans="1:44" ht="15.75" customHeight="1" x14ac:dyDescent="0.25">
      <c r="A927" s="64"/>
      <c r="B927" s="62"/>
      <c r="C927" s="62"/>
      <c r="D927" s="62"/>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c r="AE927" s="58"/>
      <c r="AF927" s="58"/>
      <c r="AG927" s="58"/>
      <c r="AH927" s="58"/>
      <c r="AI927" s="58"/>
      <c r="AJ927" s="58"/>
      <c r="AK927" s="58"/>
      <c r="AL927" s="58"/>
      <c r="AM927" s="58"/>
      <c r="AN927" s="58"/>
      <c r="AO927" s="58"/>
      <c r="AP927" s="58"/>
      <c r="AQ927" s="58"/>
      <c r="AR927" s="58"/>
    </row>
    <row r="928" spans="1:44" ht="15.75" customHeight="1" x14ac:dyDescent="0.25">
      <c r="A928" s="64"/>
      <c r="B928" s="62"/>
      <c r="C928" s="62"/>
      <c r="D928" s="62"/>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c r="AE928" s="58"/>
      <c r="AF928" s="58"/>
      <c r="AG928" s="58"/>
      <c r="AH928" s="58"/>
      <c r="AI928" s="58"/>
      <c r="AJ928" s="58"/>
      <c r="AK928" s="58"/>
      <c r="AL928" s="58"/>
      <c r="AM928" s="58"/>
      <c r="AN928" s="58"/>
      <c r="AO928" s="58"/>
      <c r="AP928" s="58"/>
      <c r="AQ928" s="58"/>
      <c r="AR928" s="58"/>
    </row>
    <row r="929" spans="1:44" ht="15.75" customHeight="1" x14ac:dyDescent="0.25">
      <c r="A929" s="64"/>
      <c r="B929" s="62"/>
      <c r="C929" s="62"/>
      <c r="D929" s="62"/>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c r="AE929" s="58"/>
      <c r="AF929" s="58"/>
      <c r="AG929" s="58"/>
      <c r="AH929" s="58"/>
      <c r="AI929" s="58"/>
      <c r="AJ929" s="58"/>
      <c r="AK929" s="58"/>
      <c r="AL929" s="58"/>
      <c r="AM929" s="58"/>
      <c r="AN929" s="58"/>
      <c r="AO929" s="58"/>
      <c r="AP929" s="58"/>
      <c r="AQ929" s="58"/>
      <c r="AR929" s="58"/>
    </row>
    <row r="930" spans="1:44" ht="15.75" customHeight="1" x14ac:dyDescent="0.25">
      <c r="A930" s="64"/>
      <c r="B930" s="62"/>
      <c r="C930" s="62"/>
      <c r="D930" s="62"/>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c r="AE930" s="58"/>
      <c r="AF930" s="58"/>
      <c r="AG930" s="58"/>
      <c r="AH930" s="58"/>
      <c r="AI930" s="58"/>
      <c r="AJ930" s="58"/>
      <c r="AK930" s="58"/>
      <c r="AL930" s="58"/>
      <c r="AM930" s="58"/>
      <c r="AN930" s="58"/>
      <c r="AO930" s="58"/>
      <c r="AP930" s="58"/>
      <c r="AQ930" s="58"/>
      <c r="AR930" s="58"/>
    </row>
    <row r="931" spans="1:44" ht="15.75" customHeight="1" x14ac:dyDescent="0.25">
      <c r="A931" s="64"/>
      <c r="B931" s="62"/>
      <c r="C931" s="62"/>
      <c r="D931" s="62"/>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c r="AE931" s="58"/>
      <c r="AF931" s="58"/>
      <c r="AG931" s="58"/>
      <c r="AH931" s="58"/>
      <c r="AI931" s="58"/>
      <c r="AJ931" s="58"/>
      <c r="AK931" s="58"/>
      <c r="AL931" s="58"/>
      <c r="AM931" s="58"/>
      <c r="AN931" s="58"/>
      <c r="AO931" s="58"/>
      <c r="AP931" s="58"/>
      <c r="AQ931" s="58"/>
      <c r="AR931" s="58"/>
    </row>
    <row r="932" spans="1:44" ht="15.75" customHeight="1" x14ac:dyDescent="0.25">
      <c r="A932" s="64"/>
      <c r="B932" s="62"/>
      <c r="C932" s="62"/>
      <c r="D932" s="62"/>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c r="AE932" s="58"/>
      <c r="AF932" s="58"/>
      <c r="AG932" s="58"/>
      <c r="AH932" s="58"/>
      <c r="AI932" s="58"/>
      <c r="AJ932" s="58"/>
      <c r="AK932" s="58"/>
      <c r="AL932" s="58"/>
      <c r="AM932" s="58"/>
      <c r="AN932" s="58"/>
      <c r="AO932" s="58"/>
      <c r="AP932" s="58"/>
      <c r="AQ932" s="58"/>
      <c r="AR932" s="58"/>
    </row>
    <row r="933" spans="1:44" ht="15.75" customHeight="1" x14ac:dyDescent="0.25">
      <c r="A933" s="64"/>
      <c r="B933" s="62"/>
      <c r="C933" s="62"/>
      <c r="D933" s="62"/>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c r="AE933" s="58"/>
      <c r="AF933" s="58"/>
      <c r="AG933" s="58"/>
      <c r="AH933" s="58"/>
      <c r="AI933" s="58"/>
      <c r="AJ933" s="58"/>
      <c r="AK933" s="58"/>
      <c r="AL933" s="58"/>
      <c r="AM933" s="58"/>
      <c r="AN933" s="58"/>
      <c r="AO933" s="58"/>
      <c r="AP933" s="58"/>
      <c r="AQ933" s="58"/>
      <c r="AR933" s="58"/>
    </row>
    <row r="934" spans="1:44" ht="15.75" customHeight="1" x14ac:dyDescent="0.25">
      <c r="A934" s="64"/>
      <c r="B934" s="62"/>
      <c r="C934" s="62"/>
      <c r="D934" s="62"/>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c r="AE934" s="58"/>
      <c r="AF934" s="58"/>
      <c r="AG934" s="58"/>
      <c r="AH934" s="58"/>
      <c r="AI934" s="58"/>
      <c r="AJ934" s="58"/>
      <c r="AK934" s="58"/>
      <c r="AL934" s="58"/>
      <c r="AM934" s="58"/>
      <c r="AN934" s="58"/>
      <c r="AO934" s="58"/>
      <c r="AP934" s="58"/>
      <c r="AQ934" s="58"/>
      <c r="AR934" s="58"/>
    </row>
    <row r="935" spans="1:44" ht="15.75" customHeight="1" x14ac:dyDescent="0.25">
      <c r="A935" s="64"/>
      <c r="B935" s="62"/>
      <c r="C935" s="62"/>
      <c r="D935" s="62"/>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c r="AE935" s="58"/>
      <c r="AF935" s="58"/>
      <c r="AG935" s="58"/>
      <c r="AH935" s="58"/>
      <c r="AI935" s="58"/>
      <c r="AJ935" s="58"/>
      <c r="AK935" s="58"/>
      <c r="AL935" s="58"/>
      <c r="AM935" s="58"/>
      <c r="AN935" s="58"/>
      <c r="AO935" s="58"/>
      <c r="AP935" s="58"/>
      <c r="AQ935" s="58"/>
      <c r="AR935" s="58"/>
    </row>
    <row r="936" spans="1:44" ht="15.75" customHeight="1" x14ac:dyDescent="0.25">
      <c r="A936" s="64"/>
      <c r="B936" s="62"/>
      <c r="C936" s="62"/>
      <c r="D936" s="62"/>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c r="AE936" s="58"/>
      <c r="AF936" s="58"/>
      <c r="AG936" s="58"/>
      <c r="AH936" s="58"/>
      <c r="AI936" s="58"/>
      <c r="AJ936" s="58"/>
      <c r="AK936" s="58"/>
      <c r="AL936" s="58"/>
      <c r="AM936" s="58"/>
      <c r="AN936" s="58"/>
      <c r="AO936" s="58"/>
      <c r="AP936" s="58"/>
      <c r="AQ936" s="58"/>
      <c r="AR936" s="58"/>
    </row>
    <row r="937" spans="1:44" ht="15.75" customHeight="1" x14ac:dyDescent="0.25">
      <c r="A937" s="64"/>
      <c r="B937" s="62"/>
      <c r="C937" s="62"/>
      <c r="D937" s="62"/>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c r="AE937" s="58"/>
      <c r="AF937" s="58"/>
      <c r="AG937" s="58"/>
      <c r="AH937" s="58"/>
      <c r="AI937" s="58"/>
      <c r="AJ937" s="58"/>
      <c r="AK937" s="58"/>
      <c r="AL937" s="58"/>
      <c r="AM937" s="58"/>
      <c r="AN937" s="58"/>
      <c r="AO937" s="58"/>
      <c r="AP937" s="58"/>
      <c r="AQ937" s="58"/>
      <c r="AR937" s="58"/>
    </row>
    <row r="938" spans="1:44" ht="15.75" customHeight="1" x14ac:dyDescent="0.25">
      <c r="A938" s="64"/>
      <c r="B938" s="62"/>
      <c r="C938" s="62"/>
      <c r="D938" s="62"/>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c r="AE938" s="58"/>
      <c r="AF938" s="58"/>
      <c r="AG938" s="58"/>
      <c r="AH938" s="58"/>
      <c r="AI938" s="58"/>
      <c r="AJ938" s="58"/>
      <c r="AK938" s="58"/>
      <c r="AL938" s="58"/>
      <c r="AM938" s="58"/>
      <c r="AN938" s="58"/>
      <c r="AO938" s="58"/>
      <c r="AP938" s="58"/>
      <c r="AQ938" s="58"/>
      <c r="AR938" s="58"/>
    </row>
    <row r="939" spans="1:44" ht="15.75" customHeight="1" x14ac:dyDescent="0.25">
      <c r="A939" s="64"/>
      <c r="B939" s="62"/>
      <c r="C939" s="62"/>
      <c r="D939" s="62"/>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c r="AE939" s="58"/>
      <c r="AF939" s="58"/>
      <c r="AG939" s="58"/>
      <c r="AH939" s="58"/>
      <c r="AI939" s="58"/>
      <c r="AJ939" s="58"/>
      <c r="AK939" s="58"/>
      <c r="AL939" s="58"/>
      <c r="AM939" s="58"/>
      <c r="AN939" s="58"/>
      <c r="AO939" s="58"/>
      <c r="AP939" s="58"/>
      <c r="AQ939" s="58"/>
      <c r="AR939" s="58"/>
    </row>
    <row r="940" spans="1:44" ht="15.75" customHeight="1" x14ac:dyDescent="0.25">
      <c r="A940" s="64"/>
      <c r="B940" s="62"/>
      <c r="C940" s="62"/>
      <c r="D940" s="62"/>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c r="AE940" s="58"/>
      <c r="AF940" s="58"/>
      <c r="AG940" s="58"/>
      <c r="AH940" s="58"/>
      <c r="AI940" s="58"/>
      <c r="AJ940" s="58"/>
      <c r="AK940" s="58"/>
      <c r="AL940" s="58"/>
      <c r="AM940" s="58"/>
      <c r="AN940" s="58"/>
      <c r="AO940" s="58"/>
      <c r="AP940" s="58"/>
      <c r="AQ940" s="58"/>
      <c r="AR940" s="58"/>
    </row>
    <row r="941" spans="1:44" ht="15.75" customHeight="1" x14ac:dyDescent="0.25">
      <c r="A941" s="64"/>
      <c r="B941" s="62"/>
      <c r="C941" s="62"/>
      <c r="D941" s="62"/>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c r="AE941" s="58"/>
      <c r="AF941" s="58"/>
      <c r="AG941" s="58"/>
      <c r="AH941" s="58"/>
      <c r="AI941" s="58"/>
      <c r="AJ941" s="58"/>
      <c r="AK941" s="58"/>
      <c r="AL941" s="58"/>
      <c r="AM941" s="58"/>
      <c r="AN941" s="58"/>
      <c r="AO941" s="58"/>
      <c r="AP941" s="58"/>
      <c r="AQ941" s="58"/>
      <c r="AR941" s="58"/>
    </row>
    <row r="942" spans="1:44" ht="15.75" customHeight="1" x14ac:dyDescent="0.25">
      <c r="A942" s="64"/>
      <c r="B942" s="62"/>
      <c r="C942" s="62"/>
      <c r="D942" s="62"/>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c r="AE942" s="58"/>
      <c r="AF942" s="58"/>
      <c r="AG942" s="58"/>
      <c r="AH942" s="58"/>
      <c r="AI942" s="58"/>
      <c r="AJ942" s="58"/>
      <c r="AK942" s="58"/>
      <c r="AL942" s="58"/>
      <c r="AM942" s="58"/>
      <c r="AN942" s="58"/>
      <c r="AO942" s="58"/>
      <c r="AP942" s="58"/>
      <c r="AQ942" s="58"/>
      <c r="AR942" s="58"/>
    </row>
    <row r="943" spans="1:44" ht="15.75" customHeight="1" x14ac:dyDescent="0.25">
      <c r="A943" s="64"/>
      <c r="B943" s="62"/>
      <c r="C943" s="62"/>
      <c r="D943" s="62"/>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c r="AE943" s="58"/>
      <c r="AF943" s="58"/>
      <c r="AG943" s="58"/>
      <c r="AH943" s="58"/>
      <c r="AI943" s="58"/>
      <c r="AJ943" s="58"/>
      <c r="AK943" s="58"/>
      <c r="AL943" s="58"/>
      <c r="AM943" s="58"/>
      <c r="AN943" s="58"/>
      <c r="AO943" s="58"/>
      <c r="AP943" s="58"/>
      <c r="AQ943" s="58"/>
      <c r="AR943" s="58"/>
    </row>
    <row r="944" spans="1:44" ht="15.75" customHeight="1" x14ac:dyDescent="0.25">
      <c r="A944" s="64"/>
      <c r="B944" s="62"/>
      <c r="C944" s="62"/>
      <c r="D944" s="62"/>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c r="AE944" s="58"/>
      <c r="AF944" s="58"/>
      <c r="AG944" s="58"/>
      <c r="AH944" s="58"/>
      <c r="AI944" s="58"/>
      <c r="AJ944" s="58"/>
      <c r="AK944" s="58"/>
      <c r="AL944" s="58"/>
      <c r="AM944" s="58"/>
      <c r="AN944" s="58"/>
      <c r="AO944" s="58"/>
      <c r="AP944" s="58"/>
      <c r="AQ944" s="58"/>
      <c r="AR944" s="58"/>
    </row>
    <row r="945" spans="1:44" ht="15.75" customHeight="1" x14ac:dyDescent="0.25">
      <c r="A945" s="64"/>
      <c r="B945" s="62"/>
      <c r="C945" s="62"/>
      <c r="D945" s="62"/>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c r="AE945" s="58"/>
      <c r="AF945" s="58"/>
      <c r="AG945" s="58"/>
      <c r="AH945" s="58"/>
      <c r="AI945" s="58"/>
      <c r="AJ945" s="58"/>
      <c r="AK945" s="58"/>
      <c r="AL945" s="58"/>
      <c r="AM945" s="58"/>
      <c r="AN945" s="58"/>
      <c r="AO945" s="58"/>
      <c r="AP945" s="58"/>
      <c r="AQ945" s="58"/>
      <c r="AR945" s="58"/>
    </row>
    <row r="946" spans="1:44" ht="15.75" customHeight="1" x14ac:dyDescent="0.25">
      <c r="A946" s="64"/>
      <c r="B946" s="62"/>
      <c r="C946" s="62"/>
      <c r="D946" s="62"/>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c r="AE946" s="58"/>
      <c r="AF946" s="58"/>
      <c r="AG946" s="58"/>
      <c r="AH946" s="58"/>
      <c r="AI946" s="58"/>
      <c r="AJ946" s="58"/>
      <c r="AK946" s="58"/>
      <c r="AL946" s="58"/>
      <c r="AM946" s="58"/>
      <c r="AN946" s="58"/>
      <c r="AO946" s="58"/>
      <c r="AP946" s="58"/>
      <c r="AQ946" s="58"/>
      <c r="AR946" s="58"/>
    </row>
    <row r="947" spans="1:44" ht="15.75" customHeight="1" x14ac:dyDescent="0.25">
      <c r="A947" s="64"/>
      <c r="B947" s="62"/>
      <c r="C947" s="62"/>
      <c r="D947" s="62"/>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c r="AE947" s="58"/>
      <c r="AF947" s="58"/>
      <c r="AG947" s="58"/>
      <c r="AH947" s="58"/>
      <c r="AI947" s="58"/>
      <c r="AJ947" s="58"/>
      <c r="AK947" s="58"/>
      <c r="AL947" s="58"/>
      <c r="AM947" s="58"/>
      <c r="AN947" s="58"/>
      <c r="AO947" s="58"/>
      <c r="AP947" s="58"/>
      <c r="AQ947" s="58"/>
      <c r="AR947" s="58"/>
    </row>
    <row r="948" spans="1:44" ht="15.75" customHeight="1" x14ac:dyDescent="0.25">
      <c r="A948" s="64"/>
      <c r="B948" s="62"/>
      <c r="C948" s="62"/>
      <c r="D948" s="62"/>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c r="AE948" s="58"/>
      <c r="AF948" s="58"/>
      <c r="AG948" s="58"/>
      <c r="AH948" s="58"/>
      <c r="AI948" s="58"/>
      <c r="AJ948" s="58"/>
      <c r="AK948" s="58"/>
      <c r="AL948" s="58"/>
      <c r="AM948" s="58"/>
      <c r="AN948" s="58"/>
      <c r="AO948" s="58"/>
      <c r="AP948" s="58"/>
      <c r="AQ948" s="58"/>
      <c r="AR948" s="58"/>
    </row>
    <row r="949" spans="1:44" ht="15.75" customHeight="1" x14ac:dyDescent="0.25">
      <c r="A949" s="64"/>
      <c r="B949" s="62"/>
      <c r="C949" s="62"/>
      <c r="D949" s="62"/>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c r="AE949" s="58"/>
      <c r="AF949" s="58"/>
      <c r="AG949" s="58"/>
      <c r="AH949" s="58"/>
      <c r="AI949" s="58"/>
      <c r="AJ949" s="58"/>
      <c r="AK949" s="58"/>
      <c r="AL949" s="58"/>
      <c r="AM949" s="58"/>
      <c r="AN949" s="58"/>
      <c r="AO949" s="58"/>
      <c r="AP949" s="58"/>
      <c r="AQ949" s="58"/>
      <c r="AR949" s="58"/>
    </row>
    <row r="950" spans="1:44" ht="15.75" customHeight="1" x14ac:dyDescent="0.25">
      <c r="A950" s="64"/>
      <c r="B950" s="62"/>
      <c r="C950" s="62"/>
      <c r="D950" s="62"/>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c r="AE950" s="58"/>
      <c r="AF950" s="58"/>
      <c r="AG950" s="58"/>
      <c r="AH950" s="58"/>
      <c r="AI950" s="58"/>
      <c r="AJ950" s="58"/>
      <c r="AK950" s="58"/>
      <c r="AL950" s="58"/>
      <c r="AM950" s="58"/>
      <c r="AN950" s="58"/>
      <c r="AO950" s="58"/>
      <c r="AP950" s="58"/>
      <c r="AQ950" s="58"/>
      <c r="AR950" s="58"/>
    </row>
    <row r="951" spans="1:44" ht="15.75" customHeight="1" x14ac:dyDescent="0.25">
      <c r="A951" s="64"/>
      <c r="B951" s="62"/>
      <c r="C951" s="62"/>
      <c r="D951" s="62"/>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c r="AE951" s="58"/>
      <c r="AF951" s="58"/>
      <c r="AG951" s="58"/>
      <c r="AH951" s="58"/>
      <c r="AI951" s="58"/>
      <c r="AJ951" s="58"/>
      <c r="AK951" s="58"/>
      <c r="AL951" s="58"/>
      <c r="AM951" s="58"/>
      <c r="AN951" s="58"/>
      <c r="AO951" s="58"/>
      <c r="AP951" s="58"/>
      <c r="AQ951" s="58"/>
      <c r="AR951" s="58"/>
    </row>
    <row r="952" spans="1:44" ht="15.75" customHeight="1" x14ac:dyDescent="0.25">
      <c r="A952" s="64"/>
      <c r="B952" s="62"/>
      <c r="C952" s="62"/>
      <c r="D952" s="62"/>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c r="AE952" s="58"/>
      <c r="AF952" s="58"/>
      <c r="AG952" s="58"/>
      <c r="AH952" s="58"/>
      <c r="AI952" s="58"/>
      <c r="AJ952" s="58"/>
      <c r="AK952" s="58"/>
      <c r="AL952" s="58"/>
      <c r="AM952" s="58"/>
      <c r="AN952" s="58"/>
      <c r="AO952" s="58"/>
      <c r="AP952" s="58"/>
      <c r="AQ952" s="58"/>
      <c r="AR952" s="58"/>
    </row>
    <row r="953" spans="1:44" ht="15.75" customHeight="1" x14ac:dyDescent="0.25">
      <c r="A953" s="64"/>
      <c r="B953" s="62"/>
      <c r="C953" s="62"/>
      <c r="D953" s="62"/>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c r="AE953" s="58"/>
      <c r="AF953" s="58"/>
      <c r="AG953" s="58"/>
      <c r="AH953" s="58"/>
      <c r="AI953" s="58"/>
      <c r="AJ953" s="58"/>
      <c r="AK953" s="58"/>
      <c r="AL953" s="58"/>
      <c r="AM953" s="58"/>
      <c r="AN953" s="58"/>
      <c r="AO953" s="58"/>
      <c r="AP953" s="58"/>
      <c r="AQ953" s="58"/>
      <c r="AR953" s="58"/>
    </row>
    <row r="954" spans="1:44" ht="15.75" customHeight="1" x14ac:dyDescent="0.25">
      <c r="A954" s="64"/>
      <c r="B954" s="62"/>
      <c r="C954" s="62"/>
      <c r="D954" s="62"/>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c r="AE954" s="58"/>
      <c r="AF954" s="58"/>
      <c r="AG954" s="58"/>
      <c r="AH954" s="58"/>
      <c r="AI954" s="58"/>
      <c r="AJ954" s="58"/>
      <c r="AK954" s="58"/>
      <c r="AL954" s="58"/>
      <c r="AM954" s="58"/>
      <c r="AN954" s="58"/>
      <c r="AO954" s="58"/>
      <c r="AP954" s="58"/>
      <c r="AQ954" s="58"/>
      <c r="AR954" s="58"/>
    </row>
    <row r="955" spans="1:44" ht="15.75" customHeight="1" x14ac:dyDescent="0.25">
      <c r="A955" s="64"/>
      <c r="B955" s="62"/>
      <c r="C955" s="62"/>
      <c r="D955" s="62"/>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c r="AE955" s="58"/>
      <c r="AF955" s="58"/>
      <c r="AG955" s="58"/>
      <c r="AH955" s="58"/>
      <c r="AI955" s="58"/>
      <c r="AJ955" s="58"/>
      <c r="AK955" s="58"/>
      <c r="AL955" s="58"/>
      <c r="AM955" s="58"/>
      <c r="AN955" s="58"/>
      <c r="AO955" s="58"/>
      <c r="AP955" s="58"/>
      <c r="AQ955" s="58"/>
      <c r="AR955" s="58"/>
    </row>
    <row r="956" spans="1:44" ht="15.75" customHeight="1" x14ac:dyDescent="0.25">
      <c r="A956" s="64"/>
      <c r="B956" s="62"/>
      <c r="C956" s="62"/>
      <c r="D956" s="62"/>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c r="AE956" s="58"/>
      <c r="AF956" s="58"/>
      <c r="AG956" s="58"/>
      <c r="AH956" s="58"/>
      <c r="AI956" s="58"/>
      <c r="AJ956" s="58"/>
      <c r="AK956" s="58"/>
      <c r="AL956" s="58"/>
      <c r="AM956" s="58"/>
      <c r="AN956" s="58"/>
      <c r="AO956" s="58"/>
      <c r="AP956" s="58"/>
      <c r="AQ956" s="58"/>
      <c r="AR956" s="58"/>
    </row>
    <row r="957" spans="1:44" ht="15.75" customHeight="1" x14ac:dyDescent="0.25">
      <c r="A957" s="64"/>
      <c r="B957" s="62"/>
      <c r="C957" s="62"/>
      <c r="D957" s="62"/>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c r="AE957" s="58"/>
      <c r="AF957" s="58"/>
      <c r="AG957" s="58"/>
      <c r="AH957" s="58"/>
      <c r="AI957" s="58"/>
      <c r="AJ957" s="58"/>
      <c r="AK957" s="58"/>
      <c r="AL957" s="58"/>
      <c r="AM957" s="58"/>
      <c r="AN957" s="58"/>
      <c r="AO957" s="58"/>
      <c r="AP957" s="58"/>
      <c r="AQ957" s="58"/>
      <c r="AR957" s="58"/>
    </row>
    <row r="958" spans="1:44" ht="15.75" customHeight="1" x14ac:dyDescent="0.25">
      <c r="A958" s="64"/>
      <c r="B958" s="62"/>
      <c r="C958" s="62"/>
      <c r="D958" s="62"/>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c r="AE958" s="58"/>
      <c r="AF958" s="58"/>
      <c r="AG958" s="58"/>
      <c r="AH958" s="58"/>
      <c r="AI958" s="58"/>
      <c r="AJ958" s="58"/>
      <c r="AK958" s="58"/>
      <c r="AL958" s="58"/>
      <c r="AM958" s="58"/>
      <c r="AN958" s="58"/>
      <c r="AO958" s="58"/>
      <c r="AP958" s="58"/>
      <c r="AQ958" s="58"/>
      <c r="AR958" s="58"/>
    </row>
    <row r="959" spans="1:44" ht="15.75" customHeight="1" x14ac:dyDescent="0.25">
      <c r="A959" s="64"/>
      <c r="B959" s="62"/>
      <c r="C959" s="62"/>
      <c r="D959" s="62"/>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c r="AE959" s="58"/>
      <c r="AF959" s="58"/>
      <c r="AG959" s="58"/>
      <c r="AH959" s="58"/>
      <c r="AI959" s="58"/>
      <c r="AJ959" s="58"/>
      <c r="AK959" s="58"/>
      <c r="AL959" s="58"/>
      <c r="AM959" s="58"/>
      <c r="AN959" s="58"/>
      <c r="AO959" s="58"/>
      <c r="AP959" s="58"/>
      <c r="AQ959" s="58"/>
      <c r="AR959" s="58"/>
    </row>
    <row r="960" spans="1:44" ht="15.75" customHeight="1" x14ac:dyDescent="0.25">
      <c r="A960" s="64"/>
      <c r="B960" s="62"/>
      <c r="C960" s="62"/>
      <c r="D960" s="62"/>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c r="AE960" s="58"/>
      <c r="AF960" s="58"/>
      <c r="AG960" s="58"/>
      <c r="AH960" s="58"/>
      <c r="AI960" s="58"/>
      <c r="AJ960" s="58"/>
      <c r="AK960" s="58"/>
      <c r="AL960" s="58"/>
      <c r="AM960" s="58"/>
      <c r="AN960" s="58"/>
      <c r="AO960" s="58"/>
      <c r="AP960" s="58"/>
      <c r="AQ960" s="58"/>
      <c r="AR960" s="58"/>
    </row>
    <row r="961" spans="1:44" ht="15.75" customHeight="1" x14ac:dyDescent="0.25">
      <c r="A961" s="64"/>
      <c r="B961" s="62"/>
      <c r="C961" s="62"/>
      <c r="D961" s="62"/>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c r="AE961" s="58"/>
      <c r="AF961" s="58"/>
      <c r="AG961" s="58"/>
      <c r="AH961" s="58"/>
      <c r="AI961" s="58"/>
      <c r="AJ961" s="58"/>
      <c r="AK961" s="58"/>
      <c r="AL961" s="58"/>
      <c r="AM961" s="58"/>
      <c r="AN961" s="58"/>
      <c r="AO961" s="58"/>
      <c r="AP961" s="58"/>
      <c r="AQ961" s="58"/>
      <c r="AR961" s="58"/>
    </row>
    <row r="962" spans="1:44" ht="15.75" customHeight="1" x14ac:dyDescent="0.25">
      <c r="A962" s="64"/>
      <c r="B962" s="62"/>
      <c r="C962" s="62"/>
      <c r="D962" s="62"/>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c r="AE962" s="58"/>
      <c r="AF962" s="58"/>
      <c r="AG962" s="58"/>
      <c r="AH962" s="58"/>
      <c r="AI962" s="58"/>
      <c r="AJ962" s="58"/>
      <c r="AK962" s="58"/>
      <c r="AL962" s="58"/>
      <c r="AM962" s="58"/>
      <c r="AN962" s="58"/>
      <c r="AO962" s="58"/>
      <c r="AP962" s="58"/>
      <c r="AQ962" s="58"/>
      <c r="AR962" s="58"/>
    </row>
    <row r="963" spans="1:44" ht="15.75" customHeight="1" x14ac:dyDescent="0.25">
      <c r="A963" s="64"/>
      <c r="B963" s="62"/>
      <c r="C963" s="62"/>
      <c r="D963" s="62"/>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c r="AE963" s="58"/>
      <c r="AF963" s="58"/>
      <c r="AG963" s="58"/>
      <c r="AH963" s="58"/>
      <c r="AI963" s="58"/>
      <c r="AJ963" s="58"/>
      <c r="AK963" s="58"/>
      <c r="AL963" s="58"/>
      <c r="AM963" s="58"/>
      <c r="AN963" s="58"/>
      <c r="AO963" s="58"/>
      <c r="AP963" s="58"/>
      <c r="AQ963" s="58"/>
      <c r="AR963" s="58"/>
    </row>
    <row r="964" spans="1:44" ht="15.75" customHeight="1" x14ac:dyDescent="0.25">
      <c r="A964" s="64"/>
      <c r="B964" s="62"/>
      <c r="C964" s="62"/>
      <c r="D964" s="62"/>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c r="AE964" s="58"/>
      <c r="AF964" s="58"/>
      <c r="AG964" s="58"/>
      <c r="AH964" s="58"/>
      <c r="AI964" s="58"/>
      <c r="AJ964" s="58"/>
      <c r="AK964" s="58"/>
      <c r="AL964" s="58"/>
      <c r="AM964" s="58"/>
      <c r="AN964" s="58"/>
      <c r="AO964" s="58"/>
      <c r="AP964" s="58"/>
      <c r="AQ964" s="58"/>
      <c r="AR964" s="58"/>
    </row>
    <row r="965" spans="1:44" ht="15.75" customHeight="1" x14ac:dyDescent="0.25">
      <c r="A965" s="64"/>
      <c r="B965" s="62"/>
      <c r="C965" s="62"/>
      <c r="D965" s="62"/>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c r="AE965" s="58"/>
      <c r="AF965" s="58"/>
      <c r="AG965" s="58"/>
      <c r="AH965" s="58"/>
      <c r="AI965" s="58"/>
      <c r="AJ965" s="58"/>
      <c r="AK965" s="58"/>
      <c r="AL965" s="58"/>
      <c r="AM965" s="58"/>
      <c r="AN965" s="58"/>
      <c r="AO965" s="58"/>
      <c r="AP965" s="58"/>
      <c r="AQ965" s="58"/>
      <c r="AR965" s="58"/>
    </row>
    <row r="966" spans="1:44" ht="15.75" customHeight="1" x14ac:dyDescent="0.25">
      <c r="A966" s="64"/>
      <c r="B966" s="62"/>
      <c r="C966" s="62"/>
      <c r="D966" s="62"/>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c r="AE966" s="58"/>
      <c r="AF966" s="58"/>
      <c r="AG966" s="58"/>
      <c r="AH966" s="58"/>
      <c r="AI966" s="58"/>
      <c r="AJ966" s="58"/>
      <c r="AK966" s="58"/>
      <c r="AL966" s="58"/>
      <c r="AM966" s="58"/>
      <c r="AN966" s="58"/>
      <c r="AO966" s="58"/>
      <c r="AP966" s="58"/>
      <c r="AQ966" s="58"/>
      <c r="AR966" s="58"/>
    </row>
    <row r="967" spans="1:44" ht="15.75" customHeight="1" x14ac:dyDescent="0.25">
      <c r="A967" s="64"/>
      <c r="B967" s="62"/>
      <c r="C967" s="62"/>
      <c r="D967" s="62"/>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c r="AE967" s="58"/>
      <c r="AF967" s="58"/>
      <c r="AG967" s="58"/>
      <c r="AH967" s="58"/>
      <c r="AI967" s="58"/>
      <c r="AJ967" s="58"/>
      <c r="AK967" s="58"/>
      <c r="AL967" s="58"/>
      <c r="AM967" s="58"/>
      <c r="AN967" s="58"/>
      <c r="AO967" s="58"/>
      <c r="AP967" s="58"/>
      <c r="AQ967" s="58"/>
      <c r="AR967" s="58"/>
    </row>
    <row r="968" spans="1:44" ht="15.75" customHeight="1" x14ac:dyDescent="0.25">
      <c r="A968" s="64"/>
      <c r="B968" s="62"/>
      <c r="C968" s="62"/>
      <c r="D968" s="62"/>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c r="AE968" s="58"/>
      <c r="AF968" s="58"/>
      <c r="AG968" s="58"/>
      <c r="AH968" s="58"/>
      <c r="AI968" s="58"/>
      <c r="AJ968" s="58"/>
      <c r="AK968" s="58"/>
      <c r="AL968" s="58"/>
      <c r="AM968" s="58"/>
      <c r="AN968" s="58"/>
      <c r="AO968" s="58"/>
      <c r="AP968" s="58"/>
      <c r="AQ968" s="58"/>
      <c r="AR968" s="58"/>
    </row>
    <row r="969" spans="1:44" ht="15.75" customHeight="1" x14ac:dyDescent="0.25">
      <c r="A969" s="64"/>
      <c r="B969" s="62"/>
      <c r="C969" s="62"/>
      <c r="D969" s="62"/>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c r="AE969" s="58"/>
      <c r="AF969" s="58"/>
      <c r="AG969" s="58"/>
      <c r="AH969" s="58"/>
      <c r="AI969" s="58"/>
      <c r="AJ969" s="58"/>
      <c r="AK969" s="58"/>
      <c r="AL969" s="58"/>
      <c r="AM969" s="58"/>
      <c r="AN969" s="58"/>
      <c r="AO969" s="58"/>
      <c r="AP969" s="58"/>
      <c r="AQ969" s="58"/>
      <c r="AR969" s="58"/>
    </row>
    <row r="970" spans="1:44" ht="15.75" customHeight="1" x14ac:dyDescent="0.25">
      <c r="A970" s="64"/>
      <c r="B970" s="62"/>
      <c r="C970" s="62"/>
      <c r="D970" s="62"/>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c r="AE970" s="58"/>
      <c r="AF970" s="58"/>
      <c r="AG970" s="58"/>
      <c r="AH970" s="58"/>
      <c r="AI970" s="58"/>
      <c r="AJ970" s="58"/>
      <c r="AK970" s="58"/>
      <c r="AL970" s="58"/>
      <c r="AM970" s="58"/>
      <c r="AN970" s="58"/>
      <c r="AO970" s="58"/>
      <c r="AP970" s="58"/>
      <c r="AQ970" s="58"/>
      <c r="AR970" s="58"/>
    </row>
    <row r="971" spans="1:44" ht="15.75" customHeight="1" x14ac:dyDescent="0.25">
      <c r="A971" s="64"/>
      <c r="B971" s="62"/>
      <c r="C971" s="62"/>
      <c r="D971" s="62"/>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c r="AE971" s="58"/>
      <c r="AF971" s="58"/>
      <c r="AG971" s="58"/>
      <c r="AH971" s="58"/>
      <c r="AI971" s="58"/>
      <c r="AJ971" s="58"/>
      <c r="AK971" s="58"/>
      <c r="AL971" s="58"/>
      <c r="AM971" s="58"/>
      <c r="AN971" s="58"/>
      <c r="AO971" s="58"/>
      <c r="AP971" s="58"/>
      <c r="AQ971" s="58"/>
      <c r="AR971" s="58"/>
    </row>
    <row r="972" spans="1:44" ht="15.75" customHeight="1" x14ac:dyDescent="0.25">
      <c r="A972" s="64"/>
      <c r="B972" s="62"/>
      <c r="C972" s="62"/>
      <c r="D972" s="62"/>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c r="AE972" s="58"/>
      <c r="AF972" s="58"/>
      <c r="AG972" s="58"/>
      <c r="AH972" s="58"/>
      <c r="AI972" s="58"/>
      <c r="AJ972" s="58"/>
      <c r="AK972" s="58"/>
      <c r="AL972" s="58"/>
      <c r="AM972" s="58"/>
      <c r="AN972" s="58"/>
      <c r="AO972" s="58"/>
      <c r="AP972" s="58"/>
      <c r="AQ972" s="58"/>
      <c r="AR972" s="58"/>
    </row>
    <row r="973" spans="1:44" ht="15.75" customHeight="1" x14ac:dyDescent="0.25">
      <c r="A973" s="64"/>
      <c r="B973" s="62"/>
      <c r="C973" s="62"/>
      <c r="D973" s="62"/>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c r="AE973" s="58"/>
      <c r="AF973" s="58"/>
      <c r="AG973" s="58"/>
      <c r="AH973" s="58"/>
      <c r="AI973" s="58"/>
      <c r="AJ973" s="58"/>
      <c r="AK973" s="58"/>
      <c r="AL973" s="58"/>
      <c r="AM973" s="58"/>
      <c r="AN973" s="58"/>
      <c r="AO973" s="58"/>
      <c r="AP973" s="58"/>
      <c r="AQ973" s="58"/>
      <c r="AR973" s="58"/>
    </row>
    <row r="974" spans="1:44" ht="15.75" customHeight="1" x14ac:dyDescent="0.25">
      <c r="A974" s="64"/>
      <c r="B974" s="62"/>
      <c r="C974" s="62"/>
      <c r="D974" s="62"/>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c r="AE974" s="58"/>
      <c r="AF974" s="58"/>
      <c r="AG974" s="58"/>
      <c r="AH974" s="58"/>
      <c r="AI974" s="58"/>
      <c r="AJ974" s="58"/>
      <c r="AK974" s="58"/>
      <c r="AL974" s="58"/>
      <c r="AM974" s="58"/>
      <c r="AN974" s="58"/>
      <c r="AO974" s="58"/>
      <c r="AP974" s="58"/>
      <c r="AQ974" s="58"/>
      <c r="AR974" s="58"/>
    </row>
    <row r="975" spans="1:44" ht="15.75" customHeight="1" x14ac:dyDescent="0.25">
      <c r="A975" s="64"/>
      <c r="B975" s="62"/>
      <c r="C975" s="62"/>
      <c r="D975" s="62"/>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c r="AE975" s="58"/>
      <c r="AF975" s="58"/>
      <c r="AG975" s="58"/>
      <c r="AH975" s="58"/>
      <c r="AI975" s="58"/>
      <c r="AJ975" s="58"/>
      <c r="AK975" s="58"/>
      <c r="AL975" s="58"/>
      <c r="AM975" s="58"/>
      <c r="AN975" s="58"/>
      <c r="AO975" s="58"/>
      <c r="AP975" s="58"/>
      <c r="AQ975" s="58"/>
      <c r="AR975" s="58"/>
    </row>
    <row r="976" spans="1:44" ht="15.75" customHeight="1" x14ac:dyDescent="0.25">
      <c r="A976" s="64"/>
      <c r="B976" s="62"/>
      <c r="C976" s="62"/>
      <c r="D976" s="62"/>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c r="AE976" s="58"/>
      <c r="AF976" s="58"/>
      <c r="AG976" s="58"/>
      <c r="AH976" s="58"/>
      <c r="AI976" s="58"/>
      <c r="AJ976" s="58"/>
      <c r="AK976" s="58"/>
      <c r="AL976" s="58"/>
      <c r="AM976" s="58"/>
      <c r="AN976" s="58"/>
      <c r="AO976" s="58"/>
      <c r="AP976" s="58"/>
      <c r="AQ976" s="58"/>
      <c r="AR976" s="58"/>
    </row>
    <row r="977" spans="1:44" ht="15.75" customHeight="1" x14ac:dyDescent="0.25">
      <c r="A977" s="64"/>
      <c r="B977" s="62"/>
      <c r="C977" s="62"/>
      <c r="D977" s="62"/>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c r="AE977" s="58"/>
      <c r="AF977" s="58"/>
      <c r="AG977" s="58"/>
      <c r="AH977" s="58"/>
      <c r="AI977" s="58"/>
      <c r="AJ977" s="58"/>
      <c r="AK977" s="58"/>
      <c r="AL977" s="58"/>
      <c r="AM977" s="58"/>
      <c r="AN977" s="58"/>
      <c r="AO977" s="58"/>
      <c r="AP977" s="58"/>
      <c r="AQ977" s="58"/>
      <c r="AR977" s="58"/>
    </row>
    <row r="978" spans="1:44" ht="15.75" customHeight="1" x14ac:dyDescent="0.25">
      <c r="A978" s="64"/>
      <c r="B978" s="62"/>
      <c r="C978" s="62"/>
      <c r="D978" s="62"/>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c r="AE978" s="58"/>
      <c r="AF978" s="58"/>
      <c r="AG978" s="58"/>
      <c r="AH978" s="58"/>
      <c r="AI978" s="58"/>
      <c r="AJ978" s="58"/>
      <c r="AK978" s="58"/>
      <c r="AL978" s="58"/>
      <c r="AM978" s="58"/>
      <c r="AN978" s="58"/>
      <c r="AO978" s="58"/>
      <c r="AP978" s="58"/>
      <c r="AQ978" s="58"/>
      <c r="AR978" s="58"/>
    </row>
    <row r="979" spans="1:44" ht="15.75" customHeight="1" x14ac:dyDescent="0.25">
      <c r="A979" s="64"/>
      <c r="B979" s="62"/>
      <c r="C979" s="62"/>
      <c r="D979" s="62"/>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c r="AE979" s="58"/>
      <c r="AF979" s="58"/>
      <c r="AG979" s="58"/>
      <c r="AH979" s="58"/>
      <c r="AI979" s="58"/>
      <c r="AJ979" s="58"/>
      <c r="AK979" s="58"/>
      <c r="AL979" s="58"/>
      <c r="AM979" s="58"/>
      <c r="AN979" s="58"/>
      <c r="AO979" s="58"/>
      <c r="AP979" s="58"/>
      <c r="AQ979" s="58"/>
      <c r="AR979" s="58"/>
    </row>
    <row r="980" spans="1:44" ht="15.75" customHeight="1" x14ac:dyDescent="0.25">
      <c r="A980" s="64"/>
      <c r="B980" s="62"/>
      <c r="C980" s="62"/>
      <c r="D980" s="62"/>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c r="AE980" s="58"/>
      <c r="AF980" s="58"/>
      <c r="AG980" s="58"/>
      <c r="AH980" s="58"/>
      <c r="AI980" s="58"/>
      <c r="AJ980" s="58"/>
      <c r="AK980" s="58"/>
      <c r="AL980" s="58"/>
      <c r="AM980" s="58"/>
      <c r="AN980" s="58"/>
      <c r="AO980" s="58"/>
      <c r="AP980" s="58"/>
      <c r="AQ980" s="58"/>
      <c r="AR980" s="58"/>
    </row>
    <row r="981" spans="1:44" ht="15.75" customHeight="1" x14ac:dyDescent="0.25">
      <c r="A981" s="64"/>
      <c r="B981" s="62"/>
      <c r="C981" s="62"/>
      <c r="D981" s="62"/>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c r="AE981" s="58"/>
      <c r="AF981" s="58"/>
      <c r="AG981" s="58"/>
      <c r="AH981" s="58"/>
      <c r="AI981" s="58"/>
      <c r="AJ981" s="58"/>
      <c r="AK981" s="58"/>
      <c r="AL981" s="58"/>
      <c r="AM981" s="58"/>
      <c r="AN981" s="58"/>
      <c r="AO981" s="58"/>
      <c r="AP981" s="58"/>
      <c r="AQ981" s="58"/>
      <c r="AR981" s="58"/>
    </row>
    <row r="982" spans="1:44" ht="15.75" customHeight="1" x14ac:dyDescent="0.25">
      <c r="A982" s="64"/>
      <c r="B982" s="62"/>
      <c r="C982" s="62"/>
      <c r="D982" s="62"/>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c r="AE982" s="58"/>
      <c r="AF982" s="58"/>
      <c r="AG982" s="58"/>
      <c r="AH982" s="58"/>
      <c r="AI982" s="58"/>
      <c r="AJ982" s="58"/>
      <c r="AK982" s="58"/>
      <c r="AL982" s="58"/>
      <c r="AM982" s="58"/>
      <c r="AN982" s="58"/>
      <c r="AO982" s="58"/>
      <c r="AP982" s="58"/>
      <c r="AQ982" s="58"/>
      <c r="AR982" s="58"/>
    </row>
    <row r="983" spans="1:44" ht="15.75" customHeight="1" x14ac:dyDescent="0.25">
      <c r="A983" s="64"/>
      <c r="B983" s="62"/>
      <c r="C983" s="62"/>
      <c r="D983" s="62"/>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c r="AE983" s="58"/>
      <c r="AF983" s="58"/>
      <c r="AG983" s="58"/>
      <c r="AH983" s="58"/>
      <c r="AI983" s="58"/>
      <c r="AJ983" s="58"/>
      <c r="AK983" s="58"/>
      <c r="AL983" s="58"/>
      <c r="AM983" s="58"/>
      <c r="AN983" s="58"/>
      <c r="AO983" s="58"/>
      <c r="AP983" s="58"/>
      <c r="AQ983" s="58"/>
      <c r="AR983" s="58"/>
    </row>
    <row r="984" spans="1:44" ht="15.75" customHeight="1" x14ac:dyDescent="0.25">
      <c r="A984" s="64"/>
      <c r="B984" s="62"/>
      <c r="C984" s="62"/>
      <c r="D984" s="62"/>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c r="AE984" s="58"/>
      <c r="AF984" s="58"/>
      <c r="AG984" s="58"/>
      <c r="AH984" s="58"/>
      <c r="AI984" s="58"/>
      <c r="AJ984" s="58"/>
      <c r="AK984" s="58"/>
      <c r="AL984" s="58"/>
      <c r="AM984" s="58"/>
      <c r="AN984" s="58"/>
      <c r="AO984" s="58"/>
      <c r="AP984" s="58"/>
      <c r="AQ984" s="58"/>
      <c r="AR984" s="58"/>
    </row>
    <row r="985" spans="1:44" ht="15.75" customHeight="1" x14ac:dyDescent="0.25">
      <c r="A985" s="64"/>
      <c r="B985" s="62"/>
      <c r="C985" s="62"/>
      <c r="D985" s="62"/>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c r="AE985" s="58"/>
      <c r="AF985" s="58"/>
      <c r="AG985" s="58"/>
      <c r="AH985" s="58"/>
      <c r="AI985" s="58"/>
      <c r="AJ985" s="58"/>
      <c r="AK985" s="58"/>
      <c r="AL985" s="58"/>
      <c r="AM985" s="58"/>
      <c r="AN985" s="58"/>
      <c r="AO985" s="58"/>
      <c r="AP985" s="58"/>
      <c r="AQ985" s="58"/>
      <c r="AR985" s="58"/>
    </row>
    <row r="986" spans="1:44" ht="15.75" customHeight="1" x14ac:dyDescent="0.25">
      <c r="A986" s="64"/>
      <c r="B986" s="62"/>
      <c r="C986" s="62"/>
      <c r="D986" s="62"/>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c r="AE986" s="58"/>
      <c r="AF986" s="58"/>
      <c r="AG986" s="58"/>
      <c r="AH986" s="58"/>
      <c r="AI986" s="58"/>
      <c r="AJ986" s="58"/>
      <c r="AK986" s="58"/>
      <c r="AL986" s="58"/>
      <c r="AM986" s="58"/>
      <c r="AN986" s="58"/>
      <c r="AO986" s="58"/>
      <c r="AP986" s="58"/>
      <c r="AQ986" s="58"/>
      <c r="AR986" s="58"/>
    </row>
    <row r="987" spans="1:44" ht="15.75" customHeight="1" x14ac:dyDescent="0.25">
      <c r="A987" s="64"/>
      <c r="B987" s="62"/>
      <c r="C987" s="62"/>
      <c r="D987" s="62"/>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c r="AE987" s="58"/>
      <c r="AF987" s="58"/>
      <c r="AG987" s="58"/>
      <c r="AH987" s="58"/>
      <c r="AI987" s="58"/>
      <c r="AJ987" s="58"/>
      <c r="AK987" s="58"/>
      <c r="AL987" s="58"/>
      <c r="AM987" s="58"/>
      <c r="AN987" s="58"/>
      <c r="AO987" s="58"/>
      <c r="AP987" s="58"/>
      <c r="AQ987" s="58"/>
      <c r="AR987" s="58"/>
    </row>
    <row r="988" spans="1:44" ht="15.75" customHeight="1" x14ac:dyDescent="0.25">
      <c r="A988" s="64"/>
      <c r="B988" s="62"/>
      <c r="C988" s="62"/>
      <c r="D988" s="62"/>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c r="AE988" s="58"/>
      <c r="AF988" s="58"/>
      <c r="AG988" s="58"/>
      <c r="AH988" s="58"/>
      <c r="AI988" s="58"/>
      <c r="AJ988" s="58"/>
      <c r="AK988" s="58"/>
      <c r="AL988" s="58"/>
      <c r="AM988" s="58"/>
      <c r="AN988" s="58"/>
      <c r="AO988" s="58"/>
      <c r="AP988" s="58"/>
      <c r="AQ988" s="58"/>
      <c r="AR988" s="58"/>
    </row>
    <row r="989" spans="1:44" ht="15.75" customHeight="1" x14ac:dyDescent="0.25">
      <c r="A989" s="64"/>
      <c r="B989" s="62"/>
      <c r="C989" s="62"/>
      <c r="D989" s="62"/>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c r="AE989" s="58"/>
      <c r="AF989" s="58"/>
      <c r="AG989" s="58"/>
      <c r="AH989" s="58"/>
      <c r="AI989" s="58"/>
      <c r="AJ989" s="58"/>
      <c r="AK989" s="58"/>
      <c r="AL989" s="58"/>
      <c r="AM989" s="58"/>
      <c r="AN989" s="58"/>
      <c r="AO989" s="58"/>
      <c r="AP989" s="58"/>
      <c r="AQ989" s="58"/>
      <c r="AR989" s="58"/>
    </row>
    <row r="990" spans="1:44" ht="15.75" customHeight="1" x14ac:dyDescent="0.25">
      <c r="A990" s="64"/>
      <c r="B990" s="62"/>
      <c r="C990" s="62"/>
      <c r="D990" s="62"/>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c r="AE990" s="58"/>
      <c r="AF990" s="58"/>
      <c r="AG990" s="58"/>
      <c r="AH990" s="58"/>
      <c r="AI990" s="58"/>
      <c r="AJ990" s="58"/>
      <c r="AK990" s="58"/>
      <c r="AL990" s="58"/>
      <c r="AM990" s="58"/>
      <c r="AN990" s="58"/>
      <c r="AO990" s="58"/>
      <c r="AP990" s="58"/>
      <c r="AQ990" s="58"/>
      <c r="AR990" s="58"/>
    </row>
    <row r="991" spans="1:44" ht="15.75" customHeight="1" x14ac:dyDescent="0.25">
      <c r="A991" s="64"/>
      <c r="B991" s="62"/>
      <c r="C991" s="62"/>
      <c r="D991" s="62"/>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c r="AE991" s="58"/>
      <c r="AF991" s="58"/>
      <c r="AG991" s="58"/>
      <c r="AH991" s="58"/>
      <c r="AI991" s="58"/>
      <c r="AJ991" s="58"/>
      <c r="AK991" s="58"/>
      <c r="AL991" s="58"/>
      <c r="AM991" s="58"/>
      <c r="AN991" s="58"/>
      <c r="AO991" s="58"/>
      <c r="AP991" s="58"/>
      <c r="AQ991" s="58"/>
      <c r="AR991" s="58"/>
    </row>
    <row r="992" spans="1:44" ht="15.75" customHeight="1" x14ac:dyDescent="0.25">
      <c r="A992" s="64"/>
      <c r="B992" s="62"/>
      <c r="C992" s="62"/>
      <c r="D992" s="62"/>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c r="AE992" s="58"/>
      <c r="AF992" s="58"/>
      <c r="AG992" s="58"/>
      <c r="AH992" s="58"/>
      <c r="AI992" s="58"/>
      <c r="AJ992" s="58"/>
      <c r="AK992" s="58"/>
      <c r="AL992" s="58"/>
      <c r="AM992" s="58"/>
      <c r="AN992" s="58"/>
      <c r="AO992" s="58"/>
      <c r="AP992" s="58"/>
      <c r="AQ992" s="58"/>
      <c r="AR992" s="58"/>
    </row>
    <row r="993" spans="1:44" ht="15.75" customHeight="1" x14ac:dyDescent="0.25">
      <c r="A993" s="64"/>
      <c r="B993" s="62"/>
      <c r="C993" s="62"/>
      <c r="D993" s="62"/>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c r="AE993" s="58"/>
      <c r="AF993" s="58"/>
      <c r="AG993" s="58"/>
      <c r="AH993" s="58"/>
      <c r="AI993" s="58"/>
      <c r="AJ993" s="58"/>
      <c r="AK993" s="58"/>
      <c r="AL993" s="58"/>
      <c r="AM993" s="58"/>
      <c r="AN993" s="58"/>
      <c r="AO993" s="58"/>
      <c r="AP993" s="58"/>
      <c r="AQ993" s="58"/>
      <c r="AR993" s="58"/>
    </row>
    <row r="994" spans="1:44" ht="15.75" customHeight="1" x14ac:dyDescent="0.25">
      <c r="A994" s="64"/>
      <c r="B994" s="62"/>
      <c r="C994" s="62"/>
      <c r="D994" s="62"/>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c r="AE994" s="58"/>
      <c r="AF994" s="58"/>
      <c r="AG994" s="58"/>
      <c r="AH994" s="58"/>
      <c r="AI994" s="58"/>
      <c r="AJ994" s="58"/>
      <c r="AK994" s="58"/>
      <c r="AL994" s="58"/>
      <c r="AM994" s="58"/>
      <c r="AN994" s="58"/>
      <c r="AO994" s="58"/>
      <c r="AP994" s="58"/>
      <c r="AQ994" s="58"/>
      <c r="AR994" s="58"/>
    </row>
    <row r="995" spans="1:44" ht="15.75" customHeight="1" x14ac:dyDescent="0.25">
      <c r="A995" s="64"/>
      <c r="B995" s="62"/>
      <c r="C995" s="62"/>
      <c r="D995" s="62"/>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58"/>
      <c r="AD995" s="58"/>
      <c r="AE995" s="58"/>
      <c r="AF995" s="58"/>
      <c r="AG995" s="58"/>
      <c r="AH995" s="58"/>
      <c r="AI995" s="58"/>
      <c r="AJ995" s="58"/>
      <c r="AK995" s="58"/>
      <c r="AL995" s="58"/>
      <c r="AM995" s="58"/>
      <c r="AN995" s="58"/>
      <c r="AO995" s="58"/>
      <c r="AP995" s="58"/>
      <c r="AQ995" s="58"/>
      <c r="AR995" s="58"/>
    </row>
    <row r="996" spans="1:44" ht="15.75" customHeight="1" x14ac:dyDescent="0.25">
      <c r="A996" s="64"/>
      <c r="B996" s="62"/>
      <c r="C996" s="62"/>
      <c r="D996" s="62"/>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58"/>
      <c r="AD996" s="58"/>
      <c r="AE996" s="58"/>
      <c r="AF996" s="58"/>
      <c r="AG996" s="58"/>
      <c r="AH996" s="58"/>
      <c r="AI996" s="58"/>
      <c r="AJ996" s="58"/>
      <c r="AK996" s="58"/>
      <c r="AL996" s="58"/>
      <c r="AM996" s="58"/>
      <c r="AN996" s="58"/>
      <c r="AO996" s="58"/>
      <c r="AP996" s="58"/>
      <c r="AQ996" s="58"/>
      <c r="AR996" s="58"/>
    </row>
    <row r="997" spans="1:44" ht="15.75" customHeight="1" x14ac:dyDescent="0.25">
      <c r="A997" s="64"/>
      <c r="B997" s="62"/>
      <c r="C997" s="62"/>
      <c r="D997" s="62"/>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58"/>
      <c r="AD997" s="58"/>
      <c r="AE997" s="58"/>
      <c r="AF997" s="58"/>
      <c r="AG997" s="58"/>
      <c r="AH997" s="58"/>
      <c r="AI997" s="58"/>
      <c r="AJ997" s="58"/>
      <c r="AK997" s="58"/>
      <c r="AL997" s="58"/>
      <c r="AM997" s="58"/>
      <c r="AN997" s="58"/>
      <c r="AO997" s="58"/>
      <c r="AP997" s="58"/>
      <c r="AQ997" s="58"/>
      <c r="AR997" s="58"/>
    </row>
    <row r="998" spans="1:44" ht="15.75" customHeight="1" x14ac:dyDescent="0.25">
      <c r="A998" s="64"/>
      <c r="B998" s="62"/>
      <c r="C998" s="62"/>
      <c r="D998" s="62"/>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c r="AC998" s="58"/>
      <c r="AD998" s="58"/>
      <c r="AE998" s="58"/>
      <c r="AF998" s="58"/>
      <c r="AG998" s="58"/>
      <c r="AH998" s="58"/>
      <c r="AI998" s="58"/>
      <c r="AJ998" s="58"/>
      <c r="AK998" s="58"/>
      <c r="AL998" s="58"/>
      <c r="AM998" s="58"/>
      <c r="AN998" s="58"/>
      <c r="AO998" s="58"/>
      <c r="AP998" s="58"/>
      <c r="AQ998" s="58"/>
      <c r="AR998" s="58"/>
    </row>
    <row r="999" spans="1:44" ht="15.75" customHeight="1" x14ac:dyDescent="0.25">
      <c r="A999" s="64"/>
      <c r="B999" s="62"/>
      <c r="C999" s="62"/>
      <c r="D999" s="62"/>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c r="AC999" s="58"/>
      <c r="AD999" s="58"/>
      <c r="AE999" s="58"/>
      <c r="AF999" s="58"/>
      <c r="AG999" s="58"/>
      <c r="AH999" s="58"/>
      <c r="AI999" s="58"/>
      <c r="AJ999" s="58"/>
      <c r="AK999" s="58"/>
      <c r="AL999" s="58"/>
      <c r="AM999" s="58"/>
      <c r="AN999" s="58"/>
      <c r="AO999" s="58"/>
      <c r="AP999" s="58"/>
      <c r="AQ999" s="58"/>
      <c r="AR999" s="58"/>
    </row>
    <row r="1000" spans="1:44" ht="15.75" customHeight="1" x14ac:dyDescent="0.25">
      <c r="A1000" s="64"/>
      <c r="B1000" s="62"/>
      <c r="C1000" s="62"/>
      <c r="D1000" s="62"/>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c r="AC1000" s="58"/>
      <c r="AD1000" s="58"/>
      <c r="AE1000" s="58"/>
      <c r="AF1000" s="58"/>
      <c r="AG1000" s="58"/>
      <c r="AH1000" s="58"/>
      <c r="AI1000" s="58"/>
      <c r="AJ1000" s="58"/>
      <c r="AK1000" s="58"/>
      <c r="AL1000" s="58"/>
      <c r="AM1000" s="58"/>
      <c r="AN1000" s="58"/>
      <c r="AO1000" s="58"/>
      <c r="AP1000" s="58"/>
      <c r="AQ1000" s="58"/>
      <c r="AR1000" s="58"/>
    </row>
    <row r="1001" spans="1:44" ht="15.75" customHeight="1" x14ac:dyDescent="0.25">
      <c r="A1001" s="64"/>
      <c r="B1001" s="62"/>
      <c r="C1001" s="62"/>
      <c r="D1001" s="62"/>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c r="AC1001" s="58"/>
      <c r="AD1001" s="58"/>
      <c r="AE1001" s="58"/>
      <c r="AF1001" s="58"/>
      <c r="AG1001" s="58"/>
      <c r="AH1001" s="58"/>
      <c r="AI1001" s="58"/>
      <c r="AJ1001" s="58"/>
      <c r="AK1001" s="58"/>
      <c r="AL1001" s="58"/>
      <c r="AM1001" s="58"/>
      <c r="AN1001" s="58"/>
      <c r="AO1001" s="58"/>
      <c r="AP1001" s="58"/>
      <c r="AQ1001" s="58"/>
      <c r="AR1001" s="58"/>
    </row>
    <row r="1002" spans="1:44" ht="15.75" customHeight="1" x14ac:dyDescent="0.25">
      <c r="A1002" s="64"/>
      <c r="B1002" s="62"/>
      <c r="C1002" s="62"/>
      <c r="D1002" s="62"/>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c r="AC1002" s="58"/>
      <c r="AD1002" s="58"/>
      <c r="AE1002" s="58"/>
      <c r="AF1002" s="58"/>
      <c r="AG1002" s="58"/>
      <c r="AH1002" s="58"/>
      <c r="AI1002" s="58"/>
      <c r="AJ1002" s="58"/>
      <c r="AK1002" s="58"/>
      <c r="AL1002" s="58"/>
      <c r="AM1002" s="58"/>
      <c r="AN1002" s="58"/>
      <c r="AO1002" s="58"/>
      <c r="AP1002" s="58"/>
      <c r="AQ1002" s="58"/>
      <c r="AR1002" s="58"/>
    </row>
    <row r="1003" spans="1:44" ht="15.75" customHeight="1" x14ac:dyDescent="0.25">
      <c r="A1003" s="64"/>
      <c r="B1003" s="62"/>
      <c r="C1003" s="62"/>
      <c r="D1003" s="62"/>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c r="AC1003" s="58"/>
      <c r="AD1003" s="58"/>
      <c r="AE1003" s="58"/>
      <c r="AF1003" s="58"/>
      <c r="AG1003" s="58"/>
      <c r="AH1003" s="58"/>
      <c r="AI1003" s="58"/>
      <c r="AJ1003" s="58"/>
      <c r="AK1003" s="58"/>
      <c r="AL1003" s="58"/>
      <c r="AM1003" s="58"/>
      <c r="AN1003" s="58"/>
      <c r="AO1003" s="58"/>
      <c r="AP1003" s="58"/>
      <c r="AQ1003" s="58"/>
      <c r="AR1003" s="58"/>
    </row>
  </sheetData>
  <mergeCells count="248">
    <mergeCell ref="A113:O113"/>
    <mergeCell ref="P113:AD113"/>
    <mergeCell ref="AE113:AR113"/>
    <mergeCell ref="B46:M46"/>
    <mergeCell ref="N46:X46"/>
    <mergeCell ref="A106:O111"/>
    <mergeCell ref="P106:AD111"/>
    <mergeCell ref="AE106:AR111"/>
    <mergeCell ref="A112:O112"/>
    <mergeCell ref="P112:AD112"/>
    <mergeCell ref="AE112:AR112"/>
    <mergeCell ref="AH99:AO101"/>
    <mergeCell ref="A100:J100"/>
    <mergeCell ref="N100:U101"/>
    <mergeCell ref="B103:AR103"/>
    <mergeCell ref="A105:O105"/>
    <mergeCell ref="P105:AD105"/>
    <mergeCell ref="AE105:AR105"/>
    <mergeCell ref="A90:O90"/>
    <mergeCell ref="P90:AD90"/>
    <mergeCell ref="AE90:AR90"/>
    <mergeCell ref="A92:AR92"/>
    <mergeCell ref="B94:AR94"/>
    <mergeCell ref="A96:K96"/>
    <mergeCell ref="N96:U97"/>
    <mergeCell ref="AH96:AO98"/>
    <mergeCell ref="A98:J98"/>
    <mergeCell ref="N98:U99"/>
    <mergeCell ref="A83:O88"/>
    <mergeCell ref="P83:AD88"/>
    <mergeCell ref="AE83:AR88"/>
    <mergeCell ref="A89:O89"/>
    <mergeCell ref="P89:AD89"/>
    <mergeCell ref="AE89:AR89"/>
    <mergeCell ref="A77:M78"/>
    <mergeCell ref="N77:O78"/>
    <mergeCell ref="P77:AJ78"/>
    <mergeCell ref="AK77:AR78"/>
    <mergeCell ref="A82:O82"/>
    <mergeCell ref="P82:AD82"/>
    <mergeCell ref="AE82:AR82"/>
    <mergeCell ref="A75:A76"/>
    <mergeCell ref="B75:K76"/>
    <mergeCell ref="L75:M76"/>
    <mergeCell ref="N75:O76"/>
    <mergeCell ref="P75:AJ76"/>
    <mergeCell ref="AK75:AR76"/>
    <mergeCell ref="A73:A74"/>
    <mergeCell ref="B73:K74"/>
    <mergeCell ref="L73:M74"/>
    <mergeCell ref="N73:O74"/>
    <mergeCell ref="P73:AJ74"/>
    <mergeCell ref="AK73:AR74"/>
    <mergeCell ref="A71:A72"/>
    <mergeCell ref="B71:K72"/>
    <mergeCell ref="L71:M72"/>
    <mergeCell ref="N71:O72"/>
    <mergeCell ref="P71:AJ72"/>
    <mergeCell ref="AK71:AR72"/>
    <mergeCell ref="A69:A70"/>
    <mergeCell ref="B69:K70"/>
    <mergeCell ref="L69:M70"/>
    <mergeCell ref="N69:O70"/>
    <mergeCell ref="P69:AJ70"/>
    <mergeCell ref="AK69:AR70"/>
    <mergeCell ref="A61:AR61"/>
    <mergeCell ref="A66:A68"/>
    <mergeCell ref="B66:K68"/>
    <mergeCell ref="L66:M68"/>
    <mergeCell ref="N66:O68"/>
    <mergeCell ref="P66:AJ68"/>
    <mergeCell ref="AK66:AR68"/>
    <mergeCell ref="AC56:AF57"/>
    <mergeCell ref="AG56:AJ57"/>
    <mergeCell ref="AK56:AN57"/>
    <mergeCell ref="AO56:AR57"/>
    <mergeCell ref="AC58:AF59"/>
    <mergeCell ref="AG58:AJ59"/>
    <mergeCell ref="AK58:AN59"/>
    <mergeCell ref="AO58:AR59"/>
    <mergeCell ref="AO52:AP53"/>
    <mergeCell ref="AQ52:AR53"/>
    <mergeCell ref="AC54:AD55"/>
    <mergeCell ref="AE54:AF55"/>
    <mergeCell ref="AG54:AH55"/>
    <mergeCell ref="AI54:AJ55"/>
    <mergeCell ref="AK54:AL55"/>
    <mergeCell ref="AM54:AN55"/>
    <mergeCell ref="AO54:AP55"/>
    <mergeCell ref="AQ54:AR55"/>
    <mergeCell ref="AC52:AD53"/>
    <mergeCell ref="AE52:AF53"/>
    <mergeCell ref="AG52:AH53"/>
    <mergeCell ref="AI52:AJ53"/>
    <mergeCell ref="AK52:AL53"/>
    <mergeCell ref="AM52:AN53"/>
    <mergeCell ref="AI47:AJ48"/>
    <mergeCell ref="AK47:AL48"/>
    <mergeCell ref="AM47:AN48"/>
    <mergeCell ref="AO47:AP48"/>
    <mergeCell ref="AQ47:AR48"/>
    <mergeCell ref="A50:Z50"/>
    <mergeCell ref="AC50:AF50"/>
    <mergeCell ref="AG50:AJ50"/>
    <mergeCell ref="AK50:AN50"/>
    <mergeCell ref="AO50:AR50"/>
    <mergeCell ref="AQ43:AR43"/>
    <mergeCell ref="B44:M44"/>
    <mergeCell ref="N44:X44"/>
    <mergeCell ref="B45:M45"/>
    <mergeCell ref="N45:X45"/>
    <mergeCell ref="A47:Z48"/>
    <mergeCell ref="AA47:AB48"/>
    <mergeCell ref="AC47:AD48"/>
    <mergeCell ref="AE47:AF48"/>
    <mergeCell ref="AG47:AH48"/>
    <mergeCell ref="AE43:AF43"/>
    <mergeCell ref="AG43:AH43"/>
    <mergeCell ref="AI43:AJ43"/>
    <mergeCell ref="AK43:AL43"/>
    <mergeCell ref="AM43:AN43"/>
    <mergeCell ref="AO43:AP43"/>
    <mergeCell ref="B42:M42"/>
    <mergeCell ref="N42:Z42"/>
    <mergeCell ref="B43:M43"/>
    <mergeCell ref="N43:X43"/>
    <mergeCell ref="AA43:AB43"/>
    <mergeCell ref="AC43:AD43"/>
    <mergeCell ref="AG41:AH41"/>
    <mergeCell ref="AI41:AJ41"/>
    <mergeCell ref="AK41:AL41"/>
    <mergeCell ref="AM41:AN41"/>
    <mergeCell ref="AO41:AP41"/>
    <mergeCell ref="AQ41:AR41"/>
    <mergeCell ref="AI40:AJ40"/>
    <mergeCell ref="AK40:AL40"/>
    <mergeCell ref="AM40:AN40"/>
    <mergeCell ref="AO40:AP40"/>
    <mergeCell ref="AQ40:AR40"/>
    <mergeCell ref="B41:M41"/>
    <mergeCell ref="N41:Z41"/>
    <mergeCell ref="AA41:AB41"/>
    <mergeCell ref="AC41:AD41"/>
    <mergeCell ref="AE41:AF41"/>
    <mergeCell ref="B40:M40"/>
    <mergeCell ref="N40:Z40"/>
    <mergeCell ref="AA40:AB40"/>
    <mergeCell ref="AC40:AD40"/>
    <mergeCell ref="AE40:AF40"/>
    <mergeCell ref="AG40:AH40"/>
    <mergeCell ref="AI38:AJ38"/>
    <mergeCell ref="AK38:AL38"/>
    <mergeCell ref="AM38:AN38"/>
    <mergeCell ref="AO38:AP38"/>
    <mergeCell ref="AQ38:AR38"/>
    <mergeCell ref="B39:M39"/>
    <mergeCell ref="N39:Z39"/>
    <mergeCell ref="B38:M38"/>
    <mergeCell ref="N38:Z38"/>
    <mergeCell ref="AA38:AB38"/>
    <mergeCell ref="AC38:AD38"/>
    <mergeCell ref="AE38:AF38"/>
    <mergeCell ref="AG38:AH38"/>
    <mergeCell ref="AO35:AR35"/>
    <mergeCell ref="AC36:AD37"/>
    <mergeCell ref="AE36:AF37"/>
    <mergeCell ref="AG36:AH37"/>
    <mergeCell ref="AI36:AJ37"/>
    <mergeCell ref="AK36:AL37"/>
    <mergeCell ref="AM36:AN37"/>
    <mergeCell ref="AO36:AP37"/>
    <mergeCell ref="AQ36:AR37"/>
    <mergeCell ref="AO30:AP31"/>
    <mergeCell ref="AQ30:AR31"/>
    <mergeCell ref="A33:AR33"/>
    <mergeCell ref="A35:A37"/>
    <mergeCell ref="B35:M37"/>
    <mergeCell ref="N35:Z37"/>
    <mergeCell ref="AA35:AB37"/>
    <mergeCell ref="AC35:AF35"/>
    <mergeCell ref="AG35:AJ35"/>
    <mergeCell ref="AK35:AN35"/>
    <mergeCell ref="AO27:AP29"/>
    <mergeCell ref="AQ27:AR29"/>
    <mergeCell ref="A30:Z31"/>
    <mergeCell ref="AA30:AB31"/>
    <mergeCell ref="AC30:AD31"/>
    <mergeCell ref="AE30:AF31"/>
    <mergeCell ref="AG30:AH31"/>
    <mergeCell ref="AI30:AJ31"/>
    <mergeCell ref="AK30:AL31"/>
    <mergeCell ref="AM30:AN31"/>
    <mergeCell ref="AO24:AP26"/>
    <mergeCell ref="AQ24:AR26"/>
    <mergeCell ref="A27:Z29"/>
    <mergeCell ref="AA27:AB29"/>
    <mergeCell ref="AC27:AD29"/>
    <mergeCell ref="AE27:AF29"/>
    <mergeCell ref="AG27:AH29"/>
    <mergeCell ref="AI27:AJ29"/>
    <mergeCell ref="AK27:AL29"/>
    <mergeCell ref="AM27:AN29"/>
    <mergeCell ref="AO21:AP23"/>
    <mergeCell ref="AQ21:AR23"/>
    <mergeCell ref="A24:Z26"/>
    <mergeCell ref="AA24:AB26"/>
    <mergeCell ref="AC24:AD26"/>
    <mergeCell ref="AE24:AF26"/>
    <mergeCell ref="AG24:AH26"/>
    <mergeCell ref="AI24:AJ26"/>
    <mergeCell ref="AK24:AL26"/>
    <mergeCell ref="AM24:AN26"/>
    <mergeCell ref="AO18:AP20"/>
    <mergeCell ref="AQ18:AR20"/>
    <mergeCell ref="A21:Z23"/>
    <mergeCell ref="AA21:AB23"/>
    <mergeCell ref="AC21:AD23"/>
    <mergeCell ref="AE21:AF23"/>
    <mergeCell ref="AG21:AH23"/>
    <mergeCell ref="AI21:AJ23"/>
    <mergeCell ref="AK21:AL23"/>
    <mergeCell ref="AM21:AN23"/>
    <mergeCell ref="AO16:AP17"/>
    <mergeCell ref="AQ16:AR17"/>
    <mergeCell ref="A18:Z20"/>
    <mergeCell ref="AA18:AB20"/>
    <mergeCell ref="AC18:AD20"/>
    <mergeCell ref="AE18:AF20"/>
    <mergeCell ref="AG18:AH20"/>
    <mergeCell ref="AI18:AJ20"/>
    <mergeCell ref="AK18:AL20"/>
    <mergeCell ref="AM18:AN20"/>
    <mergeCell ref="AC16:AD17"/>
    <mergeCell ref="AE16:AF17"/>
    <mergeCell ref="AG16:AH17"/>
    <mergeCell ref="AI16:AJ17"/>
    <mergeCell ref="AK16:AL17"/>
    <mergeCell ref="AM16:AN17"/>
    <mergeCell ref="A1:AR2"/>
    <mergeCell ref="A4:N4"/>
    <mergeCell ref="AF11:AG11"/>
    <mergeCell ref="A13:AR13"/>
    <mergeCell ref="A15:Z17"/>
    <mergeCell ref="AA15:AB17"/>
    <mergeCell ref="AC15:AF15"/>
    <mergeCell ref="AG15:AJ15"/>
    <mergeCell ref="AK15:AN15"/>
    <mergeCell ref="AO15:AR15"/>
  </mergeCells>
  <pageMargins left="5.9055118110236227E-2" right="5.9055118110236227E-2" top="5.9055118110236227E-2" bottom="5.9055118110236227E-2" header="0" footer="0"/>
  <pageSetup paperSize="9" orientation="landscape"/>
  <rowBreaks count="1" manualBreakCount="1">
    <brk id="7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7F871-A639-4EBB-9F3A-D193B91E5A71}">
  <sheetPr>
    <tabColor rgb="FFFF0000"/>
  </sheetPr>
  <dimension ref="A1:AR1003"/>
  <sheetViews>
    <sheetView showGridLines="0" workbookViewId="0">
      <selection activeCell="AP121" sqref="AP121"/>
    </sheetView>
  </sheetViews>
  <sheetFormatPr defaultColWidth="14.42578125" defaultRowHeight="15" customHeight="1" x14ac:dyDescent="0.25"/>
  <cols>
    <col min="1" max="1" width="5.140625" style="57" customWidth="1"/>
    <col min="2" max="11" width="3.28515625" style="57" customWidth="1"/>
    <col min="12" max="12" width="2.42578125" style="57" customWidth="1"/>
    <col min="13" max="13" width="4.28515625" style="57" customWidth="1"/>
    <col min="14" max="20" width="3.28515625" style="57" customWidth="1"/>
    <col min="21" max="21" width="4.42578125" style="57" customWidth="1"/>
    <col min="22" max="23" width="3.28515625" style="57" customWidth="1"/>
    <col min="24" max="24" width="0.85546875" style="57" customWidth="1"/>
    <col min="25" max="25" width="0.7109375" style="57" hidden="1" customWidth="1"/>
    <col min="26" max="26" width="0.5703125" style="57" hidden="1" customWidth="1"/>
    <col min="27" max="27" width="3.28515625" style="57" customWidth="1"/>
    <col min="28" max="28" width="6" style="57" customWidth="1"/>
    <col min="29" max="29" width="4.28515625" style="57" customWidth="1"/>
    <col min="30" max="30" width="7.5703125" style="57" customWidth="1"/>
    <col min="31" max="44" width="4.28515625" style="57" customWidth="1"/>
    <col min="45" max="16384" width="14.42578125" style="57"/>
  </cols>
  <sheetData>
    <row r="1" spans="1:44" x14ac:dyDescent="0.25">
      <c r="A1" s="138" t="s">
        <v>133</v>
      </c>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row>
    <row r="2" spans="1:44" x14ac:dyDescent="0.25">
      <c r="A2" s="112"/>
      <c r="B2" s="112"/>
      <c r="C2" s="112"/>
      <c r="D2" s="112"/>
      <c r="E2" s="112"/>
      <c r="F2" s="112"/>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2"/>
      <c r="AP2" s="112"/>
      <c r="AQ2" s="112"/>
      <c r="AR2" s="112"/>
    </row>
    <row r="3" spans="1:44" x14ac:dyDescent="0.25">
      <c r="A3" s="84"/>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row>
    <row r="4" spans="1:44" x14ac:dyDescent="0.25">
      <c r="A4" s="139" t="s">
        <v>71</v>
      </c>
      <c r="B4" s="103"/>
      <c r="C4" s="103"/>
      <c r="D4" s="103"/>
      <c r="E4" s="103"/>
      <c r="F4" s="103"/>
      <c r="G4" s="103"/>
      <c r="H4" s="103"/>
      <c r="I4" s="103"/>
      <c r="J4" s="103"/>
      <c r="K4" s="103"/>
      <c r="L4" s="103"/>
      <c r="M4" s="103"/>
      <c r="N4" s="103"/>
      <c r="O4" s="58"/>
      <c r="P4" s="58"/>
      <c r="Q4" s="58"/>
      <c r="R4" s="58"/>
      <c r="S4" s="59"/>
      <c r="T4" s="58"/>
      <c r="U4" s="58"/>
      <c r="V4" s="58"/>
      <c r="W4" s="58"/>
      <c r="X4" s="58"/>
      <c r="Y4" s="58"/>
      <c r="Z4" s="58"/>
      <c r="AA4" s="60" t="s">
        <v>72</v>
      </c>
      <c r="AB4" s="58"/>
      <c r="AC4" s="58"/>
      <c r="AD4" s="58"/>
      <c r="AE4" s="58"/>
      <c r="AF4" s="58"/>
      <c r="AG4" s="58"/>
      <c r="AH4" s="58"/>
      <c r="AI4" s="58"/>
      <c r="AJ4" s="58"/>
      <c r="AK4" s="58"/>
      <c r="AL4" s="58"/>
      <c r="AM4" s="58"/>
      <c r="AN4" s="58"/>
      <c r="AO4" s="58"/>
      <c r="AP4" s="58"/>
      <c r="AQ4" s="58"/>
      <c r="AR4" s="58"/>
    </row>
    <row r="5" spans="1:44" x14ac:dyDescent="0.25">
      <c r="A5" s="61"/>
      <c r="B5" s="62"/>
      <c r="C5" s="62"/>
      <c r="D5" s="62"/>
      <c r="E5" s="58"/>
      <c r="F5" s="58"/>
      <c r="G5" s="58"/>
      <c r="H5" s="58"/>
      <c r="I5" s="58"/>
      <c r="J5" s="58"/>
      <c r="K5" s="58"/>
      <c r="L5" s="58"/>
      <c r="M5" s="58"/>
      <c r="N5" s="58"/>
      <c r="O5" s="58"/>
      <c r="P5" s="58"/>
      <c r="Q5" s="58"/>
      <c r="R5" s="58"/>
      <c r="S5" s="59"/>
      <c r="T5" s="58"/>
      <c r="U5" s="58"/>
      <c r="V5" s="58"/>
      <c r="W5" s="58"/>
      <c r="X5" s="58"/>
      <c r="Y5" s="58"/>
      <c r="Z5" s="58"/>
      <c r="AA5" s="60"/>
      <c r="AB5" s="58"/>
      <c r="AC5" s="58"/>
      <c r="AD5" s="58"/>
      <c r="AE5" s="58"/>
      <c r="AF5" s="58"/>
      <c r="AG5" s="58"/>
      <c r="AH5" s="58"/>
      <c r="AI5" s="58"/>
      <c r="AJ5" s="58"/>
      <c r="AK5" s="58"/>
      <c r="AL5" s="58"/>
      <c r="AM5" s="58"/>
      <c r="AN5" s="58"/>
      <c r="AO5" s="58"/>
      <c r="AP5" s="58"/>
      <c r="AQ5" s="58"/>
      <c r="AR5" s="58"/>
    </row>
    <row r="6" spans="1:44" ht="16.5" customHeight="1" x14ac:dyDescent="0.25">
      <c r="A6" s="64" t="s">
        <v>73</v>
      </c>
      <c r="B6" s="62"/>
      <c r="C6" s="62"/>
      <c r="D6" s="62"/>
      <c r="E6" s="58" t="s">
        <v>137</v>
      </c>
      <c r="F6" s="58"/>
      <c r="G6" s="58"/>
      <c r="H6" s="58"/>
      <c r="I6" s="58"/>
      <c r="J6" s="58"/>
      <c r="K6" s="58"/>
      <c r="L6" s="58"/>
      <c r="M6" s="58"/>
      <c r="N6" s="58"/>
      <c r="O6" s="58"/>
      <c r="P6" s="58"/>
      <c r="Q6" s="58"/>
      <c r="R6" s="58"/>
      <c r="S6" s="58"/>
      <c r="T6" s="58"/>
      <c r="U6" s="58"/>
      <c r="V6" s="58"/>
      <c r="W6" s="58"/>
      <c r="X6" s="58"/>
      <c r="Y6" s="58"/>
      <c r="Z6" s="58"/>
      <c r="AA6" s="58" t="s">
        <v>73</v>
      </c>
      <c r="AB6" s="58"/>
      <c r="AC6" s="58"/>
      <c r="AD6" s="58"/>
      <c r="AE6" s="58" t="s">
        <v>74</v>
      </c>
      <c r="AF6" s="58"/>
      <c r="AG6" s="58"/>
      <c r="AH6" s="58"/>
      <c r="AI6" s="58"/>
      <c r="AJ6" s="58"/>
      <c r="AK6" s="58"/>
      <c r="AL6" s="58"/>
      <c r="AM6" s="58"/>
      <c r="AN6" s="58"/>
      <c r="AO6" s="58"/>
      <c r="AP6" s="58"/>
      <c r="AQ6" s="58"/>
      <c r="AR6" s="58"/>
    </row>
    <row r="7" spans="1:44" ht="16.5" customHeight="1" x14ac:dyDescent="0.25">
      <c r="A7" s="64" t="s">
        <v>76</v>
      </c>
      <c r="B7" s="62"/>
      <c r="C7" s="62"/>
      <c r="D7" s="62"/>
      <c r="E7" s="58" t="s">
        <v>428</v>
      </c>
      <c r="F7" s="58"/>
      <c r="G7" s="58"/>
      <c r="H7" s="58"/>
      <c r="I7" s="58"/>
      <c r="J7" s="58"/>
      <c r="K7" s="58"/>
      <c r="L7" s="58"/>
      <c r="M7" s="58"/>
      <c r="N7" s="58"/>
      <c r="O7" s="58"/>
      <c r="P7" s="58"/>
      <c r="Q7" s="58"/>
      <c r="R7" s="58"/>
      <c r="S7" s="58"/>
      <c r="T7" s="58"/>
      <c r="U7" s="58"/>
      <c r="V7" s="58"/>
      <c r="W7" s="58"/>
      <c r="X7" s="58"/>
      <c r="Y7" s="58"/>
      <c r="Z7" s="58"/>
      <c r="AA7" s="58" t="s">
        <v>76</v>
      </c>
      <c r="AB7" s="58"/>
      <c r="AC7" s="58"/>
      <c r="AD7" s="58"/>
      <c r="AE7" s="58" t="s">
        <v>140</v>
      </c>
      <c r="AF7" s="58"/>
      <c r="AG7" s="58"/>
      <c r="AH7" s="58"/>
      <c r="AI7" s="58"/>
      <c r="AJ7" s="58"/>
      <c r="AK7" s="58"/>
      <c r="AL7" s="58"/>
      <c r="AM7" s="58"/>
      <c r="AN7" s="58"/>
      <c r="AO7" s="58"/>
      <c r="AP7" s="58"/>
      <c r="AQ7" s="58"/>
      <c r="AR7" s="58"/>
    </row>
    <row r="8" spans="1:44" ht="16.5" customHeight="1" x14ac:dyDescent="0.25">
      <c r="A8" s="64" t="s">
        <v>77</v>
      </c>
      <c r="B8" s="62"/>
      <c r="C8" s="62"/>
      <c r="D8" s="62"/>
      <c r="E8" s="58" t="s">
        <v>136</v>
      </c>
      <c r="F8" s="58"/>
      <c r="G8" s="58"/>
      <c r="H8" s="58"/>
      <c r="I8" s="58"/>
      <c r="J8" s="58"/>
      <c r="K8" s="58"/>
      <c r="L8" s="58"/>
      <c r="M8" s="58"/>
      <c r="N8" s="58"/>
      <c r="O8" s="58"/>
      <c r="P8" s="58"/>
      <c r="Q8" s="58"/>
      <c r="R8" s="58"/>
      <c r="S8" s="58"/>
      <c r="T8" s="58"/>
      <c r="U8" s="58"/>
      <c r="V8" s="58"/>
      <c r="W8" s="58"/>
      <c r="X8" s="58"/>
      <c r="Y8" s="58"/>
      <c r="Z8" s="58"/>
      <c r="AA8" s="58" t="s">
        <v>77</v>
      </c>
      <c r="AB8" s="58"/>
      <c r="AC8" s="58"/>
      <c r="AD8" s="58"/>
      <c r="AE8" s="58" t="s">
        <v>141</v>
      </c>
      <c r="AF8" s="58"/>
      <c r="AG8" s="58"/>
      <c r="AH8" s="58"/>
      <c r="AI8" s="58"/>
      <c r="AJ8" s="58"/>
      <c r="AK8" s="58"/>
      <c r="AL8" s="58"/>
      <c r="AM8" s="58"/>
      <c r="AN8" s="58"/>
      <c r="AO8" s="58"/>
      <c r="AP8" s="58"/>
      <c r="AQ8" s="58"/>
      <c r="AR8" s="58"/>
    </row>
    <row r="9" spans="1:44" ht="16.5" customHeight="1" x14ac:dyDescent="0.25">
      <c r="A9" s="64" t="s">
        <v>134</v>
      </c>
      <c r="B9" s="62"/>
      <c r="C9" s="62"/>
      <c r="D9" s="62"/>
      <c r="E9" s="58" t="s">
        <v>79</v>
      </c>
      <c r="F9" s="58"/>
      <c r="G9" s="58"/>
      <c r="H9" s="58"/>
      <c r="I9" s="58"/>
      <c r="J9" s="58"/>
      <c r="K9" s="58"/>
      <c r="L9" s="58"/>
      <c r="M9" s="58"/>
      <c r="N9" s="58"/>
      <c r="O9" s="58"/>
      <c r="P9" s="58"/>
      <c r="Q9" s="58"/>
      <c r="R9" s="58"/>
      <c r="S9" s="58"/>
      <c r="T9" s="58"/>
      <c r="U9" s="58"/>
      <c r="V9" s="58"/>
      <c r="W9" s="58"/>
      <c r="X9" s="58"/>
      <c r="Y9" s="58"/>
      <c r="Z9" s="58"/>
      <c r="AA9" s="58" t="s">
        <v>78</v>
      </c>
      <c r="AB9" s="58"/>
      <c r="AC9" s="58"/>
      <c r="AD9" s="58"/>
      <c r="AE9" s="58" t="s">
        <v>137</v>
      </c>
      <c r="AF9" s="58"/>
      <c r="AG9" s="58"/>
      <c r="AH9" s="58"/>
      <c r="AI9" s="58"/>
      <c r="AJ9" s="58"/>
      <c r="AK9" s="58"/>
      <c r="AL9" s="58"/>
      <c r="AM9" s="58"/>
      <c r="AN9" s="58"/>
      <c r="AO9" s="58"/>
      <c r="AP9" s="58"/>
      <c r="AQ9" s="58"/>
      <c r="AR9" s="58"/>
    </row>
    <row r="10" spans="1:44" ht="16.5" customHeight="1" x14ac:dyDescent="0.25">
      <c r="A10" s="64" t="s">
        <v>138</v>
      </c>
      <c r="B10" s="62"/>
      <c r="C10" s="62"/>
      <c r="D10" s="62"/>
      <c r="E10" s="58" t="s">
        <v>139</v>
      </c>
      <c r="F10" s="58"/>
      <c r="G10" s="58"/>
      <c r="H10" s="58"/>
      <c r="I10" s="58"/>
      <c r="J10" s="58"/>
      <c r="K10" s="58"/>
      <c r="L10" s="58"/>
      <c r="M10" s="58"/>
      <c r="N10" s="58"/>
      <c r="O10" s="58"/>
      <c r="P10" s="58"/>
      <c r="Q10" s="58"/>
      <c r="R10" s="58"/>
      <c r="S10" s="58"/>
      <c r="T10" s="58"/>
      <c r="U10" s="58"/>
      <c r="V10" s="58"/>
      <c r="W10" s="58"/>
      <c r="X10" s="58"/>
      <c r="Y10" s="58"/>
      <c r="Z10" s="58"/>
      <c r="AA10" s="58" t="s">
        <v>80</v>
      </c>
      <c r="AB10" s="58"/>
      <c r="AC10" s="58"/>
      <c r="AD10" s="58"/>
      <c r="AE10" s="58" t="s">
        <v>139</v>
      </c>
      <c r="AF10" s="58"/>
      <c r="AG10" s="58"/>
      <c r="AH10" s="58"/>
      <c r="AI10" s="58"/>
      <c r="AJ10" s="58"/>
      <c r="AK10" s="58"/>
      <c r="AL10" s="58"/>
      <c r="AM10" s="58"/>
      <c r="AN10" s="58"/>
      <c r="AO10" s="58"/>
      <c r="AP10" s="58"/>
      <c r="AQ10" s="58"/>
      <c r="AR10" s="58"/>
    </row>
    <row r="11" spans="1:44" ht="16.5" customHeight="1" x14ac:dyDescent="0.25">
      <c r="A11" s="64" t="s">
        <v>81</v>
      </c>
      <c r="B11" s="62"/>
      <c r="C11" s="62"/>
      <c r="D11" s="62"/>
      <c r="E11" s="58" t="s">
        <v>137</v>
      </c>
      <c r="F11" s="58"/>
      <c r="G11" s="58"/>
      <c r="H11" s="58"/>
      <c r="I11" s="58"/>
      <c r="J11" s="58"/>
      <c r="K11" s="58"/>
      <c r="L11" s="58"/>
      <c r="M11" s="58"/>
      <c r="N11" s="58"/>
      <c r="O11" s="58"/>
      <c r="P11" s="58"/>
      <c r="Q11" s="58"/>
      <c r="R11" s="58"/>
      <c r="S11" s="58"/>
      <c r="T11" s="58"/>
      <c r="U11" s="58"/>
      <c r="V11" s="58"/>
      <c r="W11" s="58"/>
      <c r="X11" s="58"/>
      <c r="Y11" s="58"/>
      <c r="Z11" s="58"/>
      <c r="AA11" s="58" t="s">
        <v>81</v>
      </c>
      <c r="AB11" s="58"/>
      <c r="AC11" s="58"/>
      <c r="AD11" s="58"/>
      <c r="AE11" s="58" t="s">
        <v>75</v>
      </c>
      <c r="AF11" s="140"/>
      <c r="AG11" s="103"/>
      <c r="AH11" s="58"/>
      <c r="AI11" s="58"/>
      <c r="AJ11" s="58"/>
      <c r="AK11" s="58"/>
      <c r="AL11" s="58"/>
      <c r="AM11" s="58"/>
      <c r="AN11" s="58"/>
      <c r="AO11" s="58"/>
      <c r="AP11" s="58"/>
      <c r="AQ11" s="58"/>
      <c r="AR11" s="58"/>
    </row>
    <row r="12" spans="1:44" x14ac:dyDescent="0.25">
      <c r="A12" s="64"/>
      <c r="B12" s="62"/>
      <c r="C12" s="62"/>
      <c r="D12" s="62"/>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row>
    <row r="13" spans="1:44" x14ac:dyDescent="0.25">
      <c r="A13" s="121" t="s">
        <v>82</v>
      </c>
      <c r="B13" s="112"/>
      <c r="C13" s="112"/>
      <c r="D13" s="112"/>
      <c r="E13" s="112"/>
      <c r="F13" s="112"/>
      <c r="G13" s="112"/>
      <c r="H13" s="112"/>
      <c r="I13" s="112"/>
      <c r="J13" s="112"/>
      <c r="K13" s="112"/>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c r="AI13" s="112"/>
      <c r="AJ13" s="112"/>
      <c r="AK13" s="112"/>
      <c r="AL13" s="112"/>
      <c r="AM13" s="112"/>
      <c r="AN13" s="112"/>
      <c r="AO13" s="112"/>
      <c r="AP13" s="112"/>
      <c r="AQ13" s="112"/>
      <c r="AR13" s="112"/>
    </row>
    <row r="14" spans="1:44" ht="8.25" customHeight="1" x14ac:dyDescent="0.25">
      <c r="A14" s="64"/>
      <c r="B14" s="62"/>
      <c r="C14" s="62"/>
      <c r="D14" s="62"/>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row>
    <row r="15" spans="1:44" x14ac:dyDescent="0.25">
      <c r="A15" s="124" t="s">
        <v>83</v>
      </c>
      <c r="B15" s="100"/>
      <c r="C15" s="100"/>
      <c r="D15" s="100"/>
      <c r="E15" s="100"/>
      <c r="F15" s="100"/>
      <c r="G15" s="100"/>
      <c r="H15" s="100"/>
      <c r="I15" s="100"/>
      <c r="J15" s="100"/>
      <c r="K15" s="100"/>
      <c r="L15" s="100"/>
      <c r="M15" s="100"/>
      <c r="N15" s="100"/>
      <c r="O15" s="100"/>
      <c r="P15" s="100"/>
      <c r="Q15" s="100"/>
      <c r="R15" s="100"/>
      <c r="S15" s="100"/>
      <c r="T15" s="100"/>
      <c r="U15" s="100"/>
      <c r="V15" s="100"/>
      <c r="W15" s="100"/>
      <c r="X15" s="100"/>
      <c r="Y15" s="100"/>
      <c r="Z15" s="101"/>
      <c r="AA15" s="125" t="s">
        <v>84</v>
      </c>
      <c r="AB15" s="101"/>
      <c r="AC15" s="135" t="s">
        <v>85</v>
      </c>
      <c r="AD15" s="97"/>
      <c r="AE15" s="97"/>
      <c r="AF15" s="98"/>
      <c r="AG15" s="135" t="s">
        <v>86</v>
      </c>
      <c r="AH15" s="97"/>
      <c r="AI15" s="97"/>
      <c r="AJ15" s="98"/>
      <c r="AK15" s="135" t="s">
        <v>87</v>
      </c>
      <c r="AL15" s="97"/>
      <c r="AM15" s="97"/>
      <c r="AN15" s="98"/>
      <c r="AO15" s="135" t="s">
        <v>88</v>
      </c>
      <c r="AP15" s="97"/>
      <c r="AQ15" s="97"/>
      <c r="AR15" s="98"/>
    </row>
    <row r="16" spans="1:44" ht="15" customHeight="1" x14ac:dyDescent="0.25">
      <c r="A16" s="102"/>
      <c r="B16" s="103"/>
      <c r="C16" s="103"/>
      <c r="D16" s="103"/>
      <c r="E16" s="103"/>
      <c r="F16" s="103"/>
      <c r="G16" s="103"/>
      <c r="H16" s="103"/>
      <c r="I16" s="103"/>
      <c r="J16" s="103"/>
      <c r="K16" s="103"/>
      <c r="L16" s="103"/>
      <c r="M16" s="103"/>
      <c r="N16" s="103"/>
      <c r="O16" s="103"/>
      <c r="P16" s="103"/>
      <c r="Q16" s="103"/>
      <c r="R16" s="103"/>
      <c r="S16" s="103"/>
      <c r="T16" s="103"/>
      <c r="U16" s="103"/>
      <c r="V16" s="103"/>
      <c r="W16" s="103"/>
      <c r="X16" s="103"/>
      <c r="Y16" s="103"/>
      <c r="Z16" s="104"/>
      <c r="AA16" s="102"/>
      <c r="AB16" s="104"/>
      <c r="AC16" s="125" t="s">
        <v>89</v>
      </c>
      <c r="AD16" s="101"/>
      <c r="AE16" s="125" t="s">
        <v>90</v>
      </c>
      <c r="AF16" s="101"/>
      <c r="AG16" s="125" t="s">
        <v>89</v>
      </c>
      <c r="AH16" s="101"/>
      <c r="AI16" s="125" t="s">
        <v>90</v>
      </c>
      <c r="AJ16" s="101"/>
      <c r="AK16" s="125" t="s">
        <v>89</v>
      </c>
      <c r="AL16" s="101"/>
      <c r="AM16" s="125" t="s">
        <v>90</v>
      </c>
      <c r="AN16" s="101"/>
      <c r="AO16" s="125" t="s">
        <v>89</v>
      </c>
      <c r="AP16" s="101"/>
      <c r="AQ16" s="125" t="s">
        <v>90</v>
      </c>
      <c r="AR16" s="101"/>
    </row>
    <row r="17" spans="1:44" x14ac:dyDescent="0.25">
      <c r="A17" s="105"/>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7"/>
      <c r="AA17" s="105"/>
      <c r="AB17" s="107"/>
      <c r="AC17" s="105"/>
      <c r="AD17" s="107"/>
      <c r="AE17" s="105"/>
      <c r="AF17" s="107"/>
      <c r="AG17" s="105"/>
      <c r="AH17" s="107"/>
      <c r="AI17" s="105"/>
      <c r="AJ17" s="107"/>
      <c r="AK17" s="105"/>
      <c r="AL17" s="107"/>
      <c r="AM17" s="105"/>
      <c r="AN17" s="107"/>
      <c r="AO17" s="105"/>
      <c r="AP17" s="107"/>
      <c r="AQ17" s="105"/>
      <c r="AR17" s="107"/>
    </row>
    <row r="18" spans="1:44" ht="15" customHeight="1" x14ac:dyDescent="0.25">
      <c r="A18" s="99" t="s">
        <v>142</v>
      </c>
      <c r="B18" s="100"/>
      <c r="C18" s="100"/>
      <c r="D18" s="100"/>
      <c r="E18" s="100"/>
      <c r="F18" s="100"/>
      <c r="G18" s="100"/>
      <c r="H18" s="100"/>
      <c r="I18" s="100"/>
      <c r="J18" s="100"/>
      <c r="K18" s="100"/>
      <c r="L18" s="100"/>
      <c r="M18" s="100"/>
      <c r="N18" s="100"/>
      <c r="O18" s="100"/>
      <c r="P18" s="100"/>
      <c r="Q18" s="100"/>
      <c r="R18" s="100"/>
      <c r="S18" s="100"/>
      <c r="T18" s="100"/>
      <c r="U18" s="100"/>
      <c r="V18" s="100"/>
      <c r="W18" s="100"/>
      <c r="X18" s="100"/>
      <c r="Y18" s="100"/>
      <c r="Z18" s="101"/>
      <c r="AA18" s="137">
        <v>0.25</v>
      </c>
      <c r="AB18" s="101"/>
      <c r="AC18" s="108"/>
      <c r="AD18" s="101"/>
      <c r="AE18" s="108"/>
      <c r="AF18" s="101"/>
      <c r="AG18" s="108"/>
      <c r="AH18" s="101"/>
      <c r="AI18" s="108"/>
      <c r="AJ18" s="101"/>
      <c r="AK18" s="108">
        <v>5</v>
      </c>
      <c r="AL18" s="101"/>
      <c r="AM18" s="108">
        <v>4</v>
      </c>
      <c r="AN18" s="101"/>
      <c r="AO18" s="108">
        <v>4</v>
      </c>
      <c r="AP18" s="101"/>
      <c r="AQ18" s="108">
        <v>4</v>
      </c>
      <c r="AR18" s="101"/>
    </row>
    <row r="19" spans="1:44" ht="15" customHeight="1" x14ac:dyDescent="0.25">
      <c r="A19" s="102"/>
      <c r="B19" s="103"/>
      <c r="C19" s="103"/>
      <c r="D19" s="103"/>
      <c r="E19" s="103"/>
      <c r="F19" s="103"/>
      <c r="G19" s="103"/>
      <c r="H19" s="103"/>
      <c r="I19" s="103"/>
      <c r="J19" s="103"/>
      <c r="K19" s="103"/>
      <c r="L19" s="103"/>
      <c r="M19" s="103"/>
      <c r="N19" s="103"/>
      <c r="O19" s="103"/>
      <c r="P19" s="103"/>
      <c r="Q19" s="103"/>
      <c r="R19" s="103"/>
      <c r="S19" s="103"/>
      <c r="T19" s="103"/>
      <c r="U19" s="103"/>
      <c r="V19" s="103"/>
      <c r="W19" s="103"/>
      <c r="X19" s="103"/>
      <c r="Y19" s="103"/>
      <c r="Z19" s="104"/>
      <c r="AA19" s="102"/>
      <c r="AB19" s="104"/>
      <c r="AC19" s="102"/>
      <c r="AD19" s="104"/>
      <c r="AE19" s="102"/>
      <c r="AF19" s="104"/>
      <c r="AG19" s="102"/>
      <c r="AH19" s="104"/>
      <c r="AI19" s="102"/>
      <c r="AJ19" s="104"/>
      <c r="AK19" s="102"/>
      <c r="AL19" s="104"/>
      <c r="AM19" s="102"/>
      <c r="AN19" s="104"/>
      <c r="AO19" s="102"/>
      <c r="AP19" s="104"/>
      <c r="AQ19" s="102"/>
      <c r="AR19" s="104"/>
    </row>
    <row r="20" spans="1:44" x14ac:dyDescent="0.25">
      <c r="A20" s="105"/>
      <c r="B20" s="106"/>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7"/>
      <c r="AA20" s="105"/>
      <c r="AB20" s="107"/>
      <c r="AC20" s="105"/>
      <c r="AD20" s="107"/>
      <c r="AE20" s="105"/>
      <c r="AF20" s="107"/>
      <c r="AG20" s="105"/>
      <c r="AH20" s="107"/>
      <c r="AI20" s="105"/>
      <c r="AJ20" s="107"/>
      <c r="AK20" s="105"/>
      <c r="AL20" s="107"/>
      <c r="AM20" s="105"/>
      <c r="AN20" s="107"/>
      <c r="AO20" s="105"/>
      <c r="AP20" s="107"/>
      <c r="AQ20" s="105"/>
      <c r="AR20" s="107"/>
    </row>
    <row r="21" spans="1:44" ht="15.75" customHeight="1" x14ac:dyDescent="0.25">
      <c r="A21" s="99" t="s">
        <v>143</v>
      </c>
      <c r="B21" s="100"/>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1"/>
      <c r="AA21" s="137">
        <v>0.25</v>
      </c>
      <c r="AB21" s="101"/>
      <c r="AC21" s="108"/>
      <c r="AD21" s="101"/>
      <c r="AE21" s="108"/>
      <c r="AF21" s="101"/>
      <c r="AG21" s="108"/>
      <c r="AH21" s="101"/>
      <c r="AI21" s="108"/>
      <c r="AJ21" s="101"/>
      <c r="AK21" s="108">
        <v>5</v>
      </c>
      <c r="AL21" s="101"/>
      <c r="AM21" s="108">
        <v>4</v>
      </c>
      <c r="AN21" s="101"/>
      <c r="AO21" s="108">
        <v>5</v>
      </c>
      <c r="AP21" s="101"/>
      <c r="AQ21" s="108">
        <v>4</v>
      </c>
      <c r="AR21" s="101"/>
    </row>
    <row r="22" spans="1:44" ht="15.75" customHeight="1" x14ac:dyDescent="0.25">
      <c r="A22" s="102"/>
      <c r="B22" s="103"/>
      <c r="C22" s="103"/>
      <c r="D22" s="103"/>
      <c r="E22" s="103"/>
      <c r="F22" s="103"/>
      <c r="G22" s="103"/>
      <c r="H22" s="103"/>
      <c r="I22" s="103"/>
      <c r="J22" s="103"/>
      <c r="K22" s="103"/>
      <c r="L22" s="103"/>
      <c r="M22" s="103"/>
      <c r="N22" s="103"/>
      <c r="O22" s="103"/>
      <c r="P22" s="103"/>
      <c r="Q22" s="103"/>
      <c r="R22" s="103"/>
      <c r="S22" s="103"/>
      <c r="T22" s="103"/>
      <c r="U22" s="103"/>
      <c r="V22" s="103"/>
      <c r="W22" s="103"/>
      <c r="X22" s="103"/>
      <c r="Y22" s="103"/>
      <c r="Z22" s="104"/>
      <c r="AA22" s="102"/>
      <c r="AB22" s="104"/>
      <c r="AC22" s="102"/>
      <c r="AD22" s="104"/>
      <c r="AE22" s="102"/>
      <c r="AF22" s="104"/>
      <c r="AG22" s="102"/>
      <c r="AH22" s="104"/>
      <c r="AI22" s="102"/>
      <c r="AJ22" s="104"/>
      <c r="AK22" s="102"/>
      <c r="AL22" s="104"/>
      <c r="AM22" s="102"/>
      <c r="AN22" s="104"/>
      <c r="AO22" s="102"/>
      <c r="AP22" s="104"/>
      <c r="AQ22" s="102"/>
      <c r="AR22" s="104"/>
    </row>
    <row r="23" spans="1:44" ht="15.75" customHeight="1" x14ac:dyDescent="0.25">
      <c r="A23" s="105"/>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7"/>
      <c r="AA23" s="105"/>
      <c r="AB23" s="107"/>
      <c r="AC23" s="105"/>
      <c r="AD23" s="107"/>
      <c r="AE23" s="105"/>
      <c r="AF23" s="107"/>
      <c r="AG23" s="105"/>
      <c r="AH23" s="107"/>
      <c r="AI23" s="105"/>
      <c r="AJ23" s="107"/>
      <c r="AK23" s="105"/>
      <c r="AL23" s="107"/>
      <c r="AM23" s="105"/>
      <c r="AN23" s="107"/>
      <c r="AO23" s="105"/>
      <c r="AP23" s="107"/>
      <c r="AQ23" s="105"/>
      <c r="AR23" s="107"/>
    </row>
    <row r="24" spans="1:44" ht="15.75" customHeight="1" x14ac:dyDescent="0.25">
      <c r="A24" s="99" t="s">
        <v>144</v>
      </c>
      <c r="B24" s="100"/>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Z24" s="101"/>
      <c r="AA24" s="137">
        <v>0.25</v>
      </c>
      <c r="AB24" s="101"/>
      <c r="AC24" s="108"/>
      <c r="AD24" s="101"/>
      <c r="AE24" s="108"/>
      <c r="AF24" s="101"/>
      <c r="AG24" s="108"/>
      <c r="AH24" s="101"/>
      <c r="AI24" s="108"/>
      <c r="AJ24" s="101"/>
      <c r="AK24" s="108">
        <v>5</v>
      </c>
      <c r="AL24" s="101"/>
      <c r="AM24" s="108">
        <v>4</v>
      </c>
      <c r="AN24" s="101"/>
      <c r="AO24" s="108">
        <v>5</v>
      </c>
      <c r="AP24" s="101"/>
      <c r="AQ24" s="108">
        <v>4</v>
      </c>
      <c r="AR24" s="101"/>
    </row>
    <row r="25" spans="1:44" ht="15.75" customHeight="1" x14ac:dyDescent="0.25">
      <c r="A25" s="102"/>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c r="Z25" s="104"/>
      <c r="AA25" s="102"/>
      <c r="AB25" s="104"/>
      <c r="AC25" s="102"/>
      <c r="AD25" s="104"/>
      <c r="AE25" s="102"/>
      <c r="AF25" s="104"/>
      <c r="AG25" s="102"/>
      <c r="AH25" s="104"/>
      <c r="AI25" s="102"/>
      <c r="AJ25" s="104"/>
      <c r="AK25" s="102"/>
      <c r="AL25" s="104"/>
      <c r="AM25" s="102"/>
      <c r="AN25" s="104"/>
      <c r="AO25" s="102"/>
      <c r="AP25" s="104"/>
      <c r="AQ25" s="102"/>
      <c r="AR25" s="104"/>
    </row>
    <row r="26" spans="1:44" ht="15.75" customHeight="1" x14ac:dyDescent="0.25">
      <c r="A26" s="105"/>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7"/>
      <c r="AA26" s="105"/>
      <c r="AB26" s="107"/>
      <c r="AC26" s="105"/>
      <c r="AD26" s="107"/>
      <c r="AE26" s="105"/>
      <c r="AF26" s="107"/>
      <c r="AG26" s="105"/>
      <c r="AH26" s="107"/>
      <c r="AI26" s="105"/>
      <c r="AJ26" s="107"/>
      <c r="AK26" s="105"/>
      <c r="AL26" s="107"/>
      <c r="AM26" s="105"/>
      <c r="AN26" s="107"/>
      <c r="AO26" s="105"/>
      <c r="AP26" s="107"/>
      <c r="AQ26" s="105"/>
      <c r="AR26" s="107"/>
    </row>
    <row r="27" spans="1:44" ht="15.75" customHeight="1" x14ac:dyDescent="0.25">
      <c r="A27" s="99" t="s">
        <v>152</v>
      </c>
      <c r="B27" s="100"/>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1"/>
      <c r="AA27" s="137">
        <v>0.25</v>
      </c>
      <c r="AB27" s="101"/>
      <c r="AC27" s="108"/>
      <c r="AD27" s="101"/>
      <c r="AE27" s="108"/>
      <c r="AF27" s="101"/>
      <c r="AG27" s="108"/>
      <c r="AH27" s="101"/>
      <c r="AI27" s="108"/>
      <c r="AJ27" s="101"/>
      <c r="AK27" s="108">
        <v>4</v>
      </c>
      <c r="AL27" s="101"/>
      <c r="AM27" s="108">
        <v>4</v>
      </c>
      <c r="AN27" s="101"/>
      <c r="AO27" s="108">
        <v>5</v>
      </c>
      <c r="AP27" s="101"/>
      <c r="AQ27" s="108">
        <v>4</v>
      </c>
      <c r="AR27" s="101"/>
    </row>
    <row r="28" spans="1:44" ht="15.75" customHeight="1" x14ac:dyDescent="0.25">
      <c r="A28" s="102"/>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4"/>
      <c r="AA28" s="102"/>
      <c r="AB28" s="104"/>
      <c r="AC28" s="102"/>
      <c r="AD28" s="104"/>
      <c r="AE28" s="102"/>
      <c r="AF28" s="104"/>
      <c r="AG28" s="102"/>
      <c r="AH28" s="104"/>
      <c r="AI28" s="102"/>
      <c r="AJ28" s="104"/>
      <c r="AK28" s="102"/>
      <c r="AL28" s="104"/>
      <c r="AM28" s="102"/>
      <c r="AN28" s="104"/>
      <c r="AO28" s="102"/>
      <c r="AP28" s="104"/>
      <c r="AQ28" s="102"/>
      <c r="AR28" s="104"/>
    </row>
    <row r="29" spans="1:44" ht="15.75" customHeight="1" x14ac:dyDescent="0.25">
      <c r="A29" s="105"/>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7"/>
      <c r="AA29" s="105"/>
      <c r="AB29" s="107"/>
      <c r="AC29" s="105"/>
      <c r="AD29" s="107"/>
      <c r="AE29" s="105"/>
      <c r="AF29" s="107"/>
      <c r="AG29" s="105"/>
      <c r="AH29" s="107"/>
      <c r="AI29" s="105"/>
      <c r="AJ29" s="107"/>
      <c r="AK29" s="105"/>
      <c r="AL29" s="107"/>
      <c r="AM29" s="105"/>
      <c r="AN29" s="107"/>
      <c r="AO29" s="105"/>
      <c r="AP29" s="107"/>
      <c r="AQ29" s="105"/>
      <c r="AR29" s="107"/>
    </row>
    <row r="30" spans="1:44" ht="15.75" customHeight="1" x14ac:dyDescent="0.25">
      <c r="A30" s="129" t="s">
        <v>91</v>
      </c>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1"/>
      <c r="AA30" s="127">
        <f>SUM(AA18:AB29)</f>
        <v>1</v>
      </c>
      <c r="AB30" s="101"/>
      <c r="AC30" s="127">
        <f>SUMPRODUCT($AA$18:$AB$29,AC18:AD29)/($AA$30*5)</f>
        <v>0</v>
      </c>
      <c r="AD30" s="101"/>
      <c r="AE30" s="127">
        <f>SUMPRODUCT($AA$18:$AB$29,AE18:AF29)/($AA$30*5)</f>
        <v>0</v>
      </c>
      <c r="AF30" s="101"/>
      <c r="AG30" s="127">
        <f>SUMPRODUCT($AA$18:$AB$29,AG18:AH29)/($AA$30*5)</f>
        <v>0</v>
      </c>
      <c r="AH30" s="101"/>
      <c r="AI30" s="127">
        <f>SUMPRODUCT($AA$18:$AB$29,AI18:AJ29)/($AA$30*5)</f>
        <v>0</v>
      </c>
      <c r="AJ30" s="101"/>
      <c r="AK30" s="127">
        <f>SUMPRODUCT($AA$18:$AB$29,AK18:AL29)/($AA$30*5)</f>
        <v>0.95</v>
      </c>
      <c r="AL30" s="101"/>
      <c r="AM30" s="127">
        <f>SUMPRODUCT($AA$18:$AB$29,AM18:AN29)/($AA$30*5)</f>
        <v>0.8</v>
      </c>
      <c r="AN30" s="101"/>
      <c r="AO30" s="127">
        <f>SUMPRODUCT($AA$18:$AB$29,AO18:AP29)/($AA$30*5)</f>
        <v>0.95</v>
      </c>
      <c r="AP30" s="101"/>
      <c r="AQ30" s="127">
        <f>SUMPRODUCT($AA$18:$AB$29,AQ18:AR29)/($AA$30*5)</f>
        <v>0.8</v>
      </c>
      <c r="AR30" s="101"/>
    </row>
    <row r="31" spans="1:44" ht="15.75" customHeight="1" x14ac:dyDescent="0.25">
      <c r="A31" s="105"/>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7"/>
      <c r="AA31" s="105"/>
      <c r="AB31" s="107"/>
      <c r="AC31" s="105"/>
      <c r="AD31" s="107"/>
      <c r="AE31" s="105"/>
      <c r="AF31" s="107"/>
      <c r="AG31" s="105"/>
      <c r="AH31" s="107"/>
      <c r="AI31" s="105"/>
      <c r="AJ31" s="107"/>
      <c r="AK31" s="105"/>
      <c r="AL31" s="107"/>
      <c r="AM31" s="105"/>
      <c r="AN31" s="107"/>
      <c r="AO31" s="105"/>
      <c r="AP31" s="107"/>
      <c r="AQ31" s="105"/>
      <c r="AR31" s="107"/>
    </row>
    <row r="32" spans="1:44" ht="8.25" customHeight="1" x14ac:dyDescent="0.25">
      <c r="A32" s="64"/>
      <c r="B32" s="62"/>
      <c r="C32" s="62"/>
      <c r="D32" s="62"/>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row>
    <row r="33" spans="1:44" ht="15.75" customHeight="1" x14ac:dyDescent="0.25">
      <c r="A33" s="121" t="s">
        <v>146</v>
      </c>
      <c r="B33" s="112"/>
      <c r="C33" s="112"/>
      <c r="D33" s="112"/>
      <c r="E33" s="112"/>
      <c r="F33" s="112"/>
      <c r="G33" s="112"/>
      <c r="H33" s="112"/>
      <c r="I33" s="112"/>
      <c r="J33" s="112"/>
      <c r="K33" s="112"/>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row>
    <row r="34" spans="1:44" ht="8.25" customHeight="1" x14ac:dyDescent="0.25">
      <c r="A34" s="64"/>
      <c r="B34" s="62"/>
      <c r="C34" s="62"/>
      <c r="D34" s="62"/>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row>
    <row r="35" spans="1:44" ht="15.75" customHeight="1" x14ac:dyDescent="0.25">
      <c r="A35" s="136" t="s">
        <v>92</v>
      </c>
      <c r="B35" s="124" t="s">
        <v>145</v>
      </c>
      <c r="C35" s="100"/>
      <c r="D35" s="100"/>
      <c r="E35" s="100"/>
      <c r="F35" s="100"/>
      <c r="G35" s="100"/>
      <c r="H35" s="100"/>
      <c r="I35" s="100"/>
      <c r="J35" s="100"/>
      <c r="K35" s="100"/>
      <c r="L35" s="100"/>
      <c r="M35" s="101"/>
      <c r="N35" s="125" t="s">
        <v>147</v>
      </c>
      <c r="O35" s="100"/>
      <c r="P35" s="100"/>
      <c r="Q35" s="100"/>
      <c r="R35" s="100"/>
      <c r="S35" s="100"/>
      <c r="T35" s="100"/>
      <c r="U35" s="100"/>
      <c r="V35" s="100"/>
      <c r="W35" s="100"/>
      <c r="X35" s="100"/>
      <c r="Y35" s="100"/>
      <c r="Z35" s="101"/>
      <c r="AA35" s="125" t="s">
        <v>84</v>
      </c>
      <c r="AB35" s="101"/>
      <c r="AC35" s="135" t="s">
        <v>85</v>
      </c>
      <c r="AD35" s="97"/>
      <c r="AE35" s="97"/>
      <c r="AF35" s="98"/>
      <c r="AG35" s="135" t="s">
        <v>86</v>
      </c>
      <c r="AH35" s="97"/>
      <c r="AI35" s="97"/>
      <c r="AJ35" s="98"/>
      <c r="AK35" s="135" t="s">
        <v>87</v>
      </c>
      <c r="AL35" s="97"/>
      <c r="AM35" s="97"/>
      <c r="AN35" s="98"/>
      <c r="AO35" s="135" t="s">
        <v>88</v>
      </c>
      <c r="AP35" s="97"/>
      <c r="AQ35" s="97"/>
      <c r="AR35" s="98"/>
    </row>
    <row r="36" spans="1:44" ht="15" customHeight="1" x14ac:dyDescent="0.25">
      <c r="A36" s="123"/>
      <c r="B36" s="102"/>
      <c r="C36" s="103"/>
      <c r="D36" s="103"/>
      <c r="E36" s="103"/>
      <c r="F36" s="103"/>
      <c r="G36" s="103"/>
      <c r="H36" s="103"/>
      <c r="I36" s="103"/>
      <c r="J36" s="103"/>
      <c r="K36" s="103"/>
      <c r="L36" s="103"/>
      <c r="M36" s="104"/>
      <c r="N36" s="102"/>
      <c r="O36" s="103"/>
      <c r="P36" s="103"/>
      <c r="Q36" s="103"/>
      <c r="R36" s="103"/>
      <c r="S36" s="103"/>
      <c r="T36" s="103"/>
      <c r="U36" s="103"/>
      <c r="V36" s="103"/>
      <c r="W36" s="103"/>
      <c r="X36" s="103"/>
      <c r="Y36" s="103"/>
      <c r="Z36" s="104"/>
      <c r="AA36" s="102"/>
      <c r="AB36" s="104"/>
      <c r="AC36" s="125" t="s">
        <v>89</v>
      </c>
      <c r="AD36" s="101"/>
      <c r="AE36" s="125" t="s">
        <v>90</v>
      </c>
      <c r="AF36" s="101"/>
      <c r="AG36" s="125" t="s">
        <v>89</v>
      </c>
      <c r="AH36" s="101"/>
      <c r="AI36" s="125" t="s">
        <v>90</v>
      </c>
      <c r="AJ36" s="101"/>
      <c r="AK36" s="125" t="s">
        <v>89</v>
      </c>
      <c r="AL36" s="101"/>
      <c r="AM36" s="125" t="s">
        <v>90</v>
      </c>
      <c r="AN36" s="101"/>
      <c r="AO36" s="125" t="s">
        <v>89</v>
      </c>
      <c r="AP36" s="101"/>
      <c r="AQ36" s="125" t="s">
        <v>90</v>
      </c>
      <c r="AR36" s="101"/>
    </row>
    <row r="37" spans="1:44" ht="15.75" customHeight="1" x14ac:dyDescent="0.25">
      <c r="A37" s="119"/>
      <c r="B37" s="105"/>
      <c r="C37" s="106"/>
      <c r="D37" s="106"/>
      <c r="E37" s="106"/>
      <c r="F37" s="106"/>
      <c r="G37" s="106"/>
      <c r="H37" s="106"/>
      <c r="I37" s="106"/>
      <c r="J37" s="106"/>
      <c r="K37" s="106"/>
      <c r="L37" s="106"/>
      <c r="M37" s="107"/>
      <c r="N37" s="105"/>
      <c r="O37" s="106"/>
      <c r="P37" s="106"/>
      <c r="Q37" s="106"/>
      <c r="R37" s="106"/>
      <c r="S37" s="106"/>
      <c r="T37" s="106"/>
      <c r="U37" s="106"/>
      <c r="V37" s="106"/>
      <c r="W37" s="106"/>
      <c r="X37" s="106"/>
      <c r="Y37" s="106"/>
      <c r="Z37" s="107"/>
      <c r="AA37" s="105"/>
      <c r="AB37" s="107"/>
      <c r="AC37" s="105"/>
      <c r="AD37" s="107"/>
      <c r="AE37" s="105"/>
      <c r="AF37" s="107"/>
      <c r="AG37" s="105"/>
      <c r="AH37" s="107"/>
      <c r="AI37" s="105"/>
      <c r="AJ37" s="107"/>
      <c r="AK37" s="105"/>
      <c r="AL37" s="107"/>
      <c r="AM37" s="105"/>
      <c r="AN37" s="107"/>
      <c r="AO37" s="105"/>
      <c r="AP37" s="107"/>
      <c r="AQ37" s="105"/>
      <c r="AR37" s="107"/>
    </row>
    <row r="38" spans="1:44" ht="59.25" customHeight="1" x14ac:dyDescent="0.25">
      <c r="A38" s="70">
        <v>1</v>
      </c>
      <c r="B38" s="131" t="s">
        <v>419</v>
      </c>
      <c r="C38" s="97"/>
      <c r="D38" s="97"/>
      <c r="E38" s="97"/>
      <c r="F38" s="97"/>
      <c r="G38" s="97"/>
      <c r="H38" s="97"/>
      <c r="I38" s="97"/>
      <c r="J38" s="97"/>
      <c r="K38" s="97"/>
      <c r="L38" s="97"/>
      <c r="M38" s="98"/>
      <c r="N38" s="131" t="s">
        <v>149</v>
      </c>
      <c r="O38" s="97"/>
      <c r="P38" s="97"/>
      <c r="Q38" s="97"/>
      <c r="R38" s="97"/>
      <c r="S38" s="97"/>
      <c r="T38" s="97"/>
      <c r="U38" s="97"/>
      <c r="V38" s="97"/>
      <c r="W38" s="97"/>
      <c r="X38" s="97"/>
      <c r="Y38" s="97"/>
      <c r="Z38" s="98"/>
      <c r="AA38" s="132"/>
      <c r="AB38" s="98"/>
      <c r="AC38" s="133"/>
      <c r="AD38" s="98"/>
      <c r="AE38" s="96"/>
      <c r="AF38" s="98"/>
      <c r="AG38" s="96"/>
      <c r="AH38" s="98"/>
      <c r="AI38" s="96"/>
      <c r="AJ38" s="98"/>
      <c r="AK38" s="96">
        <v>4</v>
      </c>
      <c r="AL38" s="98"/>
      <c r="AM38" s="96">
        <v>4</v>
      </c>
      <c r="AN38" s="98"/>
      <c r="AO38" s="96">
        <v>4</v>
      </c>
      <c r="AP38" s="98"/>
      <c r="AQ38" s="96">
        <v>4</v>
      </c>
      <c r="AR38" s="98"/>
    </row>
    <row r="39" spans="1:44" ht="59.25" customHeight="1" x14ac:dyDescent="0.25">
      <c r="A39" s="74">
        <v>2</v>
      </c>
      <c r="B39" s="131" t="s">
        <v>397</v>
      </c>
      <c r="C39" s="97"/>
      <c r="D39" s="97"/>
      <c r="E39" s="97"/>
      <c r="F39" s="97"/>
      <c r="G39" s="97"/>
      <c r="H39" s="97"/>
      <c r="I39" s="97"/>
      <c r="J39" s="97"/>
      <c r="K39" s="97"/>
      <c r="L39" s="97"/>
      <c r="M39" s="98"/>
      <c r="N39" s="131" t="s">
        <v>400</v>
      </c>
      <c r="O39" s="97"/>
      <c r="P39" s="97"/>
      <c r="Q39" s="97"/>
      <c r="R39" s="97"/>
      <c r="S39" s="97"/>
      <c r="T39" s="97"/>
      <c r="U39" s="97"/>
      <c r="V39" s="97"/>
      <c r="W39" s="97"/>
      <c r="X39" s="97"/>
      <c r="Y39" s="97"/>
      <c r="Z39" s="98"/>
      <c r="AA39" s="71"/>
      <c r="AB39" s="67"/>
      <c r="AC39" s="72"/>
      <c r="AD39" s="67"/>
      <c r="AE39" s="73"/>
      <c r="AF39" s="67"/>
      <c r="AG39" s="73"/>
      <c r="AH39" s="67"/>
      <c r="AI39" s="73"/>
      <c r="AJ39" s="67"/>
      <c r="AK39" s="73"/>
      <c r="AL39" s="67"/>
      <c r="AM39" s="73"/>
      <c r="AN39" s="67"/>
      <c r="AO39" s="73"/>
      <c r="AP39" s="67"/>
      <c r="AQ39" s="73"/>
      <c r="AR39" s="67"/>
    </row>
    <row r="40" spans="1:44" ht="60.75" customHeight="1" x14ac:dyDescent="0.25">
      <c r="A40" s="70">
        <v>3</v>
      </c>
      <c r="B40" s="130" t="s">
        <v>420</v>
      </c>
      <c r="C40" s="97"/>
      <c r="D40" s="97"/>
      <c r="E40" s="97"/>
      <c r="F40" s="97"/>
      <c r="G40" s="97"/>
      <c r="H40" s="97"/>
      <c r="I40" s="97"/>
      <c r="J40" s="97"/>
      <c r="K40" s="97"/>
      <c r="L40" s="97"/>
      <c r="M40" s="98"/>
      <c r="N40" s="131" t="s">
        <v>401</v>
      </c>
      <c r="O40" s="97"/>
      <c r="P40" s="97"/>
      <c r="Q40" s="97"/>
      <c r="R40" s="97"/>
      <c r="S40" s="97"/>
      <c r="T40" s="97"/>
      <c r="U40" s="97"/>
      <c r="V40" s="97"/>
      <c r="W40" s="97"/>
      <c r="X40" s="97"/>
      <c r="Y40" s="97"/>
      <c r="Z40" s="98"/>
      <c r="AA40" s="132"/>
      <c r="AB40" s="98"/>
      <c r="AC40" s="133"/>
      <c r="AD40" s="98"/>
      <c r="AE40" s="96"/>
      <c r="AF40" s="98"/>
      <c r="AG40" s="96"/>
      <c r="AH40" s="98"/>
      <c r="AI40" s="96"/>
      <c r="AJ40" s="98"/>
      <c r="AK40" s="96">
        <v>5</v>
      </c>
      <c r="AL40" s="98"/>
      <c r="AM40" s="96">
        <v>5</v>
      </c>
      <c r="AN40" s="98"/>
      <c r="AO40" s="96">
        <v>5</v>
      </c>
      <c r="AP40" s="98"/>
      <c r="AQ40" s="96">
        <v>5</v>
      </c>
      <c r="AR40" s="98"/>
    </row>
    <row r="41" spans="1:44" ht="69" customHeight="1" x14ac:dyDescent="0.25">
      <c r="A41" s="74">
        <v>4</v>
      </c>
      <c r="B41" s="134" t="s">
        <v>421</v>
      </c>
      <c r="C41" s="97"/>
      <c r="D41" s="97"/>
      <c r="E41" s="97"/>
      <c r="F41" s="97"/>
      <c r="G41" s="97"/>
      <c r="H41" s="97"/>
      <c r="I41" s="97"/>
      <c r="J41" s="97"/>
      <c r="K41" s="97"/>
      <c r="L41" s="97"/>
      <c r="M41" s="98"/>
      <c r="N41" s="131" t="s">
        <v>402</v>
      </c>
      <c r="O41" s="97"/>
      <c r="P41" s="97"/>
      <c r="Q41" s="97"/>
      <c r="R41" s="97"/>
      <c r="S41" s="97"/>
      <c r="T41" s="97"/>
      <c r="U41" s="97"/>
      <c r="V41" s="97"/>
      <c r="W41" s="97"/>
      <c r="X41" s="97"/>
      <c r="Y41" s="97"/>
      <c r="Z41" s="98"/>
      <c r="AA41" s="132"/>
      <c r="AB41" s="98"/>
      <c r="AC41" s="133"/>
      <c r="AD41" s="98"/>
      <c r="AE41" s="96"/>
      <c r="AF41" s="98"/>
      <c r="AG41" s="96"/>
      <c r="AH41" s="98"/>
      <c r="AI41" s="96"/>
      <c r="AJ41" s="98"/>
      <c r="AK41" s="96">
        <v>5</v>
      </c>
      <c r="AL41" s="98"/>
      <c r="AM41" s="96">
        <v>5</v>
      </c>
      <c r="AN41" s="98"/>
      <c r="AO41" s="96">
        <v>5</v>
      </c>
      <c r="AP41" s="98"/>
      <c r="AQ41" s="96">
        <v>5</v>
      </c>
      <c r="AR41" s="98"/>
    </row>
    <row r="42" spans="1:44" ht="69" customHeight="1" x14ac:dyDescent="0.25">
      <c r="A42" s="70">
        <v>5</v>
      </c>
      <c r="B42" s="134" t="s">
        <v>422</v>
      </c>
      <c r="C42" s="97"/>
      <c r="D42" s="97"/>
      <c r="E42" s="97"/>
      <c r="F42" s="97"/>
      <c r="G42" s="97"/>
      <c r="H42" s="97"/>
      <c r="I42" s="97"/>
      <c r="J42" s="97"/>
      <c r="K42" s="97"/>
      <c r="L42" s="97"/>
      <c r="M42" s="98"/>
      <c r="N42" s="131" t="s">
        <v>403</v>
      </c>
      <c r="O42" s="97"/>
      <c r="P42" s="97"/>
      <c r="Q42" s="97"/>
      <c r="R42" s="97"/>
      <c r="S42" s="97"/>
      <c r="T42" s="97"/>
      <c r="U42" s="97"/>
      <c r="V42" s="97"/>
      <c r="W42" s="97"/>
      <c r="X42" s="97"/>
      <c r="Y42" s="97"/>
      <c r="Z42" s="98"/>
      <c r="AA42" s="71"/>
      <c r="AB42" s="67"/>
      <c r="AC42" s="72"/>
      <c r="AD42" s="67"/>
      <c r="AE42" s="73"/>
      <c r="AF42" s="67"/>
      <c r="AG42" s="73"/>
      <c r="AH42" s="67"/>
      <c r="AI42" s="73"/>
      <c r="AJ42" s="67"/>
      <c r="AK42" s="73"/>
      <c r="AL42" s="67"/>
      <c r="AM42" s="73"/>
      <c r="AN42" s="67"/>
      <c r="AO42" s="73"/>
      <c r="AP42" s="67"/>
      <c r="AQ42" s="73"/>
      <c r="AR42" s="67"/>
    </row>
    <row r="43" spans="1:44" ht="54" customHeight="1" x14ac:dyDescent="0.25">
      <c r="A43" s="74">
        <v>6</v>
      </c>
      <c r="B43" s="134" t="s">
        <v>423</v>
      </c>
      <c r="C43" s="97"/>
      <c r="D43" s="97"/>
      <c r="E43" s="97"/>
      <c r="F43" s="97"/>
      <c r="G43" s="97"/>
      <c r="H43" s="97"/>
      <c r="I43" s="97"/>
      <c r="J43" s="97"/>
      <c r="K43" s="97"/>
      <c r="L43" s="97"/>
      <c r="M43" s="98"/>
      <c r="N43" s="130" t="s">
        <v>150</v>
      </c>
      <c r="O43" s="97"/>
      <c r="P43" s="97"/>
      <c r="Q43" s="97"/>
      <c r="R43" s="97"/>
      <c r="S43" s="97"/>
      <c r="T43" s="97"/>
      <c r="U43" s="97"/>
      <c r="V43" s="97"/>
      <c r="W43" s="97"/>
      <c r="X43" s="98"/>
      <c r="Y43" s="76"/>
      <c r="Z43" s="76"/>
      <c r="AA43" s="132"/>
      <c r="AB43" s="98"/>
      <c r="AC43" s="133"/>
      <c r="AD43" s="98"/>
      <c r="AE43" s="96"/>
      <c r="AF43" s="98"/>
      <c r="AG43" s="96"/>
      <c r="AH43" s="98"/>
      <c r="AI43" s="96"/>
      <c r="AJ43" s="98"/>
      <c r="AK43" s="96">
        <v>5</v>
      </c>
      <c r="AL43" s="98"/>
      <c r="AM43" s="96">
        <v>3</v>
      </c>
      <c r="AN43" s="98"/>
      <c r="AO43" s="96">
        <v>5</v>
      </c>
      <c r="AP43" s="98"/>
      <c r="AQ43" s="96">
        <v>3</v>
      </c>
      <c r="AR43" s="98"/>
    </row>
    <row r="44" spans="1:44" ht="54" customHeight="1" x14ac:dyDescent="0.25">
      <c r="A44" s="70">
        <v>7</v>
      </c>
      <c r="B44" s="134" t="s">
        <v>424</v>
      </c>
      <c r="C44" s="97"/>
      <c r="D44" s="97"/>
      <c r="E44" s="97"/>
      <c r="F44" s="97"/>
      <c r="G44" s="97"/>
      <c r="H44" s="97"/>
      <c r="I44" s="97"/>
      <c r="J44" s="97"/>
      <c r="K44" s="97"/>
      <c r="L44" s="97"/>
      <c r="M44" s="98"/>
      <c r="N44" s="130" t="s">
        <v>405</v>
      </c>
      <c r="O44" s="97"/>
      <c r="P44" s="97"/>
      <c r="Q44" s="97"/>
      <c r="R44" s="97"/>
      <c r="S44" s="97"/>
      <c r="T44" s="97"/>
      <c r="U44" s="97"/>
      <c r="V44" s="97"/>
      <c r="W44" s="97"/>
      <c r="X44" s="98"/>
      <c r="Y44" s="202"/>
      <c r="Z44" s="203"/>
      <c r="AA44" s="71"/>
      <c r="AB44" s="67"/>
      <c r="AC44" s="72"/>
      <c r="AD44" s="67"/>
      <c r="AE44" s="73"/>
      <c r="AF44" s="67"/>
      <c r="AG44" s="73"/>
      <c r="AH44" s="67"/>
      <c r="AI44" s="73"/>
      <c r="AJ44" s="67"/>
      <c r="AK44" s="73"/>
      <c r="AL44" s="67"/>
      <c r="AM44" s="73"/>
      <c r="AN44" s="67"/>
      <c r="AO44" s="73"/>
      <c r="AP44" s="67"/>
      <c r="AQ44" s="73"/>
      <c r="AR44" s="67"/>
    </row>
    <row r="45" spans="1:44" ht="54" customHeight="1" x14ac:dyDescent="0.25">
      <c r="A45" s="74">
        <v>8</v>
      </c>
      <c r="B45" s="134" t="s">
        <v>425</v>
      </c>
      <c r="C45" s="97"/>
      <c r="D45" s="97"/>
      <c r="E45" s="97"/>
      <c r="F45" s="97"/>
      <c r="G45" s="97"/>
      <c r="H45" s="97"/>
      <c r="I45" s="97"/>
      <c r="J45" s="97"/>
      <c r="K45" s="97"/>
      <c r="L45" s="97"/>
      <c r="M45" s="98"/>
      <c r="N45" s="130"/>
      <c r="O45" s="97"/>
      <c r="P45" s="97"/>
      <c r="Q45" s="97"/>
      <c r="R45" s="97"/>
      <c r="S45" s="97"/>
      <c r="T45" s="97"/>
      <c r="U45" s="97"/>
      <c r="V45" s="97"/>
      <c r="W45" s="97"/>
      <c r="X45" s="98"/>
      <c r="Y45" s="202"/>
      <c r="Z45" s="203"/>
      <c r="AA45" s="71"/>
      <c r="AB45" s="67"/>
      <c r="AC45" s="72"/>
      <c r="AD45" s="67"/>
      <c r="AE45" s="73"/>
      <c r="AF45" s="67"/>
      <c r="AG45" s="73"/>
      <c r="AH45" s="67"/>
      <c r="AI45" s="73"/>
      <c r="AJ45" s="67"/>
      <c r="AK45" s="73"/>
      <c r="AL45" s="67"/>
      <c r="AM45" s="73"/>
      <c r="AN45" s="67"/>
      <c r="AO45" s="73"/>
      <c r="AP45" s="67"/>
      <c r="AQ45" s="73"/>
      <c r="AR45" s="67"/>
    </row>
    <row r="46" spans="1:44" ht="54" customHeight="1" x14ac:dyDescent="0.25">
      <c r="A46" s="70">
        <v>9</v>
      </c>
      <c r="B46" s="134" t="s">
        <v>436</v>
      </c>
      <c r="C46" s="97"/>
      <c r="D46" s="97"/>
      <c r="E46" s="97"/>
      <c r="F46" s="97"/>
      <c r="G46" s="97"/>
      <c r="H46" s="97"/>
      <c r="I46" s="97"/>
      <c r="J46" s="97"/>
      <c r="K46" s="97"/>
      <c r="L46" s="97"/>
      <c r="M46" s="98"/>
      <c r="N46" s="130" t="s">
        <v>437</v>
      </c>
      <c r="O46" s="97"/>
      <c r="P46" s="97"/>
      <c r="Q46" s="97"/>
      <c r="R46" s="97"/>
      <c r="S46" s="97"/>
      <c r="T46" s="97"/>
      <c r="U46" s="97"/>
      <c r="V46" s="97"/>
      <c r="W46" s="97"/>
      <c r="X46" s="98"/>
      <c r="Y46" s="204"/>
      <c r="Z46" s="205"/>
      <c r="AA46" s="68"/>
      <c r="AB46" s="65"/>
      <c r="AC46" s="206"/>
      <c r="AD46" s="65"/>
      <c r="AE46" s="69"/>
      <c r="AF46" s="65"/>
      <c r="AG46" s="69"/>
      <c r="AH46" s="65"/>
      <c r="AI46" s="69"/>
      <c r="AJ46" s="65"/>
      <c r="AK46" s="69"/>
      <c r="AL46" s="65"/>
      <c r="AM46" s="69"/>
      <c r="AN46" s="65"/>
      <c r="AO46" s="69"/>
      <c r="AP46" s="65"/>
      <c r="AQ46" s="69"/>
      <c r="AR46" s="65"/>
    </row>
    <row r="47" spans="1:44" ht="15.75" customHeight="1" x14ac:dyDescent="0.25">
      <c r="A47" s="129" t="s">
        <v>93</v>
      </c>
      <c r="B47" s="100"/>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1"/>
      <c r="AA47" s="127">
        <f>SUM(AA38:AB45)</f>
        <v>0</v>
      </c>
      <c r="AB47" s="101"/>
      <c r="AC47" s="127" t="e">
        <f>SUMPRODUCT($AA$38:$AB$45,AC38:AD45)/(SUM($AA$38:$AB$45)*5)</f>
        <v>#DIV/0!</v>
      </c>
      <c r="AD47" s="101"/>
      <c r="AE47" s="127" t="e">
        <f>SUMPRODUCT($AA$38:$AB$45,AE38:AF45)/(SUM($AA$38:$AB$45)*5)</f>
        <v>#DIV/0!</v>
      </c>
      <c r="AF47" s="101"/>
      <c r="AG47" s="127" t="e">
        <f>SUMPRODUCT($AA$38:$AB$45,AG38:AH45)/(SUM($AA$38:$AB$45)*5)</f>
        <v>#DIV/0!</v>
      </c>
      <c r="AH47" s="101"/>
      <c r="AI47" s="127" t="e">
        <f>SUMPRODUCT($AA$38:$AB$45,AI38:AJ45)/(SUM($AA$38:$AB$45)*5)</f>
        <v>#DIV/0!</v>
      </c>
      <c r="AJ47" s="101"/>
      <c r="AK47" s="127" t="e">
        <f>SUMPRODUCT($AA$38:$AB$45,AK38:AL45)/(SUM($AA$38:$AB$45)*5)</f>
        <v>#DIV/0!</v>
      </c>
      <c r="AL47" s="101"/>
      <c r="AM47" s="127" t="e">
        <f>SUMPRODUCT($AA$38:$AB$45,AM38:AN45)/(SUM($AA$38:$AB$45)*5)</f>
        <v>#DIV/0!</v>
      </c>
      <c r="AN47" s="101"/>
      <c r="AO47" s="127" t="e">
        <f>SUMPRODUCT($AA$38:$AB$45,AO38:AP45)/(SUM($AA$38:$AB$45)*5)</f>
        <v>#DIV/0!</v>
      </c>
      <c r="AP47" s="101"/>
      <c r="AQ47" s="127" t="e">
        <f>SUMPRODUCT($AA$38:$AB$45,AQ38:AR45)/(SUM($AA$38:$AB$45)*5)</f>
        <v>#DIV/0!</v>
      </c>
      <c r="AR47" s="101"/>
    </row>
    <row r="48" spans="1:44" ht="15.75" customHeight="1" x14ac:dyDescent="0.25">
      <c r="A48" s="105"/>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7"/>
      <c r="AA48" s="105"/>
      <c r="AB48" s="107"/>
      <c r="AC48" s="105"/>
      <c r="AD48" s="107"/>
      <c r="AE48" s="105"/>
      <c r="AF48" s="107"/>
      <c r="AG48" s="105"/>
      <c r="AH48" s="107"/>
      <c r="AI48" s="105"/>
      <c r="AJ48" s="107"/>
      <c r="AK48" s="105"/>
      <c r="AL48" s="107"/>
      <c r="AM48" s="105"/>
      <c r="AN48" s="107"/>
      <c r="AO48" s="105"/>
      <c r="AP48" s="107"/>
      <c r="AQ48" s="105"/>
      <c r="AR48" s="107"/>
    </row>
    <row r="49" spans="1:44" ht="8.25" customHeight="1" x14ac:dyDescent="0.25">
      <c r="A49" s="64"/>
      <c r="B49" s="62"/>
      <c r="C49" s="62"/>
      <c r="D49" s="62"/>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row>
    <row r="50" spans="1:44" ht="15.75" customHeight="1" x14ac:dyDescent="0.25">
      <c r="A50" s="114" t="s">
        <v>94</v>
      </c>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c r="AA50" s="77"/>
      <c r="AB50" s="77"/>
      <c r="AC50" s="128" t="s">
        <v>85</v>
      </c>
      <c r="AD50" s="112"/>
      <c r="AE50" s="112"/>
      <c r="AF50" s="112"/>
      <c r="AG50" s="128" t="s">
        <v>86</v>
      </c>
      <c r="AH50" s="112"/>
      <c r="AI50" s="112"/>
      <c r="AJ50" s="112"/>
      <c r="AK50" s="128" t="s">
        <v>87</v>
      </c>
      <c r="AL50" s="112"/>
      <c r="AM50" s="112"/>
      <c r="AN50" s="112"/>
      <c r="AO50" s="128" t="s">
        <v>88</v>
      </c>
      <c r="AP50" s="112"/>
      <c r="AQ50" s="112"/>
      <c r="AR50" s="112"/>
    </row>
    <row r="51" spans="1:44" ht="8.25" customHeight="1" x14ac:dyDescent="0.25">
      <c r="A51" s="64"/>
      <c r="B51" s="62"/>
      <c r="C51" s="62"/>
      <c r="D51" s="62"/>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row>
    <row r="52" spans="1:44" ht="15.75" customHeight="1" x14ac:dyDescent="0.25">
      <c r="A52" s="64"/>
      <c r="B52" s="62"/>
      <c r="C52" s="62"/>
      <c r="D52" s="62"/>
      <c r="E52" s="58"/>
      <c r="F52" s="58"/>
      <c r="G52" s="58"/>
      <c r="H52" s="58"/>
      <c r="I52" s="58"/>
      <c r="J52" s="58"/>
      <c r="K52" s="58"/>
      <c r="L52" s="58"/>
      <c r="M52" s="58"/>
      <c r="N52" s="58"/>
      <c r="O52" s="58"/>
      <c r="P52" s="58"/>
      <c r="Q52" s="58"/>
      <c r="R52" s="58"/>
      <c r="S52" s="58"/>
      <c r="T52" s="58"/>
      <c r="U52" s="58"/>
      <c r="V52" s="58"/>
      <c r="W52" s="58"/>
      <c r="X52" s="58"/>
      <c r="Y52" s="58"/>
      <c r="Z52" s="78" t="s">
        <v>95</v>
      </c>
      <c r="AA52" s="58"/>
      <c r="AB52" s="79"/>
      <c r="AC52" s="110" t="e">
        <f>AC30*20%+AC47*80%</f>
        <v>#DIV/0!</v>
      </c>
      <c r="AD52" s="101"/>
      <c r="AE52" s="110" t="e">
        <f>AE30*20%+AE47*80%</f>
        <v>#DIV/0!</v>
      </c>
      <c r="AF52" s="101"/>
      <c r="AG52" s="110" t="e">
        <f>AG30*20%+AG47*80%</f>
        <v>#DIV/0!</v>
      </c>
      <c r="AH52" s="101"/>
      <c r="AI52" s="110" t="e">
        <f>AI30*20%+AI47*80%</f>
        <v>#DIV/0!</v>
      </c>
      <c r="AJ52" s="101"/>
      <c r="AK52" s="110" t="e">
        <f>AK30*20%+AK47*80%</f>
        <v>#DIV/0!</v>
      </c>
      <c r="AL52" s="101"/>
      <c r="AM52" s="110" t="e">
        <f>AM30*20%+AM47*80%</f>
        <v>#DIV/0!</v>
      </c>
      <c r="AN52" s="101"/>
      <c r="AO52" s="110" t="e">
        <f>AO30*20%+AO47*80%</f>
        <v>#DIV/0!</v>
      </c>
      <c r="AP52" s="101"/>
      <c r="AQ52" s="110" t="e">
        <f>AQ30*20%+AQ47*80%</f>
        <v>#DIV/0!</v>
      </c>
      <c r="AR52" s="101"/>
    </row>
    <row r="53" spans="1:44" ht="15.75" customHeight="1" x14ac:dyDescent="0.25">
      <c r="A53" s="64"/>
      <c r="B53" s="62"/>
      <c r="C53" s="62"/>
      <c r="D53" s="62"/>
      <c r="E53" s="58"/>
      <c r="F53" s="58"/>
      <c r="G53" s="58"/>
      <c r="H53" s="58"/>
      <c r="I53" s="58"/>
      <c r="J53" s="58"/>
      <c r="K53" s="58"/>
      <c r="L53" s="58"/>
      <c r="M53" s="58"/>
      <c r="N53" s="58"/>
      <c r="O53" s="58"/>
      <c r="P53" s="58"/>
      <c r="Q53" s="58"/>
      <c r="R53" s="58"/>
      <c r="S53" s="58"/>
      <c r="T53" s="58"/>
      <c r="U53" s="58"/>
      <c r="V53" s="58"/>
      <c r="W53" s="58"/>
      <c r="X53" s="58"/>
      <c r="Y53" s="58"/>
      <c r="Z53" s="78"/>
      <c r="AA53" s="78" t="s">
        <v>96</v>
      </c>
      <c r="AB53" s="79"/>
      <c r="AC53" s="105"/>
      <c r="AD53" s="107"/>
      <c r="AE53" s="105"/>
      <c r="AF53" s="107"/>
      <c r="AG53" s="105"/>
      <c r="AH53" s="107"/>
      <c r="AI53" s="105"/>
      <c r="AJ53" s="107"/>
      <c r="AK53" s="105"/>
      <c r="AL53" s="107"/>
      <c r="AM53" s="105"/>
      <c r="AN53" s="107"/>
      <c r="AO53" s="105"/>
      <c r="AP53" s="107"/>
      <c r="AQ53" s="105"/>
      <c r="AR53" s="107"/>
    </row>
    <row r="54" spans="1:44" ht="15.75" customHeight="1" x14ac:dyDescent="0.25">
      <c r="A54" s="64"/>
      <c r="B54" s="62"/>
      <c r="C54" s="62"/>
      <c r="D54" s="62"/>
      <c r="E54" s="58"/>
      <c r="F54" s="58"/>
      <c r="G54" s="58"/>
      <c r="H54" s="58"/>
      <c r="I54" s="58"/>
      <c r="J54" s="58"/>
      <c r="K54" s="58"/>
      <c r="L54" s="58"/>
      <c r="M54" s="58"/>
      <c r="N54" s="58"/>
      <c r="O54" s="58"/>
      <c r="P54" s="58"/>
      <c r="Q54" s="58"/>
      <c r="R54" s="58"/>
      <c r="S54" s="58"/>
      <c r="T54" s="58"/>
      <c r="U54" s="58"/>
      <c r="V54" s="58"/>
      <c r="W54" s="58"/>
      <c r="X54" s="58"/>
      <c r="Y54" s="58"/>
      <c r="Z54" s="78" t="s">
        <v>97</v>
      </c>
      <c r="AA54" s="78"/>
      <c r="AB54" s="79"/>
      <c r="AC54" s="126" t="e">
        <f>IF(AC52&lt;55%,"D",IF(AC52&lt;80%,"C",IF(AC52&lt;90%,"B","A")))</f>
        <v>#DIV/0!</v>
      </c>
      <c r="AD54" s="101"/>
      <c r="AE54" s="126" t="e">
        <f>IF(AE52&lt;55%,"D",IF(AE52&lt;80%,"C",IF(AE52&lt;90%,"B","A")))</f>
        <v>#DIV/0!</v>
      </c>
      <c r="AF54" s="101"/>
      <c r="AG54" s="126" t="e">
        <f>IF(AG52&lt;55%,"D",IF(AG52&lt;80%,"C",IF(AG52&lt;90%,"B","A")))</f>
        <v>#DIV/0!</v>
      </c>
      <c r="AH54" s="101"/>
      <c r="AI54" s="126" t="e">
        <f>IF(AI52&lt;55%,"D",IF(AI52&lt;80%,"C",IF(AI52&lt;90%,"B","A")))</f>
        <v>#DIV/0!</v>
      </c>
      <c r="AJ54" s="101"/>
      <c r="AK54" s="126" t="e">
        <f>IF(AK52&lt;55%,"D",IF(AK52&lt;80%,"C",IF(AK52&lt;90%,"B","A")))</f>
        <v>#DIV/0!</v>
      </c>
      <c r="AL54" s="101"/>
      <c r="AM54" s="126" t="e">
        <f>IF(AM52&lt;55%,"D",IF(AM52&lt;80%,"C",IF(AM52&lt;90%,"B","A")))</f>
        <v>#DIV/0!</v>
      </c>
      <c r="AN54" s="101"/>
      <c r="AO54" s="126" t="e">
        <f>IF(AO52&lt;55%,"D",IF(AO52&lt;80%,"C",IF(AO52&lt;90%,"B","A")))</f>
        <v>#DIV/0!</v>
      </c>
      <c r="AP54" s="101"/>
      <c r="AQ54" s="126" t="e">
        <f>IF(AQ52&lt;55%,"D",IF(AQ52&lt;80%,"C",IF(AQ52&lt;90%,"B","A")))</f>
        <v>#DIV/0!</v>
      </c>
      <c r="AR54" s="101"/>
    </row>
    <row r="55" spans="1:44" ht="15.75" customHeight="1" x14ac:dyDescent="0.25">
      <c r="A55" s="64"/>
      <c r="B55" s="62"/>
      <c r="C55" s="62"/>
      <c r="D55" s="62"/>
      <c r="E55" s="58"/>
      <c r="F55" s="58"/>
      <c r="G55" s="58"/>
      <c r="H55" s="58"/>
      <c r="I55" s="58"/>
      <c r="J55" s="58"/>
      <c r="K55" s="58"/>
      <c r="L55" s="58"/>
      <c r="M55" s="58"/>
      <c r="N55" s="58"/>
      <c r="O55" s="58"/>
      <c r="P55" s="58"/>
      <c r="Q55" s="58"/>
      <c r="R55" s="58"/>
      <c r="S55" s="58"/>
      <c r="T55" s="58"/>
      <c r="U55" s="58"/>
      <c r="V55" s="58"/>
      <c r="W55" s="58"/>
      <c r="X55" s="58"/>
      <c r="Y55" s="58"/>
      <c r="Z55" s="78"/>
      <c r="AA55" s="78" t="s">
        <v>98</v>
      </c>
      <c r="AB55" s="79"/>
      <c r="AC55" s="105"/>
      <c r="AD55" s="107"/>
      <c r="AE55" s="105"/>
      <c r="AF55" s="107"/>
      <c r="AG55" s="105"/>
      <c r="AH55" s="107"/>
      <c r="AI55" s="105"/>
      <c r="AJ55" s="107"/>
      <c r="AK55" s="105"/>
      <c r="AL55" s="107"/>
      <c r="AM55" s="105"/>
      <c r="AN55" s="107"/>
      <c r="AO55" s="105"/>
      <c r="AP55" s="107"/>
      <c r="AQ55" s="105"/>
      <c r="AR55" s="107"/>
    </row>
    <row r="56" spans="1:44" ht="15.75" customHeight="1" x14ac:dyDescent="0.25">
      <c r="A56" s="64"/>
      <c r="B56" s="62"/>
      <c r="C56" s="62"/>
      <c r="D56" s="62"/>
      <c r="E56" s="58"/>
      <c r="F56" s="58"/>
      <c r="G56" s="58"/>
      <c r="H56" s="58"/>
      <c r="I56" s="58"/>
      <c r="J56" s="58"/>
      <c r="K56" s="58"/>
      <c r="L56" s="58"/>
      <c r="M56" s="58"/>
      <c r="N56" s="58"/>
      <c r="O56" s="58"/>
      <c r="P56" s="58"/>
      <c r="Q56" s="58"/>
      <c r="R56" s="58"/>
      <c r="S56" s="58"/>
      <c r="T56" s="58"/>
      <c r="U56" s="58"/>
      <c r="V56" s="58"/>
      <c r="W56" s="58"/>
      <c r="X56" s="58"/>
      <c r="Y56" s="58"/>
      <c r="Z56" s="78" t="s">
        <v>99</v>
      </c>
      <c r="AA56" s="78"/>
      <c r="AB56" s="79"/>
      <c r="AC56" s="126"/>
      <c r="AD56" s="100"/>
      <c r="AE56" s="100"/>
      <c r="AF56" s="101"/>
      <c r="AG56" s="126"/>
      <c r="AH56" s="100"/>
      <c r="AI56" s="100"/>
      <c r="AJ56" s="101"/>
      <c r="AK56" s="126"/>
      <c r="AL56" s="100"/>
      <c r="AM56" s="100"/>
      <c r="AN56" s="101"/>
      <c r="AO56" s="126"/>
      <c r="AP56" s="100"/>
      <c r="AQ56" s="100"/>
      <c r="AR56" s="101"/>
    </row>
    <row r="57" spans="1:44" ht="15.75" customHeight="1" x14ac:dyDescent="0.25">
      <c r="A57" s="64"/>
      <c r="B57" s="62"/>
      <c r="C57" s="62"/>
      <c r="D57" s="62"/>
      <c r="E57" s="58"/>
      <c r="F57" s="58"/>
      <c r="G57" s="58"/>
      <c r="H57" s="58"/>
      <c r="I57" s="58"/>
      <c r="J57" s="58"/>
      <c r="K57" s="58"/>
      <c r="L57" s="58"/>
      <c r="M57" s="58"/>
      <c r="N57" s="58"/>
      <c r="O57" s="58"/>
      <c r="P57" s="58"/>
      <c r="Q57" s="58"/>
      <c r="R57" s="58"/>
      <c r="S57" s="58"/>
      <c r="T57" s="58"/>
      <c r="U57" s="58"/>
      <c r="V57" s="58"/>
      <c r="W57" s="58"/>
      <c r="X57" s="58"/>
      <c r="Y57" s="58"/>
      <c r="Z57" s="78"/>
      <c r="AA57" s="78" t="s">
        <v>100</v>
      </c>
      <c r="AB57" s="79"/>
      <c r="AC57" s="105"/>
      <c r="AD57" s="106"/>
      <c r="AE57" s="106"/>
      <c r="AF57" s="107"/>
      <c r="AG57" s="105"/>
      <c r="AH57" s="106"/>
      <c r="AI57" s="106"/>
      <c r="AJ57" s="107"/>
      <c r="AK57" s="105"/>
      <c r="AL57" s="106"/>
      <c r="AM57" s="106"/>
      <c r="AN57" s="107"/>
      <c r="AO57" s="105"/>
      <c r="AP57" s="106"/>
      <c r="AQ57" s="106"/>
      <c r="AR57" s="107"/>
    </row>
    <row r="58" spans="1:44" ht="15.75" customHeight="1" x14ac:dyDescent="0.25">
      <c r="A58" s="64"/>
      <c r="B58" s="62"/>
      <c r="C58" s="62"/>
      <c r="D58" s="62"/>
      <c r="E58" s="58"/>
      <c r="F58" s="58"/>
      <c r="G58" s="58"/>
      <c r="H58" s="58"/>
      <c r="I58" s="58"/>
      <c r="J58" s="58"/>
      <c r="K58" s="58"/>
      <c r="L58" s="58"/>
      <c r="M58" s="58"/>
      <c r="N58" s="58"/>
      <c r="O58" s="58"/>
      <c r="P58" s="58"/>
      <c r="Q58" s="58"/>
      <c r="R58" s="58"/>
      <c r="S58" s="58"/>
      <c r="T58" s="58"/>
      <c r="U58" s="58"/>
      <c r="V58" s="58"/>
      <c r="W58" s="58"/>
      <c r="X58" s="58"/>
      <c r="Y58" s="58"/>
      <c r="Z58" s="78" t="s">
        <v>101</v>
      </c>
      <c r="AA58" s="78"/>
      <c r="AB58" s="79"/>
      <c r="AC58" s="126"/>
      <c r="AD58" s="100"/>
      <c r="AE58" s="100"/>
      <c r="AF58" s="101"/>
      <c r="AG58" s="126"/>
      <c r="AH58" s="100"/>
      <c r="AI58" s="100"/>
      <c r="AJ58" s="101"/>
      <c r="AK58" s="126"/>
      <c r="AL58" s="100"/>
      <c r="AM58" s="100"/>
      <c r="AN58" s="101"/>
      <c r="AO58" s="126"/>
      <c r="AP58" s="100"/>
      <c r="AQ58" s="100"/>
      <c r="AR58" s="101"/>
    </row>
    <row r="59" spans="1:44" ht="15.75" customHeight="1" x14ac:dyDescent="0.25">
      <c r="A59" s="64"/>
      <c r="B59" s="62"/>
      <c r="C59" s="62"/>
      <c r="D59" s="62"/>
      <c r="E59" s="58"/>
      <c r="F59" s="58"/>
      <c r="G59" s="58"/>
      <c r="H59" s="58"/>
      <c r="I59" s="58"/>
      <c r="J59" s="58"/>
      <c r="K59" s="58"/>
      <c r="L59" s="58"/>
      <c r="M59" s="58"/>
      <c r="N59" s="58"/>
      <c r="O59" s="58"/>
      <c r="P59" s="58"/>
      <c r="Q59" s="58"/>
      <c r="R59" s="58"/>
      <c r="S59" s="58"/>
      <c r="T59" s="58"/>
      <c r="U59" s="58"/>
      <c r="V59" s="58"/>
      <c r="W59" s="58"/>
      <c r="X59" s="58"/>
      <c r="Y59" s="58"/>
      <c r="Z59" s="58"/>
      <c r="AA59" s="78" t="s">
        <v>102</v>
      </c>
      <c r="AB59" s="58"/>
      <c r="AC59" s="105"/>
      <c r="AD59" s="106"/>
      <c r="AE59" s="106"/>
      <c r="AF59" s="107"/>
      <c r="AG59" s="105"/>
      <c r="AH59" s="106"/>
      <c r="AI59" s="106"/>
      <c r="AJ59" s="107"/>
      <c r="AK59" s="105"/>
      <c r="AL59" s="106"/>
      <c r="AM59" s="106"/>
      <c r="AN59" s="107"/>
      <c r="AO59" s="105"/>
      <c r="AP59" s="106"/>
      <c r="AQ59" s="106"/>
      <c r="AR59" s="107"/>
    </row>
    <row r="60" spans="1:44" ht="8.25" customHeight="1" x14ac:dyDescent="0.25">
      <c r="A60" s="64"/>
      <c r="B60" s="62"/>
      <c r="C60" s="62"/>
      <c r="D60" s="62"/>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row>
    <row r="61" spans="1:44" ht="15.75" hidden="1" customHeight="1" x14ac:dyDescent="0.25">
      <c r="A61" s="121" t="s">
        <v>103</v>
      </c>
      <c r="B61" s="112"/>
      <c r="C61" s="112"/>
      <c r="D61" s="112"/>
      <c r="E61" s="112"/>
      <c r="F61" s="112"/>
      <c r="G61" s="112"/>
      <c r="H61" s="112"/>
      <c r="I61" s="112"/>
      <c r="J61" s="112"/>
      <c r="K61" s="112"/>
      <c r="L61" s="112"/>
      <c r="M61" s="112"/>
      <c r="N61" s="112"/>
      <c r="O61" s="112"/>
      <c r="P61" s="112"/>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2"/>
      <c r="AP61" s="112"/>
      <c r="AQ61" s="112"/>
      <c r="AR61" s="112"/>
    </row>
    <row r="62" spans="1:44" ht="8.25" hidden="1" customHeight="1" x14ac:dyDescent="0.25">
      <c r="A62" s="64"/>
      <c r="B62" s="62"/>
      <c r="C62" s="62"/>
      <c r="D62" s="62"/>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row>
    <row r="63" spans="1:44" ht="8.25" hidden="1" customHeight="1" x14ac:dyDescent="0.25">
      <c r="A63" s="64"/>
      <c r="B63" s="62"/>
      <c r="C63" s="62"/>
      <c r="D63" s="62"/>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row>
    <row r="64" spans="1:44" ht="15.75" hidden="1" customHeight="1" x14ac:dyDescent="0.25">
      <c r="A64" s="83"/>
      <c r="B64" s="81"/>
      <c r="C64" s="81"/>
      <c r="D64" s="81" t="s">
        <v>104</v>
      </c>
      <c r="E64" s="82"/>
      <c r="F64" s="82"/>
      <c r="G64" s="82"/>
      <c r="H64" s="82"/>
      <c r="I64" s="82"/>
      <c r="J64" s="82"/>
      <c r="K64" s="82"/>
      <c r="L64" s="82"/>
      <c r="M64" s="82"/>
      <c r="N64" s="82"/>
      <c r="O64" s="82"/>
      <c r="P64" s="82"/>
      <c r="Q64" s="82"/>
      <c r="R64" s="82"/>
      <c r="S64" s="82"/>
      <c r="T64" s="82"/>
      <c r="U64" s="82"/>
      <c r="V64" s="82"/>
      <c r="W64" s="82"/>
      <c r="X64" s="82"/>
      <c r="Y64" s="82"/>
      <c r="Z64" s="82"/>
      <c r="AA64" s="82"/>
      <c r="AB64" s="82"/>
      <c r="AC64" s="82"/>
      <c r="AD64" s="82"/>
      <c r="AE64" s="82"/>
      <c r="AF64" s="82"/>
      <c r="AG64" s="82"/>
      <c r="AH64" s="82"/>
      <c r="AI64" s="82"/>
      <c r="AJ64" s="82"/>
      <c r="AK64" s="82"/>
      <c r="AL64" s="82"/>
      <c r="AM64" s="82"/>
      <c r="AN64" s="82"/>
      <c r="AO64" s="82"/>
      <c r="AP64" s="82"/>
      <c r="AQ64" s="82"/>
      <c r="AR64" s="82"/>
    </row>
    <row r="65" spans="1:44" ht="8.25" hidden="1" customHeight="1" x14ac:dyDescent="0.25">
      <c r="A65" s="64"/>
      <c r="B65" s="62"/>
      <c r="C65" s="62"/>
      <c r="D65" s="62"/>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row>
    <row r="66" spans="1:44" ht="14.25" hidden="1" customHeight="1" x14ac:dyDescent="0.25">
      <c r="A66" s="122" t="s">
        <v>105</v>
      </c>
      <c r="B66" s="124" t="s">
        <v>106</v>
      </c>
      <c r="C66" s="100"/>
      <c r="D66" s="100"/>
      <c r="E66" s="100"/>
      <c r="F66" s="100"/>
      <c r="G66" s="100"/>
      <c r="H66" s="100"/>
      <c r="I66" s="100"/>
      <c r="J66" s="100"/>
      <c r="K66" s="101"/>
      <c r="L66" s="125" t="s">
        <v>107</v>
      </c>
      <c r="M66" s="101"/>
      <c r="N66" s="125" t="s">
        <v>108</v>
      </c>
      <c r="O66" s="101"/>
      <c r="P66" s="124" t="s">
        <v>109</v>
      </c>
      <c r="Q66" s="100"/>
      <c r="R66" s="100"/>
      <c r="S66" s="100"/>
      <c r="T66" s="100"/>
      <c r="U66" s="100"/>
      <c r="V66" s="100"/>
      <c r="W66" s="100"/>
      <c r="X66" s="100"/>
      <c r="Y66" s="100"/>
      <c r="Z66" s="100"/>
      <c r="AA66" s="100"/>
      <c r="AB66" s="100"/>
      <c r="AC66" s="100"/>
      <c r="AD66" s="100"/>
      <c r="AE66" s="100"/>
      <c r="AF66" s="100"/>
      <c r="AG66" s="100"/>
      <c r="AH66" s="100"/>
      <c r="AI66" s="100"/>
      <c r="AJ66" s="101"/>
      <c r="AK66" s="124" t="s">
        <v>110</v>
      </c>
      <c r="AL66" s="100"/>
      <c r="AM66" s="100"/>
      <c r="AN66" s="100"/>
      <c r="AO66" s="100"/>
      <c r="AP66" s="100"/>
      <c r="AQ66" s="100"/>
      <c r="AR66" s="101"/>
    </row>
    <row r="67" spans="1:44" ht="15" hidden="1" customHeight="1" x14ac:dyDescent="0.25">
      <c r="A67" s="123"/>
      <c r="B67" s="102"/>
      <c r="C67" s="103"/>
      <c r="D67" s="103"/>
      <c r="E67" s="103"/>
      <c r="F67" s="103"/>
      <c r="G67" s="103"/>
      <c r="H67" s="103"/>
      <c r="I67" s="103"/>
      <c r="J67" s="103"/>
      <c r="K67" s="104"/>
      <c r="L67" s="102"/>
      <c r="M67" s="104"/>
      <c r="N67" s="102"/>
      <c r="O67" s="104"/>
      <c r="P67" s="102"/>
      <c r="Q67" s="103"/>
      <c r="R67" s="103"/>
      <c r="S67" s="103"/>
      <c r="T67" s="103"/>
      <c r="U67" s="103"/>
      <c r="V67" s="103"/>
      <c r="W67" s="103"/>
      <c r="X67" s="103"/>
      <c r="Y67" s="103"/>
      <c r="Z67" s="103"/>
      <c r="AA67" s="103"/>
      <c r="AB67" s="103"/>
      <c r="AC67" s="103"/>
      <c r="AD67" s="103"/>
      <c r="AE67" s="103"/>
      <c r="AF67" s="103"/>
      <c r="AG67" s="103"/>
      <c r="AH67" s="103"/>
      <c r="AI67" s="103"/>
      <c r="AJ67" s="104"/>
      <c r="AK67" s="102"/>
      <c r="AL67" s="103"/>
      <c r="AM67" s="103"/>
      <c r="AN67" s="103"/>
      <c r="AO67" s="103"/>
      <c r="AP67" s="103"/>
      <c r="AQ67" s="103"/>
      <c r="AR67" s="104"/>
    </row>
    <row r="68" spans="1:44" ht="15.75" hidden="1" customHeight="1" x14ac:dyDescent="0.25">
      <c r="A68" s="119"/>
      <c r="B68" s="105"/>
      <c r="C68" s="106"/>
      <c r="D68" s="106"/>
      <c r="E68" s="106"/>
      <c r="F68" s="106"/>
      <c r="G68" s="106"/>
      <c r="H68" s="106"/>
      <c r="I68" s="106"/>
      <c r="J68" s="106"/>
      <c r="K68" s="107"/>
      <c r="L68" s="105"/>
      <c r="M68" s="107"/>
      <c r="N68" s="105"/>
      <c r="O68" s="107"/>
      <c r="P68" s="105"/>
      <c r="Q68" s="106"/>
      <c r="R68" s="106"/>
      <c r="S68" s="106"/>
      <c r="T68" s="106"/>
      <c r="U68" s="106"/>
      <c r="V68" s="106"/>
      <c r="W68" s="106"/>
      <c r="X68" s="106"/>
      <c r="Y68" s="106"/>
      <c r="Z68" s="106"/>
      <c r="AA68" s="106"/>
      <c r="AB68" s="106"/>
      <c r="AC68" s="106"/>
      <c r="AD68" s="106"/>
      <c r="AE68" s="106"/>
      <c r="AF68" s="106"/>
      <c r="AG68" s="106"/>
      <c r="AH68" s="106"/>
      <c r="AI68" s="106"/>
      <c r="AJ68" s="107"/>
      <c r="AK68" s="105"/>
      <c r="AL68" s="106"/>
      <c r="AM68" s="106"/>
      <c r="AN68" s="106"/>
      <c r="AO68" s="106"/>
      <c r="AP68" s="106"/>
      <c r="AQ68" s="106"/>
      <c r="AR68" s="107"/>
    </row>
    <row r="69" spans="1:44" ht="15.75" hidden="1" customHeight="1" x14ac:dyDescent="0.25">
      <c r="A69" s="118">
        <v>1</v>
      </c>
      <c r="B69" s="99" t="s">
        <v>111</v>
      </c>
      <c r="C69" s="100"/>
      <c r="D69" s="100"/>
      <c r="E69" s="100"/>
      <c r="F69" s="100"/>
      <c r="G69" s="100"/>
      <c r="H69" s="100"/>
      <c r="I69" s="100"/>
      <c r="J69" s="100"/>
      <c r="K69" s="101"/>
      <c r="L69" s="120">
        <v>2</v>
      </c>
      <c r="M69" s="101"/>
      <c r="N69" s="120"/>
      <c r="O69" s="101"/>
      <c r="P69" s="99"/>
      <c r="Q69" s="100"/>
      <c r="R69" s="100"/>
      <c r="S69" s="100"/>
      <c r="T69" s="100"/>
      <c r="U69" s="100"/>
      <c r="V69" s="100"/>
      <c r="W69" s="100"/>
      <c r="X69" s="100"/>
      <c r="Y69" s="100"/>
      <c r="Z69" s="100"/>
      <c r="AA69" s="100"/>
      <c r="AB69" s="100"/>
      <c r="AC69" s="100"/>
      <c r="AD69" s="100"/>
      <c r="AE69" s="100"/>
      <c r="AF69" s="100"/>
      <c r="AG69" s="100"/>
      <c r="AH69" s="100"/>
      <c r="AI69" s="100"/>
      <c r="AJ69" s="101"/>
      <c r="AK69" s="99"/>
      <c r="AL69" s="100"/>
      <c r="AM69" s="100"/>
      <c r="AN69" s="100"/>
      <c r="AO69" s="100"/>
      <c r="AP69" s="100"/>
      <c r="AQ69" s="100"/>
      <c r="AR69" s="101"/>
    </row>
    <row r="70" spans="1:44" ht="15.75" hidden="1" customHeight="1" x14ac:dyDescent="0.25">
      <c r="A70" s="119"/>
      <c r="B70" s="105"/>
      <c r="C70" s="106"/>
      <c r="D70" s="106"/>
      <c r="E70" s="106"/>
      <c r="F70" s="106"/>
      <c r="G70" s="106"/>
      <c r="H70" s="106"/>
      <c r="I70" s="106"/>
      <c r="J70" s="106"/>
      <c r="K70" s="107"/>
      <c r="L70" s="105"/>
      <c r="M70" s="107"/>
      <c r="N70" s="105"/>
      <c r="O70" s="107"/>
      <c r="P70" s="105"/>
      <c r="Q70" s="106"/>
      <c r="R70" s="106"/>
      <c r="S70" s="106"/>
      <c r="T70" s="106"/>
      <c r="U70" s="106"/>
      <c r="V70" s="106"/>
      <c r="W70" s="106"/>
      <c r="X70" s="106"/>
      <c r="Y70" s="106"/>
      <c r="Z70" s="106"/>
      <c r="AA70" s="106"/>
      <c r="AB70" s="106"/>
      <c r="AC70" s="106"/>
      <c r="AD70" s="106"/>
      <c r="AE70" s="106"/>
      <c r="AF70" s="106"/>
      <c r="AG70" s="106"/>
      <c r="AH70" s="106"/>
      <c r="AI70" s="106"/>
      <c r="AJ70" s="107"/>
      <c r="AK70" s="105"/>
      <c r="AL70" s="106"/>
      <c r="AM70" s="106"/>
      <c r="AN70" s="106"/>
      <c r="AO70" s="106"/>
      <c r="AP70" s="106"/>
      <c r="AQ70" s="106"/>
      <c r="AR70" s="107"/>
    </row>
    <row r="71" spans="1:44" ht="15.75" hidden="1" customHeight="1" x14ac:dyDescent="0.25">
      <c r="A71" s="118">
        <v>2</v>
      </c>
      <c r="B71" s="99" t="s">
        <v>112</v>
      </c>
      <c r="C71" s="100"/>
      <c r="D71" s="100"/>
      <c r="E71" s="100"/>
      <c r="F71" s="100"/>
      <c r="G71" s="100"/>
      <c r="H71" s="100"/>
      <c r="I71" s="100"/>
      <c r="J71" s="100"/>
      <c r="K71" s="101"/>
      <c r="L71" s="120">
        <v>1</v>
      </c>
      <c r="M71" s="101"/>
      <c r="N71" s="120"/>
      <c r="O71" s="101"/>
      <c r="P71" s="99"/>
      <c r="Q71" s="100"/>
      <c r="R71" s="100"/>
      <c r="S71" s="100"/>
      <c r="T71" s="100"/>
      <c r="U71" s="100"/>
      <c r="V71" s="100"/>
      <c r="W71" s="100"/>
      <c r="X71" s="100"/>
      <c r="Y71" s="100"/>
      <c r="Z71" s="100"/>
      <c r="AA71" s="100"/>
      <c r="AB71" s="100"/>
      <c r="AC71" s="100"/>
      <c r="AD71" s="100"/>
      <c r="AE71" s="100"/>
      <c r="AF71" s="100"/>
      <c r="AG71" s="100"/>
      <c r="AH71" s="100"/>
      <c r="AI71" s="100"/>
      <c r="AJ71" s="101"/>
      <c r="AK71" s="99"/>
      <c r="AL71" s="100"/>
      <c r="AM71" s="100"/>
      <c r="AN71" s="100"/>
      <c r="AO71" s="100"/>
      <c r="AP71" s="100"/>
      <c r="AQ71" s="100"/>
      <c r="AR71" s="101"/>
    </row>
    <row r="72" spans="1:44" ht="15.75" hidden="1" customHeight="1" x14ac:dyDescent="0.25">
      <c r="A72" s="119"/>
      <c r="B72" s="105"/>
      <c r="C72" s="106"/>
      <c r="D72" s="106"/>
      <c r="E72" s="106"/>
      <c r="F72" s="106"/>
      <c r="G72" s="106"/>
      <c r="H72" s="106"/>
      <c r="I72" s="106"/>
      <c r="J72" s="106"/>
      <c r="K72" s="107"/>
      <c r="L72" s="105"/>
      <c r="M72" s="107"/>
      <c r="N72" s="105"/>
      <c r="O72" s="107"/>
      <c r="P72" s="105"/>
      <c r="Q72" s="106"/>
      <c r="R72" s="106"/>
      <c r="S72" s="106"/>
      <c r="T72" s="106"/>
      <c r="U72" s="106"/>
      <c r="V72" s="106"/>
      <c r="W72" s="106"/>
      <c r="X72" s="106"/>
      <c r="Y72" s="106"/>
      <c r="Z72" s="106"/>
      <c r="AA72" s="106"/>
      <c r="AB72" s="106"/>
      <c r="AC72" s="106"/>
      <c r="AD72" s="106"/>
      <c r="AE72" s="106"/>
      <c r="AF72" s="106"/>
      <c r="AG72" s="106"/>
      <c r="AH72" s="106"/>
      <c r="AI72" s="106"/>
      <c r="AJ72" s="107"/>
      <c r="AK72" s="105"/>
      <c r="AL72" s="106"/>
      <c r="AM72" s="106"/>
      <c r="AN72" s="106"/>
      <c r="AO72" s="106"/>
      <c r="AP72" s="106"/>
      <c r="AQ72" s="106"/>
      <c r="AR72" s="107"/>
    </row>
    <row r="73" spans="1:44" ht="15.75" hidden="1" customHeight="1" x14ac:dyDescent="0.25">
      <c r="A73" s="118">
        <v>3</v>
      </c>
      <c r="B73" s="99" t="s">
        <v>113</v>
      </c>
      <c r="C73" s="100"/>
      <c r="D73" s="100"/>
      <c r="E73" s="100"/>
      <c r="F73" s="100"/>
      <c r="G73" s="100"/>
      <c r="H73" s="100"/>
      <c r="I73" s="100"/>
      <c r="J73" s="100"/>
      <c r="K73" s="101"/>
      <c r="L73" s="120">
        <v>1</v>
      </c>
      <c r="M73" s="101"/>
      <c r="N73" s="120"/>
      <c r="O73" s="101"/>
      <c r="P73" s="99"/>
      <c r="Q73" s="100"/>
      <c r="R73" s="100"/>
      <c r="S73" s="100"/>
      <c r="T73" s="100"/>
      <c r="U73" s="100"/>
      <c r="V73" s="100"/>
      <c r="W73" s="100"/>
      <c r="X73" s="100"/>
      <c r="Y73" s="100"/>
      <c r="Z73" s="100"/>
      <c r="AA73" s="100"/>
      <c r="AB73" s="100"/>
      <c r="AC73" s="100"/>
      <c r="AD73" s="100"/>
      <c r="AE73" s="100"/>
      <c r="AF73" s="100"/>
      <c r="AG73" s="100"/>
      <c r="AH73" s="100"/>
      <c r="AI73" s="100"/>
      <c r="AJ73" s="101"/>
      <c r="AK73" s="99"/>
      <c r="AL73" s="100"/>
      <c r="AM73" s="100"/>
      <c r="AN73" s="100"/>
      <c r="AO73" s="100"/>
      <c r="AP73" s="100"/>
      <c r="AQ73" s="100"/>
      <c r="AR73" s="101"/>
    </row>
    <row r="74" spans="1:44" ht="15.75" hidden="1" customHeight="1" x14ac:dyDescent="0.25">
      <c r="A74" s="119"/>
      <c r="B74" s="105"/>
      <c r="C74" s="106"/>
      <c r="D74" s="106"/>
      <c r="E74" s="106"/>
      <c r="F74" s="106"/>
      <c r="G74" s="106"/>
      <c r="H74" s="106"/>
      <c r="I74" s="106"/>
      <c r="J74" s="106"/>
      <c r="K74" s="107"/>
      <c r="L74" s="105"/>
      <c r="M74" s="107"/>
      <c r="N74" s="105"/>
      <c r="O74" s="107"/>
      <c r="P74" s="105"/>
      <c r="Q74" s="106"/>
      <c r="R74" s="106"/>
      <c r="S74" s="106"/>
      <c r="T74" s="106"/>
      <c r="U74" s="106"/>
      <c r="V74" s="106"/>
      <c r="W74" s="106"/>
      <c r="X74" s="106"/>
      <c r="Y74" s="106"/>
      <c r="Z74" s="106"/>
      <c r="AA74" s="106"/>
      <c r="AB74" s="106"/>
      <c r="AC74" s="106"/>
      <c r="AD74" s="106"/>
      <c r="AE74" s="106"/>
      <c r="AF74" s="106"/>
      <c r="AG74" s="106"/>
      <c r="AH74" s="106"/>
      <c r="AI74" s="106"/>
      <c r="AJ74" s="107"/>
      <c r="AK74" s="105"/>
      <c r="AL74" s="106"/>
      <c r="AM74" s="106"/>
      <c r="AN74" s="106"/>
      <c r="AO74" s="106"/>
      <c r="AP74" s="106"/>
      <c r="AQ74" s="106"/>
      <c r="AR74" s="107"/>
    </row>
    <row r="75" spans="1:44" ht="15.75" hidden="1" customHeight="1" x14ac:dyDescent="0.25">
      <c r="A75" s="118">
        <v>4</v>
      </c>
      <c r="B75" s="99" t="s">
        <v>114</v>
      </c>
      <c r="C75" s="100"/>
      <c r="D75" s="100"/>
      <c r="E75" s="100"/>
      <c r="F75" s="100"/>
      <c r="G75" s="100"/>
      <c r="H75" s="100"/>
      <c r="I75" s="100"/>
      <c r="J75" s="100"/>
      <c r="K75" s="101"/>
      <c r="L75" s="120">
        <v>2</v>
      </c>
      <c r="M75" s="101"/>
      <c r="N75" s="120"/>
      <c r="O75" s="101"/>
      <c r="P75" s="99"/>
      <c r="Q75" s="100"/>
      <c r="R75" s="100"/>
      <c r="S75" s="100"/>
      <c r="T75" s="100"/>
      <c r="U75" s="100"/>
      <c r="V75" s="100"/>
      <c r="W75" s="100"/>
      <c r="X75" s="100"/>
      <c r="Y75" s="100"/>
      <c r="Z75" s="100"/>
      <c r="AA75" s="100"/>
      <c r="AB75" s="100"/>
      <c r="AC75" s="100"/>
      <c r="AD75" s="100"/>
      <c r="AE75" s="100"/>
      <c r="AF75" s="100"/>
      <c r="AG75" s="100"/>
      <c r="AH75" s="100"/>
      <c r="AI75" s="100"/>
      <c r="AJ75" s="101"/>
      <c r="AK75" s="99"/>
      <c r="AL75" s="100"/>
      <c r="AM75" s="100"/>
      <c r="AN75" s="100"/>
      <c r="AO75" s="100"/>
      <c r="AP75" s="100"/>
      <c r="AQ75" s="100"/>
      <c r="AR75" s="101"/>
    </row>
    <row r="76" spans="1:44" ht="15.75" hidden="1" customHeight="1" x14ac:dyDescent="0.25">
      <c r="A76" s="119"/>
      <c r="B76" s="105"/>
      <c r="C76" s="106"/>
      <c r="D76" s="106"/>
      <c r="E76" s="106"/>
      <c r="F76" s="106"/>
      <c r="G76" s="106"/>
      <c r="H76" s="106"/>
      <c r="I76" s="106"/>
      <c r="J76" s="106"/>
      <c r="K76" s="107"/>
      <c r="L76" s="105"/>
      <c r="M76" s="107"/>
      <c r="N76" s="105"/>
      <c r="O76" s="107"/>
      <c r="P76" s="105"/>
      <c r="Q76" s="106"/>
      <c r="R76" s="106"/>
      <c r="S76" s="106"/>
      <c r="T76" s="106"/>
      <c r="U76" s="106"/>
      <c r="V76" s="106"/>
      <c r="W76" s="106"/>
      <c r="X76" s="106"/>
      <c r="Y76" s="106"/>
      <c r="Z76" s="106"/>
      <c r="AA76" s="106"/>
      <c r="AB76" s="106"/>
      <c r="AC76" s="106"/>
      <c r="AD76" s="106"/>
      <c r="AE76" s="106"/>
      <c r="AF76" s="106"/>
      <c r="AG76" s="106"/>
      <c r="AH76" s="106"/>
      <c r="AI76" s="106"/>
      <c r="AJ76" s="107"/>
      <c r="AK76" s="105"/>
      <c r="AL76" s="106"/>
      <c r="AM76" s="106"/>
      <c r="AN76" s="106"/>
      <c r="AO76" s="106"/>
      <c r="AP76" s="106"/>
      <c r="AQ76" s="106"/>
      <c r="AR76" s="107"/>
    </row>
    <row r="77" spans="1:44" ht="14.25" hidden="1" customHeight="1" x14ac:dyDescent="0.25">
      <c r="A77" s="115" t="s">
        <v>115</v>
      </c>
      <c r="B77" s="100"/>
      <c r="C77" s="100"/>
      <c r="D77" s="100"/>
      <c r="E77" s="100"/>
      <c r="F77" s="100"/>
      <c r="G77" s="100"/>
      <c r="H77" s="100"/>
      <c r="I77" s="100"/>
      <c r="J77" s="100"/>
      <c r="K77" s="100"/>
      <c r="L77" s="100"/>
      <c r="M77" s="101"/>
      <c r="N77" s="116">
        <f>SUM(N69:O76)/SUM($L$69:$M$76)</f>
        <v>0</v>
      </c>
      <c r="O77" s="101"/>
      <c r="P77" s="117" t="str">
        <f>IF(AND(N77&gt;0%,N77&lt;85%),"KHÔNG ĐẠT",IF(AND(N77&gt;=85%),"ĐẠT",IF(AND(N77=0),"N/A")))</f>
        <v>N/A</v>
      </c>
      <c r="Q77" s="100"/>
      <c r="R77" s="100"/>
      <c r="S77" s="100"/>
      <c r="T77" s="100"/>
      <c r="U77" s="100"/>
      <c r="V77" s="100"/>
      <c r="W77" s="100"/>
      <c r="X77" s="100"/>
      <c r="Y77" s="100"/>
      <c r="Z77" s="100"/>
      <c r="AA77" s="100"/>
      <c r="AB77" s="100"/>
      <c r="AC77" s="100"/>
      <c r="AD77" s="100"/>
      <c r="AE77" s="100"/>
      <c r="AF77" s="100"/>
      <c r="AG77" s="100"/>
      <c r="AH77" s="100"/>
      <c r="AI77" s="100"/>
      <c r="AJ77" s="101"/>
      <c r="AK77" s="117"/>
      <c r="AL77" s="100"/>
      <c r="AM77" s="100"/>
      <c r="AN77" s="100"/>
      <c r="AO77" s="100"/>
      <c r="AP77" s="100"/>
      <c r="AQ77" s="100"/>
      <c r="AR77" s="101"/>
    </row>
    <row r="78" spans="1:44" ht="14.25" hidden="1" customHeight="1" x14ac:dyDescent="0.25">
      <c r="A78" s="105"/>
      <c r="B78" s="106"/>
      <c r="C78" s="106"/>
      <c r="D78" s="106"/>
      <c r="E78" s="106"/>
      <c r="F78" s="106"/>
      <c r="G78" s="106"/>
      <c r="H78" s="106"/>
      <c r="I78" s="106"/>
      <c r="J78" s="106"/>
      <c r="K78" s="106"/>
      <c r="L78" s="106"/>
      <c r="M78" s="107"/>
      <c r="N78" s="105"/>
      <c r="O78" s="107"/>
      <c r="P78" s="105"/>
      <c r="Q78" s="106"/>
      <c r="R78" s="106"/>
      <c r="S78" s="106"/>
      <c r="T78" s="106"/>
      <c r="U78" s="106"/>
      <c r="V78" s="106"/>
      <c r="W78" s="106"/>
      <c r="X78" s="106"/>
      <c r="Y78" s="106"/>
      <c r="Z78" s="106"/>
      <c r="AA78" s="106"/>
      <c r="AB78" s="106"/>
      <c r="AC78" s="106"/>
      <c r="AD78" s="106"/>
      <c r="AE78" s="106"/>
      <c r="AF78" s="106"/>
      <c r="AG78" s="106"/>
      <c r="AH78" s="106"/>
      <c r="AI78" s="106"/>
      <c r="AJ78" s="107"/>
      <c r="AK78" s="105"/>
      <c r="AL78" s="106"/>
      <c r="AM78" s="106"/>
      <c r="AN78" s="106"/>
      <c r="AO78" s="106"/>
      <c r="AP78" s="106"/>
      <c r="AQ78" s="106"/>
      <c r="AR78" s="107"/>
    </row>
    <row r="79" spans="1:44" ht="8.25" hidden="1" customHeight="1" x14ac:dyDescent="0.25">
      <c r="A79" s="64"/>
      <c r="B79" s="62"/>
      <c r="C79" s="62"/>
      <c r="D79" s="62"/>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row>
    <row r="80" spans="1:44" ht="15.75" customHeight="1" x14ac:dyDescent="0.25">
      <c r="A80" s="83" t="s">
        <v>2</v>
      </c>
      <c r="B80" s="81"/>
      <c r="C80" s="81"/>
      <c r="D80" s="81" t="s">
        <v>116</v>
      </c>
      <c r="E80" s="82"/>
      <c r="F80" s="82"/>
      <c r="G80" s="82"/>
      <c r="H80" s="82"/>
      <c r="I80" s="82"/>
      <c r="J80" s="82"/>
      <c r="K80" s="82"/>
      <c r="L80" s="82"/>
      <c r="M80" s="82"/>
      <c r="N80" s="82"/>
      <c r="O80" s="82"/>
      <c r="P80" s="82"/>
      <c r="Q80" s="82"/>
      <c r="R80" s="82"/>
      <c r="S80" s="82"/>
      <c r="T80" s="82"/>
      <c r="U80" s="82"/>
      <c r="V80" s="82"/>
      <c r="W80" s="82"/>
      <c r="X80" s="82"/>
      <c r="Y80" s="82"/>
      <c r="Z80" s="82"/>
      <c r="AA80" s="82"/>
      <c r="AB80" s="82"/>
      <c r="AC80" s="82"/>
      <c r="AD80" s="82"/>
      <c r="AE80" s="82"/>
      <c r="AF80" s="82"/>
      <c r="AG80" s="82"/>
      <c r="AH80" s="82"/>
      <c r="AI80" s="82"/>
      <c r="AJ80" s="82"/>
      <c r="AK80" s="82"/>
      <c r="AL80" s="82"/>
      <c r="AM80" s="82"/>
      <c r="AN80" s="82"/>
      <c r="AO80" s="82"/>
      <c r="AP80" s="82"/>
      <c r="AQ80" s="82"/>
      <c r="AR80" s="82"/>
    </row>
    <row r="81" spans="1:44" ht="8.25" customHeight="1" x14ac:dyDescent="0.25">
      <c r="A81" s="64"/>
      <c r="B81" s="62"/>
      <c r="C81" s="62"/>
      <c r="D81" s="62"/>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row>
    <row r="82" spans="1:44" ht="15" customHeight="1" x14ac:dyDescent="0.25">
      <c r="A82" s="113" t="s">
        <v>117</v>
      </c>
      <c r="B82" s="97"/>
      <c r="C82" s="97"/>
      <c r="D82" s="97"/>
      <c r="E82" s="97"/>
      <c r="F82" s="97"/>
      <c r="G82" s="97"/>
      <c r="H82" s="97"/>
      <c r="I82" s="97"/>
      <c r="J82" s="97"/>
      <c r="K82" s="97"/>
      <c r="L82" s="97"/>
      <c r="M82" s="97"/>
      <c r="N82" s="97"/>
      <c r="O82" s="98"/>
      <c r="P82" s="113" t="s">
        <v>118</v>
      </c>
      <c r="Q82" s="97"/>
      <c r="R82" s="97"/>
      <c r="S82" s="97"/>
      <c r="T82" s="97"/>
      <c r="U82" s="97"/>
      <c r="V82" s="97"/>
      <c r="W82" s="97"/>
      <c r="X82" s="97"/>
      <c r="Y82" s="97"/>
      <c r="Z82" s="97"/>
      <c r="AA82" s="97"/>
      <c r="AB82" s="97"/>
      <c r="AC82" s="97"/>
      <c r="AD82" s="98"/>
      <c r="AE82" s="113" t="s">
        <v>119</v>
      </c>
      <c r="AF82" s="97"/>
      <c r="AG82" s="97"/>
      <c r="AH82" s="97"/>
      <c r="AI82" s="97"/>
      <c r="AJ82" s="97"/>
      <c r="AK82" s="97"/>
      <c r="AL82" s="97"/>
      <c r="AM82" s="97"/>
      <c r="AN82" s="97"/>
      <c r="AO82" s="97"/>
      <c r="AP82" s="97"/>
      <c r="AQ82" s="97"/>
      <c r="AR82" s="98"/>
    </row>
    <row r="83" spans="1:44" ht="15.75" customHeight="1" x14ac:dyDescent="0.25">
      <c r="A83" s="99"/>
      <c r="B83" s="100"/>
      <c r="C83" s="100"/>
      <c r="D83" s="100"/>
      <c r="E83" s="100"/>
      <c r="F83" s="100"/>
      <c r="G83" s="100"/>
      <c r="H83" s="100"/>
      <c r="I83" s="100"/>
      <c r="J83" s="100"/>
      <c r="K83" s="100"/>
      <c r="L83" s="100"/>
      <c r="M83" s="100"/>
      <c r="N83" s="100"/>
      <c r="O83" s="101"/>
      <c r="P83" s="99"/>
      <c r="Q83" s="100"/>
      <c r="R83" s="100"/>
      <c r="S83" s="100"/>
      <c r="T83" s="100"/>
      <c r="U83" s="100"/>
      <c r="V83" s="100"/>
      <c r="W83" s="100"/>
      <c r="X83" s="100"/>
      <c r="Y83" s="100"/>
      <c r="Z83" s="100"/>
      <c r="AA83" s="100"/>
      <c r="AB83" s="100"/>
      <c r="AC83" s="100"/>
      <c r="AD83" s="101"/>
      <c r="AE83" s="99"/>
      <c r="AF83" s="100"/>
      <c r="AG83" s="100"/>
      <c r="AH83" s="100"/>
      <c r="AI83" s="100"/>
      <c r="AJ83" s="100"/>
      <c r="AK83" s="100"/>
      <c r="AL83" s="100"/>
      <c r="AM83" s="100"/>
      <c r="AN83" s="100"/>
      <c r="AO83" s="100"/>
      <c r="AP83" s="100"/>
      <c r="AQ83" s="100"/>
      <c r="AR83" s="101"/>
    </row>
    <row r="84" spans="1:44" ht="15.75" customHeight="1" x14ac:dyDescent="0.25">
      <c r="A84" s="102"/>
      <c r="B84" s="103"/>
      <c r="C84" s="103"/>
      <c r="D84" s="103"/>
      <c r="E84" s="103"/>
      <c r="F84" s="103"/>
      <c r="G84" s="103"/>
      <c r="H84" s="103"/>
      <c r="I84" s="103"/>
      <c r="J84" s="103"/>
      <c r="K84" s="103"/>
      <c r="L84" s="103"/>
      <c r="M84" s="103"/>
      <c r="N84" s="103"/>
      <c r="O84" s="104"/>
      <c r="P84" s="102"/>
      <c r="Q84" s="103"/>
      <c r="R84" s="103"/>
      <c r="S84" s="103"/>
      <c r="T84" s="103"/>
      <c r="U84" s="103"/>
      <c r="V84" s="103"/>
      <c r="W84" s="103"/>
      <c r="X84" s="103"/>
      <c r="Y84" s="103"/>
      <c r="Z84" s="103"/>
      <c r="AA84" s="103"/>
      <c r="AB84" s="103"/>
      <c r="AC84" s="103"/>
      <c r="AD84" s="104"/>
      <c r="AE84" s="102"/>
      <c r="AF84" s="103"/>
      <c r="AG84" s="103"/>
      <c r="AH84" s="103"/>
      <c r="AI84" s="103"/>
      <c r="AJ84" s="103"/>
      <c r="AK84" s="103"/>
      <c r="AL84" s="103"/>
      <c r="AM84" s="103"/>
      <c r="AN84" s="103"/>
      <c r="AO84" s="103"/>
      <c r="AP84" s="103"/>
      <c r="AQ84" s="103"/>
      <c r="AR84" s="104"/>
    </row>
    <row r="85" spans="1:44" ht="15.75" customHeight="1" x14ac:dyDescent="0.25">
      <c r="A85" s="102"/>
      <c r="B85" s="103"/>
      <c r="C85" s="103"/>
      <c r="D85" s="103"/>
      <c r="E85" s="103"/>
      <c r="F85" s="103"/>
      <c r="G85" s="103"/>
      <c r="H85" s="103"/>
      <c r="I85" s="103"/>
      <c r="J85" s="103"/>
      <c r="K85" s="103"/>
      <c r="L85" s="103"/>
      <c r="M85" s="103"/>
      <c r="N85" s="103"/>
      <c r="O85" s="104"/>
      <c r="P85" s="102"/>
      <c r="Q85" s="103"/>
      <c r="R85" s="103"/>
      <c r="S85" s="103"/>
      <c r="T85" s="103"/>
      <c r="U85" s="103"/>
      <c r="V85" s="103"/>
      <c r="W85" s="103"/>
      <c r="X85" s="103"/>
      <c r="Y85" s="103"/>
      <c r="Z85" s="103"/>
      <c r="AA85" s="103"/>
      <c r="AB85" s="103"/>
      <c r="AC85" s="103"/>
      <c r="AD85" s="104"/>
      <c r="AE85" s="102"/>
      <c r="AF85" s="103"/>
      <c r="AG85" s="103"/>
      <c r="AH85" s="103"/>
      <c r="AI85" s="103"/>
      <c r="AJ85" s="103"/>
      <c r="AK85" s="103"/>
      <c r="AL85" s="103"/>
      <c r="AM85" s="103"/>
      <c r="AN85" s="103"/>
      <c r="AO85" s="103"/>
      <c r="AP85" s="103"/>
      <c r="AQ85" s="103"/>
      <c r="AR85" s="104"/>
    </row>
    <row r="86" spans="1:44" ht="15.75" customHeight="1" x14ac:dyDescent="0.25">
      <c r="A86" s="102"/>
      <c r="B86" s="103"/>
      <c r="C86" s="103"/>
      <c r="D86" s="103"/>
      <c r="E86" s="103"/>
      <c r="F86" s="103"/>
      <c r="G86" s="103"/>
      <c r="H86" s="103"/>
      <c r="I86" s="103"/>
      <c r="J86" s="103"/>
      <c r="K86" s="103"/>
      <c r="L86" s="103"/>
      <c r="M86" s="103"/>
      <c r="N86" s="103"/>
      <c r="O86" s="104"/>
      <c r="P86" s="102"/>
      <c r="Q86" s="103"/>
      <c r="R86" s="103"/>
      <c r="S86" s="103"/>
      <c r="T86" s="103"/>
      <c r="U86" s="103"/>
      <c r="V86" s="103"/>
      <c r="W86" s="103"/>
      <c r="X86" s="103"/>
      <c r="Y86" s="103"/>
      <c r="Z86" s="103"/>
      <c r="AA86" s="103"/>
      <c r="AB86" s="103"/>
      <c r="AC86" s="103"/>
      <c r="AD86" s="104"/>
      <c r="AE86" s="102"/>
      <c r="AF86" s="103"/>
      <c r="AG86" s="103"/>
      <c r="AH86" s="103"/>
      <c r="AI86" s="103"/>
      <c r="AJ86" s="103"/>
      <c r="AK86" s="103"/>
      <c r="AL86" s="103"/>
      <c r="AM86" s="103"/>
      <c r="AN86" s="103"/>
      <c r="AO86" s="103"/>
      <c r="AP86" s="103"/>
      <c r="AQ86" s="103"/>
      <c r="AR86" s="104"/>
    </row>
    <row r="87" spans="1:44" ht="15.75" customHeight="1" x14ac:dyDescent="0.25">
      <c r="A87" s="102"/>
      <c r="B87" s="103"/>
      <c r="C87" s="103"/>
      <c r="D87" s="103"/>
      <c r="E87" s="103"/>
      <c r="F87" s="103"/>
      <c r="G87" s="103"/>
      <c r="H87" s="103"/>
      <c r="I87" s="103"/>
      <c r="J87" s="103"/>
      <c r="K87" s="103"/>
      <c r="L87" s="103"/>
      <c r="M87" s="103"/>
      <c r="N87" s="103"/>
      <c r="O87" s="104"/>
      <c r="P87" s="102"/>
      <c r="Q87" s="103"/>
      <c r="R87" s="103"/>
      <c r="S87" s="103"/>
      <c r="T87" s="103"/>
      <c r="U87" s="103"/>
      <c r="V87" s="103"/>
      <c r="W87" s="103"/>
      <c r="X87" s="103"/>
      <c r="Y87" s="103"/>
      <c r="Z87" s="103"/>
      <c r="AA87" s="103"/>
      <c r="AB87" s="103"/>
      <c r="AC87" s="103"/>
      <c r="AD87" s="104"/>
      <c r="AE87" s="102"/>
      <c r="AF87" s="103"/>
      <c r="AG87" s="103"/>
      <c r="AH87" s="103"/>
      <c r="AI87" s="103"/>
      <c r="AJ87" s="103"/>
      <c r="AK87" s="103"/>
      <c r="AL87" s="103"/>
      <c r="AM87" s="103"/>
      <c r="AN87" s="103"/>
      <c r="AO87" s="103"/>
      <c r="AP87" s="103"/>
      <c r="AQ87" s="103"/>
      <c r="AR87" s="104"/>
    </row>
    <row r="88" spans="1:44" ht="15.75" customHeight="1" x14ac:dyDescent="0.25">
      <c r="A88" s="105"/>
      <c r="B88" s="106"/>
      <c r="C88" s="106"/>
      <c r="D88" s="106"/>
      <c r="E88" s="106"/>
      <c r="F88" s="106"/>
      <c r="G88" s="106"/>
      <c r="H88" s="106"/>
      <c r="I88" s="106"/>
      <c r="J88" s="106"/>
      <c r="K88" s="106"/>
      <c r="L88" s="106"/>
      <c r="M88" s="106"/>
      <c r="N88" s="106"/>
      <c r="O88" s="107"/>
      <c r="P88" s="105"/>
      <c r="Q88" s="106"/>
      <c r="R88" s="106"/>
      <c r="S88" s="106"/>
      <c r="T88" s="106"/>
      <c r="U88" s="106"/>
      <c r="V88" s="106"/>
      <c r="W88" s="106"/>
      <c r="X88" s="106"/>
      <c r="Y88" s="106"/>
      <c r="Z88" s="106"/>
      <c r="AA88" s="106"/>
      <c r="AB88" s="106"/>
      <c r="AC88" s="106"/>
      <c r="AD88" s="107"/>
      <c r="AE88" s="105"/>
      <c r="AF88" s="106"/>
      <c r="AG88" s="106"/>
      <c r="AH88" s="106"/>
      <c r="AI88" s="106"/>
      <c r="AJ88" s="106"/>
      <c r="AK88" s="106"/>
      <c r="AL88" s="106"/>
      <c r="AM88" s="106"/>
      <c r="AN88" s="106"/>
      <c r="AO88" s="106"/>
      <c r="AP88" s="106"/>
      <c r="AQ88" s="106"/>
      <c r="AR88" s="107"/>
    </row>
    <row r="89" spans="1:44" ht="15.75" customHeight="1" x14ac:dyDescent="0.25">
      <c r="A89" s="96" t="s">
        <v>120</v>
      </c>
      <c r="B89" s="97"/>
      <c r="C89" s="97"/>
      <c r="D89" s="97"/>
      <c r="E89" s="97"/>
      <c r="F89" s="97"/>
      <c r="G89" s="97"/>
      <c r="H89" s="97"/>
      <c r="I89" s="97"/>
      <c r="J89" s="97"/>
      <c r="K89" s="97"/>
      <c r="L89" s="97"/>
      <c r="M89" s="97"/>
      <c r="N89" s="97"/>
      <c r="O89" s="98"/>
      <c r="P89" s="96" t="s">
        <v>120</v>
      </c>
      <c r="Q89" s="97"/>
      <c r="R89" s="97"/>
      <c r="S89" s="97"/>
      <c r="T89" s="97"/>
      <c r="U89" s="97"/>
      <c r="V89" s="97"/>
      <c r="W89" s="97"/>
      <c r="X89" s="97"/>
      <c r="Y89" s="97"/>
      <c r="Z89" s="97"/>
      <c r="AA89" s="97"/>
      <c r="AB89" s="97"/>
      <c r="AC89" s="97"/>
      <c r="AD89" s="98"/>
      <c r="AE89" s="96" t="s">
        <v>120</v>
      </c>
      <c r="AF89" s="97"/>
      <c r="AG89" s="97"/>
      <c r="AH89" s="97"/>
      <c r="AI89" s="97"/>
      <c r="AJ89" s="97"/>
      <c r="AK89" s="97"/>
      <c r="AL89" s="97"/>
      <c r="AM89" s="97"/>
      <c r="AN89" s="97"/>
      <c r="AO89" s="97"/>
      <c r="AP89" s="97"/>
      <c r="AQ89" s="97"/>
      <c r="AR89" s="98"/>
    </row>
    <row r="90" spans="1:44" ht="15.75" customHeight="1" x14ac:dyDescent="0.25">
      <c r="A90" s="96" t="s">
        <v>148</v>
      </c>
      <c r="B90" s="97"/>
      <c r="C90" s="97"/>
      <c r="D90" s="97"/>
      <c r="E90" s="97"/>
      <c r="F90" s="97"/>
      <c r="G90" s="97"/>
      <c r="H90" s="97"/>
      <c r="I90" s="97"/>
      <c r="J90" s="97"/>
      <c r="K90" s="97"/>
      <c r="L90" s="97"/>
      <c r="M90" s="97"/>
      <c r="N90" s="97"/>
      <c r="O90" s="98"/>
      <c r="P90" s="96" t="s">
        <v>148</v>
      </c>
      <c r="Q90" s="97"/>
      <c r="R90" s="97"/>
      <c r="S90" s="97"/>
      <c r="T90" s="97"/>
      <c r="U90" s="97"/>
      <c r="V90" s="97"/>
      <c r="W90" s="97"/>
      <c r="X90" s="97"/>
      <c r="Y90" s="97"/>
      <c r="Z90" s="97"/>
      <c r="AA90" s="97"/>
      <c r="AB90" s="97"/>
      <c r="AC90" s="97"/>
      <c r="AD90" s="98"/>
      <c r="AE90" s="96" t="s">
        <v>148</v>
      </c>
      <c r="AF90" s="97"/>
      <c r="AG90" s="97"/>
      <c r="AH90" s="97"/>
      <c r="AI90" s="97"/>
      <c r="AJ90" s="97"/>
      <c r="AK90" s="97"/>
      <c r="AL90" s="97"/>
      <c r="AM90" s="97"/>
      <c r="AN90" s="97"/>
      <c r="AO90" s="97"/>
      <c r="AP90" s="97"/>
      <c r="AQ90" s="97"/>
      <c r="AR90" s="98"/>
    </row>
    <row r="91" spans="1:44" ht="8.25" customHeight="1" x14ac:dyDescent="0.25">
      <c r="A91" s="64"/>
      <c r="B91" s="62"/>
      <c r="C91" s="62"/>
      <c r="D91" s="62"/>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row>
    <row r="92" spans="1:44" ht="15.75" hidden="1" customHeight="1" x14ac:dyDescent="0.25">
      <c r="A92" s="114" t="s">
        <v>121</v>
      </c>
      <c r="B92" s="112"/>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c r="AA92" s="112"/>
      <c r="AB92" s="112"/>
      <c r="AC92" s="112"/>
      <c r="AD92" s="112"/>
      <c r="AE92" s="112"/>
      <c r="AF92" s="112"/>
      <c r="AG92" s="112"/>
      <c r="AH92" s="112"/>
      <c r="AI92" s="112"/>
      <c r="AJ92" s="112"/>
      <c r="AK92" s="112"/>
      <c r="AL92" s="112"/>
      <c r="AM92" s="112"/>
      <c r="AN92" s="112"/>
      <c r="AO92" s="112"/>
      <c r="AP92" s="112"/>
      <c r="AQ92" s="112"/>
      <c r="AR92" s="112"/>
    </row>
    <row r="93" spans="1:44" ht="8.25" hidden="1" customHeight="1" x14ac:dyDescent="0.25">
      <c r="A93" s="64"/>
      <c r="B93" s="62"/>
      <c r="C93" s="62"/>
      <c r="D93" s="62"/>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row>
    <row r="94" spans="1:44" ht="15" hidden="1" customHeight="1" x14ac:dyDescent="0.25">
      <c r="A94" s="83" t="s">
        <v>1</v>
      </c>
      <c r="B94" s="111" t="s">
        <v>122</v>
      </c>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row>
    <row r="95" spans="1:44" ht="8.25" hidden="1" customHeight="1" x14ac:dyDescent="0.25">
      <c r="A95" s="64"/>
      <c r="B95" s="62"/>
      <c r="C95" s="62"/>
      <c r="D95" s="62"/>
      <c r="E95" s="58"/>
      <c r="F95" s="58"/>
      <c r="G95" s="58"/>
      <c r="H95" s="58"/>
      <c r="I95" s="58"/>
      <c r="J95" s="58"/>
      <c r="K95" s="58"/>
      <c r="L95" s="58"/>
      <c r="M95" s="58"/>
      <c r="N95" s="58"/>
      <c r="O95" s="58"/>
      <c r="P95" s="58"/>
      <c r="Q95" s="58"/>
      <c r="R95" s="58"/>
      <c r="S95" s="58"/>
      <c r="T95" s="58"/>
      <c r="U95" s="79"/>
      <c r="V95" s="58"/>
      <c r="W95" s="58"/>
      <c r="X95" s="58"/>
      <c r="Y95" s="58"/>
      <c r="Z95" s="58"/>
      <c r="AA95" s="58"/>
      <c r="AB95" s="58"/>
      <c r="AC95" s="58"/>
      <c r="AD95" s="58"/>
      <c r="AE95" s="79"/>
      <c r="AF95" s="58"/>
      <c r="AG95" s="58"/>
      <c r="AH95" s="58"/>
      <c r="AI95" s="58"/>
      <c r="AJ95" s="58"/>
      <c r="AK95" s="58"/>
      <c r="AL95" s="58"/>
      <c r="AM95" s="58"/>
      <c r="AN95" s="58"/>
      <c r="AO95" s="58"/>
      <c r="AP95" s="58"/>
      <c r="AQ95" s="58"/>
      <c r="AR95" s="58"/>
    </row>
    <row r="96" spans="1:44" ht="15.75" hidden="1" customHeight="1" x14ac:dyDescent="0.25">
      <c r="A96" s="109" t="s">
        <v>123</v>
      </c>
      <c r="B96" s="103"/>
      <c r="C96" s="103"/>
      <c r="D96" s="103"/>
      <c r="E96" s="103"/>
      <c r="F96" s="103"/>
      <c r="G96" s="103"/>
      <c r="H96" s="103"/>
      <c r="I96" s="103"/>
      <c r="J96" s="103"/>
      <c r="K96" s="103"/>
      <c r="L96" s="59"/>
      <c r="M96" s="59"/>
      <c r="N96" s="110">
        <f>AVERAGE(AC30:AR31)</f>
        <v>0.4375</v>
      </c>
      <c r="O96" s="100"/>
      <c r="P96" s="100"/>
      <c r="Q96" s="100"/>
      <c r="R96" s="100"/>
      <c r="S96" s="100"/>
      <c r="T96" s="100"/>
      <c r="U96" s="101"/>
      <c r="V96" s="58"/>
      <c r="W96" s="58"/>
      <c r="X96" s="58"/>
      <c r="Y96" s="84"/>
      <c r="Z96" s="58"/>
      <c r="AA96" s="84" t="s">
        <v>124</v>
      </c>
      <c r="AB96" s="58"/>
      <c r="AC96" s="58"/>
      <c r="AD96" s="58"/>
      <c r="AE96" s="78"/>
      <c r="AF96" s="59"/>
      <c r="AG96" s="59"/>
      <c r="AH96" s="110" t="e">
        <f>N96*20%+N98*50%+N100*30%</f>
        <v>#DIV/0!</v>
      </c>
      <c r="AI96" s="100"/>
      <c r="AJ96" s="100"/>
      <c r="AK96" s="100"/>
      <c r="AL96" s="100"/>
      <c r="AM96" s="100"/>
      <c r="AN96" s="100"/>
      <c r="AO96" s="101"/>
      <c r="AP96" s="58"/>
      <c r="AQ96" s="58"/>
      <c r="AR96" s="58"/>
    </row>
    <row r="97" spans="1:44" ht="15.75" hidden="1" customHeight="1" x14ac:dyDescent="0.25">
      <c r="A97" s="64"/>
      <c r="B97" s="62"/>
      <c r="C97" s="62"/>
      <c r="D97" s="56"/>
      <c r="E97" s="58"/>
      <c r="F97" s="58"/>
      <c r="G97" s="58"/>
      <c r="H97" s="58"/>
      <c r="I97" s="58"/>
      <c r="J97" s="58"/>
      <c r="K97" s="59"/>
      <c r="L97" s="59"/>
      <c r="M97" s="59"/>
      <c r="N97" s="105"/>
      <c r="O97" s="106"/>
      <c r="P97" s="106"/>
      <c r="Q97" s="106"/>
      <c r="R97" s="106"/>
      <c r="S97" s="106"/>
      <c r="T97" s="106"/>
      <c r="U97" s="107"/>
      <c r="V97" s="58"/>
      <c r="W97" s="58"/>
      <c r="X97" s="58"/>
      <c r="Y97" s="58"/>
      <c r="Z97" s="58"/>
      <c r="AA97" s="58"/>
      <c r="AB97" s="58"/>
      <c r="AC97" s="58"/>
      <c r="AD97" s="58"/>
      <c r="AE97" s="78"/>
      <c r="AF97" s="59"/>
      <c r="AG97" s="59"/>
      <c r="AH97" s="102"/>
      <c r="AI97" s="103"/>
      <c r="AJ97" s="103"/>
      <c r="AK97" s="103"/>
      <c r="AL97" s="103"/>
      <c r="AM97" s="103"/>
      <c r="AN97" s="103"/>
      <c r="AO97" s="104"/>
      <c r="AP97" s="58"/>
      <c r="AQ97" s="58"/>
      <c r="AR97" s="58"/>
    </row>
    <row r="98" spans="1:44" ht="15.75" hidden="1" customHeight="1" x14ac:dyDescent="0.25">
      <c r="A98" s="109" t="s">
        <v>125</v>
      </c>
      <c r="B98" s="103"/>
      <c r="C98" s="103"/>
      <c r="D98" s="103"/>
      <c r="E98" s="103"/>
      <c r="F98" s="103"/>
      <c r="G98" s="103"/>
      <c r="H98" s="103"/>
      <c r="I98" s="103"/>
      <c r="J98" s="103"/>
      <c r="K98" s="78"/>
      <c r="L98" s="59"/>
      <c r="M98" s="59"/>
      <c r="N98" s="110" t="e">
        <f>AC47*20%+AG47*25%+AK47*25%+AO47*30%</f>
        <v>#DIV/0!</v>
      </c>
      <c r="O98" s="100"/>
      <c r="P98" s="100"/>
      <c r="Q98" s="100"/>
      <c r="R98" s="100"/>
      <c r="S98" s="100"/>
      <c r="T98" s="100"/>
      <c r="U98" s="101"/>
      <c r="V98" s="58"/>
      <c r="W98" s="58"/>
      <c r="X98" s="58"/>
      <c r="Y98" s="58"/>
      <c r="Z98" s="58"/>
      <c r="AA98" s="58"/>
      <c r="AB98" s="58"/>
      <c r="AC98" s="58"/>
      <c r="AD98" s="58"/>
      <c r="AE98" s="59"/>
      <c r="AF98" s="59"/>
      <c r="AG98" s="59"/>
      <c r="AH98" s="105"/>
      <c r="AI98" s="106"/>
      <c r="AJ98" s="106"/>
      <c r="AK98" s="106"/>
      <c r="AL98" s="106"/>
      <c r="AM98" s="106"/>
      <c r="AN98" s="106"/>
      <c r="AO98" s="107"/>
      <c r="AP98" s="58"/>
      <c r="AQ98" s="58"/>
      <c r="AR98" s="58"/>
    </row>
    <row r="99" spans="1:44" ht="15.75" hidden="1" customHeight="1" x14ac:dyDescent="0.25">
      <c r="A99" s="64"/>
      <c r="B99" s="62"/>
      <c r="C99" s="62"/>
      <c r="D99" s="56"/>
      <c r="E99" s="58"/>
      <c r="F99" s="58"/>
      <c r="G99" s="58"/>
      <c r="H99" s="58"/>
      <c r="I99" s="58"/>
      <c r="J99" s="58"/>
      <c r="K99" s="78"/>
      <c r="L99" s="59"/>
      <c r="M99" s="59"/>
      <c r="N99" s="105"/>
      <c r="O99" s="106"/>
      <c r="P99" s="106"/>
      <c r="Q99" s="106"/>
      <c r="R99" s="106"/>
      <c r="S99" s="106"/>
      <c r="T99" s="106"/>
      <c r="U99" s="107"/>
      <c r="V99" s="58"/>
      <c r="W99" s="58"/>
      <c r="X99" s="58"/>
      <c r="Y99" s="84"/>
      <c r="Z99" s="58"/>
      <c r="AA99" s="84" t="s">
        <v>126</v>
      </c>
      <c r="AB99" s="58"/>
      <c r="AC99" s="58"/>
      <c r="AD99" s="58"/>
      <c r="AE99" s="78"/>
      <c r="AF99" s="59"/>
      <c r="AG99" s="59"/>
      <c r="AH99" s="108"/>
      <c r="AI99" s="100"/>
      <c r="AJ99" s="100"/>
      <c r="AK99" s="100"/>
      <c r="AL99" s="100"/>
      <c r="AM99" s="100"/>
      <c r="AN99" s="100"/>
      <c r="AO99" s="101"/>
      <c r="AP99" s="58"/>
      <c r="AQ99" s="58"/>
      <c r="AR99" s="58"/>
    </row>
    <row r="100" spans="1:44" ht="15.75" hidden="1" customHeight="1" x14ac:dyDescent="0.25">
      <c r="A100" s="109" t="s">
        <v>127</v>
      </c>
      <c r="B100" s="103"/>
      <c r="C100" s="103"/>
      <c r="D100" s="103"/>
      <c r="E100" s="103"/>
      <c r="F100" s="103"/>
      <c r="G100" s="103"/>
      <c r="H100" s="103"/>
      <c r="I100" s="103"/>
      <c r="J100" s="103"/>
      <c r="K100" s="78"/>
      <c r="L100" s="59"/>
      <c r="M100" s="59"/>
      <c r="N100" s="110">
        <f>N77</f>
        <v>0</v>
      </c>
      <c r="O100" s="100"/>
      <c r="P100" s="100"/>
      <c r="Q100" s="100"/>
      <c r="R100" s="100"/>
      <c r="S100" s="100"/>
      <c r="T100" s="100"/>
      <c r="U100" s="101"/>
      <c r="V100" s="58"/>
      <c r="W100" s="58"/>
      <c r="X100" s="58"/>
      <c r="Y100" s="58"/>
      <c r="Z100" s="58"/>
      <c r="AA100" s="58"/>
      <c r="AB100" s="58"/>
      <c r="AC100" s="58"/>
      <c r="AD100" s="58"/>
      <c r="AE100" s="78"/>
      <c r="AF100" s="59"/>
      <c r="AG100" s="59"/>
      <c r="AH100" s="102"/>
      <c r="AI100" s="103"/>
      <c r="AJ100" s="103"/>
      <c r="AK100" s="103"/>
      <c r="AL100" s="103"/>
      <c r="AM100" s="103"/>
      <c r="AN100" s="103"/>
      <c r="AO100" s="104"/>
      <c r="AP100" s="58"/>
      <c r="AQ100" s="58"/>
      <c r="AR100" s="58"/>
    </row>
    <row r="101" spans="1:44" ht="15.75" hidden="1" customHeight="1" x14ac:dyDescent="0.25">
      <c r="A101" s="64"/>
      <c r="B101" s="62"/>
      <c r="C101" s="62"/>
      <c r="D101" s="62"/>
      <c r="E101" s="58"/>
      <c r="F101" s="58"/>
      <c r="G101" s="58"/>
      <c r="H101" s="58"/>
      <c r="I101" s="58"/>
      <c r="J101" s="58"/>
      <c r="K101" s="59"/>
      <c r="L101" s="59"/>
      <c r="M101" s="59"/>
      <c r="N101" s="105"/>
      <c r="O101" s="106"/>
      <c r="P101" s="106"/>
      <c r="Q101" s="106"/>
      <c r="R101" s="106"/>
      <c r="S101" s="106"/>
      <c r="T101" s="106"/>
      <c r="U101" s="107"/>
      <c r="V101" s="58"/>
      <c r="W101" s="58"/>
      <c r="X101" s="58"/>
      <c r="Y101" s="58"/>
      <c r="Z101" s="58"/>
      <c r="AA101" s="58"/>
      <c r="AB101" s="58"/>
      <c r="AC101" s="58"/>
      <c r="AD101" s="58"/>
      <c r="AE101" s="58"/>
      <c r="AF101" s="58"/>
      <c r="AG101" s="58"/>
      <c r="AH101" s="105"/>
      <c r="AI101" s="106"/>
      <c r="AJ101" s="106"/>
      <c r="AK101" s="106"/>
      <c r="AL101" s="106"/>
      <c r="AM101" s="106"/>
      <c r="AN101" s="106"/>
      <c r="AO101" s="107"/>
      <c r="AP101" s="58"/>
      <c r="AQ101" s="58"/>
      <c r="AR101" s="58"/>
    </row>
    <row r="102" spans="1:44" ht="15.75" hidden="1" customHeight="1" x14ac:dyDescent="0.25">
      <c r="A102" s="64"/>
      <c r="B102" s="62"/>
      <c r="C102" s="62"/>
      <c r="D102" s="62"/>
      <c r="E102" s="58"/>
      <c r="F102" s="58"/>
      <c r="G102" s="58"/>
      <c r="H102" s="58"/>
      <c r="I102" s="58"/>
      <c r="J102" s="58"/>
      <c r="K102" s="58"/>
      <c r="L102" s="58"/>
      <c r="M102" s="58"/>
      <c r="N102" s="58"/>
      <c r="O102" s="58"/>
      <c r="P102" s="58"/>
      <c r="Q102" s="58"/>
      <c r="R102" s="58"/>
      <c r="S102" s="58"/>
      <c r="T102" s="58"/>
      <c r="U102" s="79"/>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row>
    <row r="103" spans="1:44" ht="15" hidden="1" customHeight="1" x14ac:dyDescent="0.25">
      <c r="A103" s="83" t="s">
        <v>128</v>
      </c>
      <c r="B103" s="111" t="s">
        <v>129</v>
      </c>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c r="AA103" s="112"/>
      <c r="AB103" s="112"/>
      <c r="AC103" s="112"/>
      <c r="AD103" s="112"/>
      <c r="AE103" s="112"/>
      <c r="AF103" s="112"/>
      <c r="AG103" s="112"/>
      <c r="AH103" s="112"/>
      <c r="AI103" s="112"/>
      <c r="AJ103" s="112"/>
      <c r="AK103" s="112"/>
      <c r="AL103" s="112"/>
      <c r="AM103" s="112"/>
      <c r="AN103" s="112"/>
      <c r="AO103" s="112"/>
      <c r="AP103" s="112"/>
      <c r="AQ103" s="112"/>
      <c r="AR103" s="112"/>
    </row>
    <row r="104" spans="1:44" ht="8.25" hidden="1" customHeight="1" x14ac:dyDescent="0.25">
      <c r="A104" s="64"/>
      <c r="B104" s="62"/>
      <c r="C104" s="62"/>
      <c r="D104" s="62"/>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row>
    <row r="105" spans="1:44" ht="15.75" hidden="1" customHeight="1" x14ac:dyDescent="0.25">
      <c r="A105" s="113" t="s">
        <v>118</v>
      </c>
      <c r="B105" s="97"/>
      <c r="C105" s="97"/>
      <c r="D105" s="97"/>
      <c r="E105" s="97"/>
      <c r="F105" s="97"/>
      <c r="G105" s="97"/>
      <c r="H105" s="97"/>
      <c r="I105" s="97"/>
      <c r="J105" s="97"/>
      <c r="K105" s="97"/>
      <c r="L105" s="97"/>
      <c r="M105" s="97"/>
      <c r="N105" s="97"/>
      <c r="O105" s="98"/>
      <c r="P105" s="113" t="s">
        <v>130</v>
      </c>
      <c r="Q105" s="97"/>
      <c r="R105" s="97"/>
      <c r="S105" s="97"/>
      <c r="T105" s="97"/>
      <c r="U105" s="97"/>
      <c r="V105" s="97"/>
      <c r="W105" s="97"/>
      <c r="X105" s="97"/>
      <c r="Y105" s="97"/>
      <c r="Z105" s="97"/>
      <c r="AA105" s="97"/>
      <c r="AB105" s="97"/>
      <c r="AC105" s="97"/>
      <c r="AD105" s="98"/>
      <c r="AE105" s="113" t="s">
        <v>131</v>
      </c>
      <c r="AF105" s="97"/>
      <c r="AG105" s="97"/>
      <c r="AH105" s="97"/>
      <c r="AI105" s="97"/>
      <c r="AJ105" s="97"/>
      <c r="AK105" s="97"/>
      <c r="AL105" s="97"/>
      <c r="AM105" s="97"/>
      <c r="AN105" s="97"/>
      <c r="AO105" s="97"/>
      <c r="AP105" s="97"/>
      <c r="AQ105" s="97"/>
      <c r="AR105" s="98"/>
    </row>
    <row r="106" spans="1:44" ht="15.75" hidden="1" customHeight="1" x14ac:dyDescent="0.25">
      <c r="A106" s="99"/>
      <c r="B106" s="100"/>
      <c r="C106" s="100"/>
      <c r="D106" s="100"/>
      <c r="E106" s="100"/>
      <c r="F106" s="100"/>
      <c r="G106" s="100"/>
      <c r="H106" s="100"/>
      <c r="I106" s="100"/>
      <c r="J106" s="100"/>
      <c r="K106" s="100"/>
      <c r="L106" s="100"/>
      <c r="M106" s="100"/>
      <c r="N106" s="100"/>
      <c r="O106" s="101"/>
      <c r="P106" s="99"/>
      <c r="Q106" s="100"/>
      <c r="R106" s="100"/>
      <c r="S106" s="100"/>
      <c r="T106" s="100"/>
      <c r="U106" s="100"/>
      <c r="V106" s="100"/>
      <c r="W106" s="100"/>
      <c r="X106" s="100"/>
      <c r="Y106" s="100"/>
      <c r="Z106" s="100"/>
      <c r="AA106" s="100"/>
      <c r="AB106" s="100"/>
      <c r="AC106" s="100"/>
      <c r="AD106" s="101"/>
      <c r="AE106" s="99"/>
      <c r="AF106" s="100"/>
      <c r="AG106" s="100"/>
      <c r="AH106" s="100"/>
      <c r="AI106" s="100"/>
      <c r="AJ106" s="100"/>
      <c r="AK106" s="100"/>
      <c r="AL106" s="100"/>
      <c r="AM106" s="100"/>
      <c r="AN106" s="100"/>
      <c r="AO106" s="100"/>
      <c r="AP106" s="100"/>
      <c r="AQ106" s="100"/>
      <c r="AR106" s="101"/>
    </row>
    <row r="107" spans="1:44" ht="15.75" hidden="1" customHeight="1" x14ac:dyDescent="0.25">
      <c r="A107" s="102"/>
      <c r="B107" s="103"/>
      <c r="C107" s="103"/>
      <c r="D107" s="103"/>
      <c r="E107" s="103"/>
      <c r="F107" s="103"/>
      <c r="G107" s="103"/>
      <c r="H107" s="103"/>
      <c r="I107" s="103"/>
      <c r="J107" s="103"/>
      <c r="K107" s="103"/>
      <c r="L107" s="103"/>
      <c r="M107" s="103"/>
      <c r="N107" s="103"/>
      <c r="O107" s="104"/>
      <c r="P107" s="102"/>
      <c r="Q107" s="103"/>
      <c r="R107" s="103"/>
      <c r="S107" s="103"/>
      <c r="T107" s="103"/>
      <c r="U107" s="103"/>
      <c r="V107" s="103"/>
      <c r="W107" s="103"/>
      <c r="X107" s="103"/>
      <c r="Y107" s="103"/>
      <c r="Z107" s="103"/>
      <c r="AA107" s="103"/>
      <c r="AB107" s="103"/>
      <c r="AC107" s="103"/>
      <c r="AD107" s="104"/>
      <c r="AE107" s="102"/>
      <c r="AF107" s="103"/>
      <c r="AG107" s="103"/>
      <c r="AH107" s="103"/>
      <c r="AI107" s="103"/>
      <c r="AJ107" s="103"/>
      <c r="AK107" s="103"/>
      <c r="AL107" s="103"/>
      <c r="AM107" s="103"/>
      <c r="AN107" s="103"/>
      <c r="AO107" s="103"/>
      <c r="AP107" s="103"/>
      <c r="AQ107" s="103"/>
      <c r="AR107" s="104"/>
    </row>
    <row r="108" spans="1:44" ht="15.75" hidden="1" customHeight="1" x14ac:dyDescent="0.25">
      <c r="A108" s="102"/>
      <c r="B108" s="103"/>
      <c r="C108" s="103"/>
      <c r="D108" s="103"/>
      <c r="E108" s="103"/>
      <c r="F108" s="103"/>
      <c r="G108" s="103"/>
      <c r="H108" s="103"/>
      <c r="I108" s="103"/>
      <c r="J108" s="103"/>
      <c r="K108" s="103"/>
      <c r="L108" s="103"/>
      <c r="M108" s="103"/>
      <c r="N108" s="103"/>
      <c r="O108" s="104"/>
      <c r="P108" s="102"/>
      <c r="Q108" s="103"/>
      <c r="R108" s="103"/>
      <c r="S108" s="103"/>
      <c r="T108" s="103"/>
      <c r="U108" s="103"/>
      <c r="V108" s="103"/>
      <c r="W108" s="103"/>
      <c r="X108" s="103"/>
      <c r="Y108" s="103"/>
      <c r="Z108" s="103"/>
      <c r="AA108" s="103"/>
      <c r="AB108" s="103"/>
      <c r="AC108" s="103"/>
      <c r="AD108" s="104"/>
      <c r="AE108" s="102"/>
      <c r="AF108" s="103"/>
      <c r="AG108" s="103"/>
      <c r="AH108" s="103"/>
      <c r="AI108" s="103"/>
      <c r="AJ108" s="103"/>
      <c r="AK108" s="103"/>
      <c r="AL108" s="103"/>
      <c r="AM108" s="103"/>
      <c r="AN108" s="103"/>
      <c r="AO108" s="103"/>
      <c r="AP108" s="103"/>
      <c r="AQ108" s="103"/>
      <c r="AR108" s="104"/>
    </row>
    <row r="109" spans="1:44" ht="15.75" hidden="1" customHeight="1" x14ac:dyDescent="0.25">
      <c r="A109" s="102"/>
      <c r="B109" s="103"/>
      <c r="C109" s="103"/>
      <c r="D109" s="103"/>
      <c r="E109" s="103"/>
      <c r="F109" s="103"/>
      <c r="G109" s="103"/>
      <c r="H109" s="103"/>
      <c r="I109" s="103"/>
      <c r="J109" s="103"/>
      <c r="K109" s="103"/>
      <c r="L109" s="103"/>
      <c r="M109" s="103"/>
      <c r="N109" s="103"/>
      <c r="O109" s="104"/>
      <c r="P109" s="102"/>
      <c r="Q109" s="103"/>
      <c r="R109" s="103"/>
      <c r="S109" s="103"/>
      <c r="T109" s="103"/>
      <c r="U109" s="103"/>
      <c r="V109" s="103"/>
      <c r="W109" s="103"/>
      <c r="X109" s="103"/>
      <c r="Y109" s="103"/>
      <c r="Z109" s="103"/>
      <c r="AA109" s="103"/>
      <c r="AB109" s="103"/>
      <c r="AC109" s="103"/>
      <c r="AD109" s="104"/>
      <c r="AE109" s="102"/>
      <c r="AF109" s="103"/>
      <c r="AG109" s="103"/>
      <c r="AH109" s="103"/>
      <c r="AI109" s="103"/>
      <c r="AJ109" s="103"/>
      <c r="AK109" s="103"/>
      <c r="AL109" s="103"/>
      <c r="AM109" s="103"/>
      <c r="AN109" s="103"/>
      <c r="AO109" s="103"/>
      <c r="AP109" s="103"/>
      <c r="AQ109" s="103"/>
      <c r="AR109" s="104"/>
    </row>
    <row r="110" spans="1:44" ht="15.75" hidden="1" customHeight="1" x14ac:dyDescent="0.25">
      <c r="A110" s="102"/>
      <c r="B110" s="103"/>
      <c r="C110" s="103"/>
      <c r="D110" s="103"/>
      <c r="E110" s="103"/>
      <c r="F110" s="103"/>
      <c r="G110" s="103"/>
      <c r="H110" s="103"/>
      <c r="I110" s="103"/>
      <c r="J110" s="103"/>
      <c r="K110" s="103"/>
      <c r="L110" s="103"/>
      <c r="M110" s="103"/>
      <c r="N110" s="103"/>
      <c r="O110" s="104"/>
      <c r="P110" s="102"/>
      <c r="Q110" s="103"/>
      <c r="R110" s="103"/>
      <c r="S110" s="103"/>
      <c r="T110" s="103"/>
      <c r="U110" s="103"/>
      <c r="V110" s="103"/>
      <c r="W110" s="103"/>
      <c r="X110" s="103"/>
      <c r="Y110" s="103"/>
      <c r="Z110" s="103"/>
      <c r="AA110" s="103"/>
      <c r="AB110" s="103"/>
      <c r="AC110" s="103"/>
      <c r="AD110" s="104"/>
      <c r="AE110" s="102"/>
      <c r="AF110" s="103"/>
      <c r="AG110" s="103"/>
      <c r="AH110" s="103"/>
      <c r="AI110" s="103"/>
      <c r="AJ110" s="103"/>
      <c r="AK110" s="103"/>
      <c r="AL110" s="103"/>
      <c r="AM110" s="103"/>
      <c r="AN110" s="103"/>
      <c r="AO110" s="103"/>
      <c r="AP110" s="103"/>
      <c r="AQ110" s="103"/>
      <c r="AR110" s="104"/>
    </row>
    <row r="111" spans="1:44" ht="15.75" hidden="1" customHeight="1" x14ac:dyDescent="0.25">
      <c r="A111" s="105"/>
      <c r="B111" s="106"/>
      <c r="C111" s="106"/>
      <c r="D111" s="106"/>
      <c r="E111" s="106"/>
      <c r="F111" s="106"/>
      <c r="G111" s="106"/>
      <c r="H111" s="106"/>
      <c r="I111" s="106"/>
      <c r="J111" s="106"/>
      <c r="K111" s="106"/>
      <c r="L111" s="106"/>
      <c r="M111" s="106"/>
      <c r="N111" s="106"/>
      <c r="O111" s="107"/>
      <c r="P111" s="105"/>
      <c r="Q111" s="106"/>
      <c r="R111" s="106"/>
      <c r="S111" s="106"/>
      <c r="T111" s="106"/>
      <c r="U111" s="106"/>
      <c r="V111" s="106"/>
      <c r="W111" s="106"/>
      <c r="X111" s="106"/>
      <c r="Y111" s="106"/>
      <c r="Z111" s="106"/>
      <c r="AA111" s="106"/>
      <c r="AB111" s="106"/>
      <c r="AC111" s="106"/>
      <c r="AD111" s="107"/>
      <c r="AE111" s="105"/>
      <c r="AF111" s="106"/>
      <c r="AG111" s="106"/>
      <c r="AH111" s="106"/>
      <c r="AI111" s="106"/>
      <c r="AJ111" s="106"/>
      <c r="AK111" s="106"/>
      <c r="AL111" s="106"/>
      <c r="AM111" s="106"/>
      <c r="AN111" s="106"/>
      <c r="AO111" s="106"/>
      <c r="AP111" s="106"/>
      <c r="AQ111" s="106"/>
      <c r="AR111" s="107"/>
    </row>
    <row r="112" spans="1:44" ht="15.75" hidden="1" customHeight="1" x14ac:dyDescent="0.25">
      <c r="A112" s="96" t="s">
        <v>120</v>
      </c>
      <c r="B112" s="97"/>
      <c r="C112" s="97"/>
      <c r="D112" s="97"/>
      <c r="E112" s="97"/>
      <c r="F112" s="97"/>
      <c r="G112" s="97"/>
      <c r="H112" s="97"/>
      <c r="I112" s="97"/>
      <c r="J112" s="97"/>
      <c r="K112" s="97"/>
      <c r="L112" s="97"/>
      <c r="M112" s="97"/>
      <c r="N112" s="97"/>
      <c r="O112" s="98"/>
      <c r="P112" s="96" t="s">
        <v>120</v>
      </c>
      <c r="Q112" s="97"/>
      <c r="R112" s="97"/>
      <c r="S112" s="97"/>
      <c r="T112" s="97"/>
      <c r="U112" s="97"/>
      <c r="V112" s="97"/>
      <c r="W112" s="97"/>
      <c r="X112" s="97"/>
      <c r="Y112" s="97"/>
      <c r="Z112" s="97"/>
      <c r="AA112" s="97"/>
      <c r="AB112" s="97"/>
      <c r="AC112" s="97"/>
      <c r="AD112" s="98"/>
      <c r="AE112" s="96" t="s">
        <v>120</v>
      </c>
      <c r="AF112" s="97"/>
      <c r="AG112" s="97"/>
      <c r="AH112" s="97"/>
      <c r="AI112" s="97"/>
      <c r="AJ112" s="97"/>
      <c r="AK112" s="97"/>
      <c r="AL112" s="97"/>
      <c r="AM112" s="97"/>
      <c r="AN112" s="97"/>
      <c r="AO112" s="97"/>
      <c r="AP112" s="97"/>
      <c r="AQ112" s="97"/>
      <c r="AR112" s="98"/>
    </row>
    <row r="113" spans="1:44" ht="15.75" hidden="1" customHeight="1" x14ac:dyDescent="0.25">
      <c r="A113" s="96" t="s">
        <v>132</v>
      </c>
      <c r="B113" s="97"/>
      <c r="C113" s="97"/>
      <c r="D113" s="97"/>
      <c r="E113" s="97"/>
      <c r="F113" s="97"/>
      <c r="G113" s="97"/>
      <c r="H113" s="97"/>
      <c r="I113" s="97"/>
      <c r="J113" s="97"/>
      <c r="K113" s="97"/>
      <c r="L113" s="97"/>
      <c r="M113" s="97"/>
      <c r="N113" s="97"/>
      <c r="O113" s="98"/>
      <c r="P113" s="96" t="s">
        <v>132</v>
      </c>
      <c r="Q113" s="97"/>
      <c r="R113" s="97"/>
      <c r="S113" s="97"/>
      <c r="T113" s="97"/>
      <c r="U113" s="97"/>
      <c r="V113" s="97"/>
      <c r="W113" s="97"/>
      <c r="X113" s="97"/>
      <c r="Y113" s="97"/>
      <c r="Z113" s="97"/>
      <c r="AA113" s="97"/>
      <c r="AB113" s="97"/>
      <c r="AC113" s="97"/>
      <c r="AD113" s="98"/>
      <c r="AE113" s="96" t="s">
        <v>132</v>
      </c>
      <c r="AF113" s="97"/>
      <c r="AG113" s="97"/>
      <c r="AH113" s="97"/>
      <c r="AI113" s="97"/>
      <c r="AJ113" s="97"/>
      <c r="AK113" s="97"/>
      <c r="AL113" s="97"/>
      <c r="AM113" s="97"/>
      <c r="AN113" s="97"/>
      <c r="AO113" s="97"/>
      <c r="AP113" s="97"/>
      <c r="AQ113" s="97"/>
      <c r="AR113" s="98"/>
    </row>
    <row r="114" spans="1:44" ht="15.75" customHeight="1" x14ac:dyDescent="0.25">
      <c r="A114" s="64"/>
      <c r="B114" s="62"/>
      <c r="C114" s="62"/>
      <c r="D114" s="62"/>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row>
    <row r="115" spans="1:44" ht="15.75" customHeight="1" x14ac:dyDescent="0.25">
      <c r="A115" s="64"/>
      <c r="B115" s="62"/>
      <c r="C115" s="62"/>
      <c r="D115" s="62"/>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row>
    <row r="116" spans="1:44" ht="15.75" customHeight="1" x14ac:dyDescent="0.25">
      <c r="A116" s="64"/>
      <c r="B116" s="62"/>
      <c r="C116" s="62"/>
      <c r="D116" s="62"/>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row>
    <row r="117" spans="1:44" ht="15.75" customHeight="1" x14ac:dyDescent="0.25">
      <c r="A117" s="64"/>
      <c r="B117" s="62"/>
      <c r="C117" s="62"/>
      <c r="D117" s="62"/>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row>
    <row r="118" spans="1:44" ht="15.75" customHeight="1" x14ac:dyDescent="0.25">
      <c r="A118" s="64"/>
      <c r="B118" s="62"/>
      <c r="C118" s="62"/>
      <c r="D118" s="62"/>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row>
    <row r="119" spans="1:44" ht="15.75" customHeight="1" x14ac:dyDescent="0.25">
      <c r="A119" s="64"/>
      <c r="B119" s="62"/>
      <c r="C119" s="62"/>
      <c r="D119" s="62"/>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row>
    <row r="120" spans="1:44" ht="15.75" customHeight="1" x14ac:dyDescent="0.25">
      <c r="A120" s="64"/>
      <c r="B120" s="62"/>
      <c r="C120" s="62"/>
      <c r="D120" s="62"/>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row>
    <row r="121" spans="1:44" ht="15.75" customHeight="1" x14ac:dyDescent="0.25">
      <c r="A121" s="64"/>
      <c r="B121" s="62"/>
      <c r="C121" s="62"/>
      <c r="D121" s="62"/>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row>
    <row r="122" spans="1:44" ht="15.75" customHeight="1" x14ac:dyDescent="0.25">
      <c r="A122" s="64"/>
      <c r="B122" s="62"/>
      <c r="C122" s="62"/>
      <c r="D122" s="62"/>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row>
    <row r="123" spans="1:44" ht="15.75" customHeight="1" x14ac:dyDescent="0.25">
      <c r="A123" s="64"/>
      <c r="B123" s="62"/>
      <c r="C123" s="62"/>
      <c r="D123" s="62"/>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row>
    <row r="124" spans="1:44" ht="15.75" customHeight="1" x14ac:dyDescent="0.25">
      <c r="A124" s="64"/>
      <c r="B124" s="62"/>
      <c r="C124" s="62"/>
      <c r="D124" s="62"/>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row>
    <row r="125" spans="1:44" ht="15.75" customHeight="1" x14ac:dyDescent="0.25">
      <c r="A125" s="64"/>
      <c r="B125" s="62"/>
      <c r="C125" s="62"/>
      <c r="D125" s="62"/>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row>
    <row r="126" spans="1:44" ht="15.75" customHeight="1" x14ac:dyDescent="0.25">
      <c r="A126" s="64"/>
      <c r="B126" s="62"/>
      <c r="C126" s="62"/>
      <c r="D126" s="62"/>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row>
    <row r="127" spans="1:44" ht="15.75" customHeight="1" x14ac:dyDescent="0.25">
      <c r="A127" s="64"/>
      <c r="B127" s="62"/>
      <c r="C127" s="62"/>
      <c r="D127" s="62"/>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row>
    <row r="128" spans="1:44" ht="15.75" customHeight="1" x14ac:dyDescent="0.25">
      <c r="A128" s="64"/>
      <c r="B128" s="62"/>
      <c r="C128" s="62"/>
      <c r="D128" s="62"/>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row>
    <row r="129" spans="1:44" ht="15.75" customHeight="1" x14ac:dyDescent="0.25">
      <c r="A129" s="64"/>
      <c r="B129" s="62"/>
      <c r="C129" s="62"/>
      <c r="D129" s="62"/>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row>
    <row r="130" spans="1:44" ht="15.75" customHeight="1" x14ac:dyDescent="0.25">
      <c r="A130" s="64"/>
      <c r="B130" s="62"/>
      <c r="C130" s="62"/>
      <c r="D130" s="62"/>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row>
    <row r="131" spans="1:44" ht="15.75" customHeight="1" x14ac:dyDescent="0.25">
      <c r="A131" s="64"/>
      <c r="B131" s="62"/>
      <c r="C131" s="62"/>
      <c r="D131" s="62"/>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row>
    <row r="132" spans="1:44" ht="15.75" customHeight="1" x14ac:dyDescent="0.25">
      <c r="A132" s="64"/>
      <c r="B132" s="62"/>
      <c r="C132" s="62"/>
      <c r="D132" s="62"/>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row>
    <row r="133" spans="1:44" ht="15.75" customHeight="1" x14ac:dyDescent="0.25">
      <c r="A133" s="64"/>
      <c r="B133" s="62"/>
      <c r="C133" s="62"/>
      <c r="D133" s="62"/>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row>
    <row r="134" spans="1:44" ht="15.75" customHeight="1" x14ac:dyDescent="0.25">
      <c r="A134" s="64"/>
      <c r="B134" s="62"/>
      <c r="C134" s="62"/>
      <c r="D134" s="62"/>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row>
    <row r="135" spans="1:44" ht="15.75" customHeight="1" x14ac:dyDescent="0.25">
      <c r="A135" s="64"/>
      <c r="B135" s="62"/>
      <c r="C135" s="62"/>
      <c r="D135" s="62"/>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row>
    <row r="136" spans="1:44" ht="15.75" customHeight="1" x14ac:dyDescent="0.25">
      <c r="A136" s="64"/>
      <c r="B136" s="62"/>
      <c r="C136" s="62"/>
      <c r="D136" s="62"/>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row>
    <row r="137" spans="1:44" ht="15.75" customHeight="1" x14ac:dyDescent="0.25">
      <c r="A137" s="64"/>
      <c r="B137" s="62"/>
      <c r="C137" s="62"/>
      <c r="D137" s="62"/>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row>
    <row r="138" spans="1:44" ht="15.75" customHeight="1" x14ac:dyDescent="0.25">
      <c r="A138" s="64"/>
      <c r="B138" s="62"/>
      <c r="C138" s="62"/>
      <c r="D138" s="62"/>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row>
    <row r="139" spans="1:44" ht="15.75" customHeight="1" x14ac:dyDescent="0.25">
      <c r="A139" s="64"/>
      <c r="B139" s="62"/>
      <c r="C139" s="62"/>
      <c r="D139" s="62"/>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row>
    <row r="140" spans="1:44" ht="15.75" customHeight="1" x14ac:dyDescent="0.25">
      <c r="A140" s="64"/>
      <c r="B140" s="62"/>
      <c r="C140" s="62"/>
      <c r="D140" s="62"/>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row>
    <row r="141" spans="1:44" ht="15.75" customHeight="1" x14ac:dyDescent="0.25">
      <c r="A141" s="64"/>
      <c r="B141" s="62"/>
      <c r="C141" s="62"/>
      <c r="D141" s="62"/>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row>
    <row r="142" spans="1:44" ht="15.75" customHeight="1" x14ac:dyDescent="0.25">
      <c r="A142" s="64"/>
      <c r="B142" s="62"/>
      <c r="C142" s="62"/>
      <c r="D142" s="62"/>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row>
    <row r="143" spans="1:44" ht="15.75" customHeight="1" x14ac:dyDescent="0.25">
      <c r="A143" s="64"/>
      <c r="B143" s="62"/>
      <c r="C143" s="62"/>
      <c r="D143" s="62"/>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row>
    <row r="144" spans="1:44" ht="15.75" customHeight="1" x14ac:dyDescent="0.25">
      <c r="A144" s="64"/>
      <c r="B144" s="62"/>
      <c r="C144" s="62"/>
      <c r="D144" s="62"/>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row>
    <row r="145" spans="1:44" ht="15.75" customHeight="1" x14ac:dyDescent="0.25">
      <c r="A145" s="64"/>
      <c r="B145" s="62"/>
      <c r="C145" s="62"/>
      <c r="D145" s="62"/>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row>
    <row r="146" spans="1:44" ht="15.75" customHeight="1" x14ac:dyDescent="0.25">
      <c r="A146" s="64"/>
      <c r="B146" s="62"/>
      <c r="C146" s="62"/>
      <c r="D146" s="62"/>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row>
    <row r="147" spans="1:44" ht="15.75" customHeight="1" x14ac:dyDescent="0.25">
      <c r="A147" s="64"/>
      <c r="B147" s="62"/>
      <c r="C147" s="62"/>
      <c r="D147" s="62"/>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row>
    <row r="148" spans="1:44" ht="15.75" customHeight="1" x14ac:dyDescent="0.25">
      <c r="A148" s="64"/>
      <c r="B148" s="62"/>
      <c r="C148" s="62"/>
      <c r="D148" s="62"/>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row>
    <row r="149" spans="1:44" ht="15.75" customHeight="1" x14ac:dyDescent="0.25">
      <c r="A149" s="64"/>
      <c r="B149" s="62"/>
      <c r="C149" s="62"/>
      <c r="D149" s="62"/>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row>
    <row r="150" spans="1:44" ht="15.75" customHeight="1" x14ac:dyDescent="0.25">
      <c r="A150" s="64"/>
      <c r="B150" s="62"/>
      <c r="C150" s="62"/>
      <c r="D150" s="62"/>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row>
    <row r="151" spans="1:44" ht="15.75" customHeight="1" x14ac:dyDescent="0.25">
      <c r="A151" s="64"/>
      <c r="B151" s="62"/>
      <c r="C151" s="62"/>
      <c r="D151" s="62"/>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row>
    <row r="152" spans="1:44" ht="15.75" customHeight="1" x14ac:dyDescent="0.25">
      <c r="A152" s="64"/>
      <c r="B152" s="62"/>
      <c r="C152" s="62"/>
      <c r="D152" s="62"/>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row>
    <row r="153" spans="1:44" ht="15.75" customHeight="1" x14ac:dyDescent="0.25">
      <c r="A153" s="64"/>
      <c r="B153" s="62"/>
      <c r="C153" s="62"/>
      <c r="D153" s="62"/>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row>
    <row r="154" spans="1:44" ht="15.75" customHeight="1" x14ac:dyDescent="0.25">
      <c r="A154" s="64"/>
      <c r="B154" s="62"/>
      <c r="C154" s="62"/>
      <c r="D154" s="62"/>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row>
    <row r="155" spans="1:44" ht="15.75" customHeight="1" x14ac:dyDescent="0.25">
      <c r="A155" s="64"/>
      <c r="B155" s="62"/>
      <c r="C155" s="62"/>
      <c r="D155" s="62"/>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row>
    <row r="156" spans="1:44" ht="15.75" customHeight="1" x14ac:dyDescent="0.25">
      <c r="A156" s="64"/>
      <c r="B156" s="62"/>
      <c r="C156" s="62"/>
      <c r="D156" s="62"/>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row>
    <row r="157" spans="1:44" ht="15.75" customHeight="1" x14ac:dyDescent="0.25">
      <c r="A157" s="64"/>
      <c r="B157" s="62"/>
      <c r="C157" s="62"/>
      <c r="D157" s="62"/>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row>
    <row r="158" spans="1:44" ht="15.75" customHeight="1" x14ac:dyDescent="0.25">
      <c r="A158" s="64"/>
      <c r="B158" s="62"/>
      <c r="C158" s="62"/>
      <c r="D158" s="62"/>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row>
    <row r="159" spans="1:44" ht="15.75" customHeight="1" x14ac:dyDescent="0.25">
      <c r="A159" s="64"/>
      <c r="B159" s="62"/>
      <c r="C159" s="62"/>
      <c r="D159" s="62"/>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row>
    <row r="160" spans="1:44" ht="15.75" customHeight="1" x14ac:dyDescent="0.25">
      <c r="A160" s="64"/>
      <c r="B160" s="62"/>
      <c r="C160" s="62"/>
      <c r="D160" s="62"/>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row>
    <row r="161" spans="1:44" ht="15.75" customHeight="1" x14ac:dyDescent="0.25">
      <c r="A161" s="64"/>
      <c r="B161" s="62"/>
      <c r="C161" s="62"/>
      <c r="D161" s="62"/>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row>
    <row r="162" spans="1:44" ht="15.75" customHeight="1" x14ac:dyDescent="0.25">
      <c r="A162" s="64"/>
      <c r="B162" s="62"/>
      <c r="C162" s="62"/>
      <c r="D162" s="62"/>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row>
    <row r="163" spans="1:44" ht="15.75" customHeight="1" x14ac:dyDescent="0.25">
      <c r="A163" s="64"/>
      <c r="B163" s="62"/>
      <c r="C163" s="62"/>
      <c r="D163" s="62"/>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row>
    <row r="164" spans="1:44" ht="15.75" customHeight="1" x14ac:dyDescent="0.25">
      <c r="A164" s="64"/>
      <c r="B164" s="62"/>
      <c r="C164" s="62"/>
      <c r="D164" s="62"/>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row>
    <row r="165" spans="1:44" ht="15.75" customHeight="1" x14ac:dyDescent="0.25">
      <c r="A165" s="64"/>
      <c r="B165" s="62"/>
      <c r="C165" s="62"/>
      <c r="D165" s="62"/>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row>
    <row r="166" spans="1:44" ht="15.75" customHeight="1" x14ac:dyDescent="0.25">
      <c r="A166" s="64"/>
      <c r="B166" s="62"/>
      <c r="C166" s="62"/>
      <c r="D166" s="62"/>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row>
    <row r="167" spans="1:44" ht="15.75" customHeight="1" x14ac:dyDescent="0.25">
      <c r="A167" s="64"/>
      <c r="B167" s="62"/>
      <c r="C167" s="62"/>
      <c r="D167" s="62"/>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row>
    <row r="168" spans="1:44" ht="15.75" customHeight="1" x14ac:dyDescent="0.25">
      <c r="A168" s="64"/>
      <c r="B168" s="62"/>
      <c r="C168" s="62"/>
      <c r="D168" s="62"/>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row>
    <row r="169" spans="1:44" ht="15.75" customHeight="1" x14ac:dyDescent="0.25">
      <c r="A169" s="64"/>
      <c r="B169" s="62"/>
      <c r="C169" s="62"/>
      <c r="D169" s="62"/>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row>
    <row r="170" spans="1:44" ht="15.75" customHeight="1" x14ac:dyDescent="0.25">
      <c r="A170" s="64"/>
      <c r="B170" s="62"/>
      <c r="C170" s="62"/>
      <c r="D170" s="62"/>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row>
    <row r="171" spans="1:44" ht="15.75" customHeight="1" x14ac:dyDescent="0.25">
      <c r="A171" s="64"/>
      <c r="B171" s="62"/>
      <c r="C171" s="62"/>
      <c r="D171" s="62"/>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row>
    <row r="172" spans="1:44" ht="15.75" customHeight="1" x14ac:dyDescent="0.25">
      <c r="A172" s="64"/>
      <c r="B172" s="62"/>
      <c r="C172" s="62"/>
      <c r="D172" s="62"/>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row>
    <row r="173" spans="1:44" ht="15.75" customHeight="1" x14ac:dyDescent="0.25">
      <c r="A173" s="64"/>
      <c r="B173" s="62"/>
      <c r="C173" s="62"/>
      <c r="D173" s="62"/>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row>
    <row r="174" spans="1:44" ht="15.75" customHeight="1" x14ac:dyDescent="0.25">
      <c r="A174" s="64"/>
      <c r="B174" s="62"/>
      <c r="C174" s="62"/>
      <c r="D174" s="62"/>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row>
    <row r="175" spans="1:44" ht="15.75" customHeight="1" x14ac:dyDescent="0.25">
      <c r="A175" s="64"/>
      <c r="B175" s="62"/>
      <c r="C175" s="62"/>
      <c r="D175" s="62"/>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row>
    <row r="176" spans="1:44" ht="15.75" customHeight="1" x14ac:dyDescent="0.25">
      <c r="A176" s="64"/>
      <c r="B176" s="62"/>
      <c r="C176" s="62"/>
      <c r="D176" s="62"/>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row>
    <row r="177" spans="1:44" ht="15.75" customHeight="1" x14ac:dyDescent="0.25">
      <c r="A177" s="64"/>
      <c r="B177" s="62"/>
      <c r="C177" s="62"/>
      <c r="D177" s="62"/>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row>
    <row r="178" spans="1:44" ht="15.75" customHeight="1" x14ac:dyDescent="0.25">
      <c r="A178" s="64"/>
      <c r="B178" s="62"/>
      <c r="C178" s="62"/>
      <c r="D178" s="62"/>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row>
    <row r="179" spans="1:44" ht="15.75" customHeight="1" x14ac:dyDescent="0.25">
      <c r="A179" s="64"/>
      <c r="B179" s="62"/>
      <c r="C179" s="62"/>
      <c r="D179" s="62"/>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row>
    <row r="180" spans="1:44" ht="15.75" customHeight="1" x14ac:dyDescent="0.25">
      <c r="A180" s="64"/>
      <c r="B180" s="62"/>
      <c r="C180" s="62"/>
      <c r="D180" s="62"/>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row>
    <row r="181" spans="1:44" ht="15.75" customHeight="1" x14ac:dyDescent="0.25">
      <c r="A181" s="64"/>
      <c r="B181" s="62"/>
      <c r="C181" s="62"/>
      <c r="D181" s="62"/>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row>
    <row r="182" spans="1:44" ht="15.75" customHeight="1" x14ac:dyDescent="0.25">
      <c r="A182" s="64"/>
      <c r="B182" s="62"/>
      <c r="C182" s="62"/>
      <c r="D182" s="62"/>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row>
    <row r="183" spans="1:44" ht="15.75" customHeight="1" x14ac:dyDescent="0.25">
      <c r="A183" s="64"/>
      <c r="B183" s="62"/>
      <c r="C183" s="62"/>
      <c r="D183" s="62"/>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row>
    <row r="184" spans="1:44" ht="15.75" customHeight="1" x14ac:dyDescent="0.25">
      <c r="A184" s="64"/>
      <c r="B184" s="62"/>
      <c r="C184" s="62"/>
      <c r="D184" s="62"/>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row>
    <row r="185" spans="1:44" ht="15.75" customHeight="1" x14ac:dyDescent="0.25">
      <c r="A185" s="64"/>
      <c r="B185" s="62"/>
      <c r="C185" s="62"/>
      <c r="D185" s="62"/>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row>
    <row r="186" spans="1:44" ht="15.75" customHeight="1" x14ac:dyDescent="0.25">
      <c r="A186" s="64"/>
      <c r="B186" s="62"/>
      <c r="C186" s="62"/>
      <c r="D186" s="62"/>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row>
    <row r="187" spans="1:44" ht="15.75" customHeight="1" x14ac:dyDescent="0.25">
      <c r="A187" s="64"/>
      <c r="B187" s="62"/>
      <c r="C187" s="62"/>
      <c r="D187" s="62"/>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row>
    <row r="188" spans="1:44" ht="15.75" customHeight="1" x14ac:dyDescent="0.25">
      <c r="A188" s="64"/>
      <c r="B188" s="62"/>
      <c r="C188" s="62"/>
      <c r="D188" s="62"/>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row>
    <row r="189" spans="1:44" ht="15.75" customHeight="1" x14ac:dyDescent="0.25">
      <c r="A189" s="64"/>
      <c r="B189" s="62"/>
      <c r="C189" s="62"/>
      <c r="D189" s="62"/>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row>
    <row r="190" spans="1:44" ht="15.75" customHeight="1" x14ac:dyDescent="0.25">
      <c r="A190" s="64"/>
      <c r="B190" s="62"/>
      <c r="C190" s="62"/>
      <c r="D190" s="62"/>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row>
    <row r="191" spans="1:44" ht="15.75" customHeight="1" x14ac:dyDescent="0.25">
      <c r="A191" s="64"/>
      <c r="B191" s="62"/>
      <c r="C191" s="62"/>
      <c r="D191" s="62"/>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row>
    <row r="192" spans="1:44" ht="15.75" customHeight="1" x14ac:dyDescent="0.25">
      <c r="A192" s="64"/>
      <c r="B192" s="62"/>
      <c r="C192" s="62"/>
      <c r="D192" s="62"/>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row>
    <row r="193" spans="1:44" ht="15.75" customHeight="1" x14ac:dyDescent="0.25">
      <c r="A193" s="64"/>
      <c r="B193" s="62"/>
      <c r="C193" s="62"/>
      <c r="D193" s="62"/>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row>
    <row r="194" spans="1:44" ht="15.75" customHeight="1" x14ac:dyDescent="0.25">
      <c r="A194" s="64"/>
      <c r="B194" s="62"/>
      <c r="C194" s="62"/>
      <c r="D194" s="62"/>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row>
    <row r="195" spans="1:44" ht="15.75" customHeight="1" x14ac:dyDescent="0.25">
      <c r="A195" s="64"/>
      <c r="B195" s="62"/>
      <c r="C195" s="62"/>
      <c r="D195" s="62"/>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row>
    <row r="196" spans="1:44" ht="15.75" customHeight="1" x14ac:dyDescent="0.25">
      <c r="A196" s="64"/>
      <c r="B196" s="62"/>
      <c r="C196" s="62"/>
      <c r="D196" s="62"/>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row>
    <row r="197" spans="1:44" ht="15.75" customHeight="1" x14ac:dyDescent="0.25">
      <c r="A197" s="64"/>
      <c r="B197" s="62"/>
      <c r="C197" s="62"/>
      <c r="D197" s="62"/>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row>
    <row r="198" spans="1:44" ht="15.75" customHeight="1" x14ac:dyDescent="0.25">
      <c r="A198" s="64"/>
      <c r="B198" s="62"/>
      <c r="C198" s="62"/>
      <c r="D198" s="62"/>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row>
    <row r="199" spans="1:44" ht="15.75" customHeight="1" x14ac:dyDescent="0.25">
      <c r="A199" s="64"/>
      <c r="B199" s="62"/>
      <c r="C199" s="62"/>
      <c r="D199" s="62"/>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row>
    <row r="200" spans="1:44" ht="15.75" customHeight="1" x14ac:dyDescent="0.25">
      <c r="A200" s="64"/>
      <c r="B200" s="62"/>
      <c r="C200" s="62"/>
      <c r="D200" s="62"/>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row>
    <row r="201" spans="1:44" ht="15.75" customHeight="1" x14ac:dyDescent="0.25">
      <c r="A201" s="64"/>
      <c r="B201" s="62"/>
      <c r="C201" s="62"/>
      <c r="D201" s="62"/>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row>
    <row r="202" spans="1:44" ht="15.75" customHeight="1" x14ac:dyDescent="0.25">
      <c r="A202" s="64"/>
      <c r="B202" s="62"/>
      <c r="C202" s="62"/>
      <c r="D202" s="62"/>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row>
    <row r="203" spans="1:44" ht="15.75" customHeight="1" x14ac:dyDescent="0.25">
      <c r="A203" s="64"/>
      <c r="B203" s="62"/>
      <c r="C203" s="62"/>
      <c r="D203" s="62"/>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row>
    <row r="204" spans="1:44" ht="15.75" customHeight="1" x14ac:dyDescent="0.25">
      <c r="A204" s="64"/>
      <c r="B204" s="62"/>
      <c r="C204" s="62"/>
      <c r="D204" s="62"/>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row>
    <row r="205" spans="1:44" ht="15.75" customHeight="1" x14ac:dyDescent="0.25">
      <c r="A205" s="64"/>
      <c r="B205" s="62"/>
      <c r="C205" s="62"/>
      <c r="D205" s="62"/>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row>
    <row r="206" spans="1:44" ht="15.75" customHeight="1" x14ac:dyDescent="0.25">
      <c r="A206" s="64"/>
      <c r="B206" s="62"/>
      <c r="C206" s="62"/>
      <c r="D206" s="62"/>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row>
    <row r="207" spans="1:44" ht="15.75" customHeight="1" x14ac:dyDescent="0.25">
      <c r="A207" s="64"/>
      <c r="B207" s="62"/>
      <c r="C207" s="62"/>
      <c r="D207" s="62"/>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row>
    <row r="208" spans="1:44" ht="15.75" customHeight="1" x14ac:dyDescent="0.25">
      <c r="A208" s="64"/>
      <c r="B208" s="62"/>
      <c r="C208" s="62"/>
      <c r="D208" s="62"/>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row>
    <row r="209" spans="1:44" ht="15.75" customHeight="1" x14ac:dyDescent="0.25">
      <c r="A209" s="64"/>
      <c r="B209" s="62"/>
      <c r="C209" s="62"/>
      <c r="D209" s="62"/>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row>
    <row r="210" spans="1:44" ht="15.75" customHeight="1" x14ac:dyDescent="0.25">
      <c r="A210" s="64"/>
      <c r="B210" s="62"/>
      <c r="C210" s="62"/>
      <c r="D210" s="62"/>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row>
    <row r="211" spans="1:44" ht="15.75" customHeight="1" x14ac:dyDescent="0.25">
      <c r="A211" s="64"/>
      <c r="B211" s="62"/>
      <c r="C211" s="62"/>
      <c r="D211" s="62"/>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row>
    <row r="212" spans="1:44" ht="15.75" customHeight="1" x14ac:dyDescent="0.25">
      <c r="A212" s="64"/>
      <c r="B212" s="62"/>
      <c r="C212" s="62"/>
      <c r="D212" s="62"/>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row>
    <row r="213" spans="1:44" ht="15.75" customHeight="1" x14ac:dyDescent="0.25">
      <c r="A213" s="64"/>
      <c r="B213" s="62"/>
      <c r="C213" s="62"/>
      <c r="D213" s="62"/>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row>
    <row r="214" spans="1:44" ht="15.75" customHeight="1" x14ac:dyDescent="0.25">
      <c r="A214" s="64"/>
      <c r="B214" s="62"/>
      <c r="C214" s="62"/>
      <c r="D214" s="62"/>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row>
    <row r="215" spans="1:44" ht="15.75" customHeight="1" x14ac:dyDescent="0.25">
      <c r="A215" s="64"/>
      <c r="B215" s="62"/>
      <c r="C215" s="62"/>
      <c r="D215" s="62"/>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row>
    <row r="216" spans="1:44" ht="15.75" customHeight="1" x14ac:dyDescent="0.25">
      <c r="A216" s="64"/>
      <c r="B216" s="62"/>
      <c r="C216" s="62"/>
      <c r="D216" s="62"/>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row>
    <row r="217" spans="1:44" ht="15.75" customHeight="1" x14ac:dyDescent="0.25">
      <c r="A217" s="64"/>
      <c r="B217" s="62"/>
      <c r="C217" s="62"/>
      <c r="D217" s="62"/>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row>
    <row r="218" spans="1:44" ht="15.75" customHeight="1" x14ac:dyDescent="0.25">
      <c r="A218" s="64"/>
      <c r="B218" s="62"/>
      <c r="C218" s="62"/>
      <c r="D218" s="62"/>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row>
    <row r="219" spans="1:44" ht="15.75" customHeight="1" x14ac:dyDescent="0.25">
      <c r="A219" s="64"/>
      <c r="B219" s="62"/>
      <c r="C219" s="62"/>
      <c r="D219" s="62"/>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row>
    <row r="220" spans="1:44" ht="15.75" customHeight="1" x14ac:dyDescent="0.25">
      <c r="A220" s="64"/>
      <c r="B220" s="62"/>
      <c r="C220" s="62"/>
      <c r="D220" s="62"/>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row>
    <row r="221" spans="1:44" ht="15.75" customHeight="1" x14ac:dyDescent="0.25">
      <c r="A221" s="64"/>
      <c r="B221" s="62"/>
      <c r="C221" s="62"/>
      <c r="D221" s="62"/>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row>
    <row r="222" spans="1:44" ht="15.75" customHeight="1" x14ac:dyDescent="0.25">
      <c r="A222" s="64"/>
      <c r="B222" s="62"/>
      <c r="C222" s="62"/>
      <c r="D222" s="62"/>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row>
    <row r="223" spans="1:44" ht="15.75" customHeight="1" x14ac:dyDescent="0.25">
      <c r="A223" s="64"/>
      <c r="B223" s="62"/>
      <c r="C223" s="62"/>
      <c r="D223" s="62"/>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row>
    <row r="224" spans="1:44" ht="15.75" customHeight="1" x14ac:dyDescent="0.25">
      <c r="A224" s="64"/>
      <c r="B224" s="62"/>
      <c r="C224" s="62"/>
      <c r="D224" s="62"/>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row>
    <row r="225" spans="1:44" ht="15.75" customHeight="1" x14ac:dyDescent="0.25">
      <c r="A225" s="64"/>
      <c r="B225" s="62"/>
      <c r="C225" s="62"/>
      <c r="D225" s="62"/>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row>
    <row r="226" spans="1:44" ht="15.75" customHeight="1" x14ac:dyDescent="0.25">
      <c r="A226" s="64"/>
      <c r="B226" s="62"/>
      <c r="C226" s="62"/>
      <c r="D226" s="62"/>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row>
    <row r="227" spans="1:44" ht="15.75" customHeight="1" x14ac:dyDescent="0.25">
      <c r="A227" s="64"/>
      <c r="B227" s="62"/>
      <c r="C227" s="62"/>
      <c r="D227" s="62"/>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row>
    <row r="228" spans="1:44" ht="15.75" customHeight="1" x14ac:dyDescent="0.25">
      <c r="A228" s="64"/>
      <c r="B228" s="62"/>
      <c r="C228" s="62"/>
      <c r="D228" s="62"/>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row>
    <row r="229" spans="1:44" ht="15.75" customHeight="1" x14ac:dyDescent="0.25">
      <c r="A229" s="64"/>
      <c r="B229" s="62"/>
      <c r="C229" s="62"/>
      <c r="D229" s="62"/>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row>
    <row r="230" spans="1:44" ht="15.75" customHeight="1" x14ac:dyDescent="0.25">
      <c r="A230" s="64"/>
      <c r="B230" s="62"/>
      <c r="C230" s="62"/>
      <c r="D230" s="62"/>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row>
    <row r="231" spans="1:44" ht="15.75" customHeight="1" x14ac:dyDescent="0.25">
      <c r="A231" s="64"/>
      <c r="B231" s="62"/>
      <c r="C231" s="62"/>
      <c r="D231" s="62"/>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row>
    <row r="232" spans="1:44" ht="15.75" customHeight="1" x14ac:dyDescent="0.25">
      <c r="A232" s="64"/>
      <c r="B232" s="62"/>
      <c r="C232" s="62"/>
      <c r="D232" s="62"/>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row>
    <row r="233" spans="1:44" ht="15.75" customHeight="1" x14ac:dyDescent="0.25">
      <c r="A233" s="64"/>
      <c r="B233" s="62"/>
      <c r="C233" s="62"/>
      <c r="D233" s="62"/>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row>
    <row r="234" spans="1:44" ht="15.75" customHeight="1" x14ac:dyDescent="0.25">
      <c r="A234" s="64"/>
      <c r="B234" s="62"/>
      <c r="C234" s="62"/>
      <c r="D234" s="62"/>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row>
    <row r="235" spans="1:44" ht="15.75" customHeight="1" x14ac:dyDescent="0.25">
      <c r="A235" s="64"/>
      <c r="B235" s="62"/>
      <c r="C235" s="62"/>
      <c r="D235" s="62"/>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row>
    <row r="236" spans="1:44" ht="15.75" customHeight="1" x14ac:dyDescent="0.25">
      <c r="A236" s="64"/>
      <c r="B236" s="62"/>
      <c r="C236" s="62"/>
      <c r="D236" s="62"/>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row>
    <row r="237" spans="1:44" ht="15.75" customHeight="1" x14ac:dyDescent="0.25">
      <c r="A237" s="64"/>
      <c r="B237" s="62"/>
      <c r="C237" s="62"/>
      <c r="D237" s="62"/>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row>
    <row r="238" spans="1:44" ht="15.75" customHeight="1" x14ac:dyDescent="0.25">
      <c r="A238" s="64"/>
      <c r="B238" s="62"/>
      <c r="C238" s="62"/>
      <c r="D238" s="62"/>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row>
    <row r="239" spans="1:44" ht="15.75" customHeight="1" x14ac:dyDescent="0.25">
      <c r="A239" s="64"/>
      <c r="B239" s="62"/>
      <c r="C239" s="62"/>
      <c r="D239" s="62"/>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row>
    <row r="240" spans="1:44" ht="15.75" customHeight="1" x14ac:dyDescent="0.25">
      <c r="A240" s="64"/>
      <c r="B240" s="62"/>
      <c r="C240" s="62"/>
      <c r="D240" s="62"/>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row>
    <row r="241" spans="1:44" ht="15.75" customHeight="1" x14ac:dyDescent="0.25">
      <c r="A241" s="64"/>
      <c r="B241" s="62"/>
      <c r="C241" s="62"/>
      <c r="D241" s="62"/>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row>
    <row r="242" spans="1:44" ht="15.75" customHeight="1" x14ac:dyDescent="0.25">
      <c r="A242" s="64"/>
      <c r="B242" s="62"/>
      <c r="C242" s="62"/>
      <c r="D242" s="62"/>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row>
    <row r="243" spans="1:44" ht="15.75" customHeight="1" x14ac:dyDescent="0.25">
      <c r="A243" s="64"/>
      <c r="B243" s="62"/>
      <c r="C243" s="62"/>
      <c r="D243" s="62"/>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row>
    <row r="244" spans="1:44" ht="15.75" customHeight="1" x14ac:dyDescent="0.25">
      <c r="A244" s="64"/>
      <c r="B244" s="62"/>
      <c r="C244" s="62"/>
      <c r="D244" s="62"/>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row>
    <row r="245" spans="1:44" ht="15.75" customHeight="1" x14ac:dyDescent="0.25">
      <c r="A245" s="64"/>
      <c r="B245" s="62"/>
      <c r="C245" s="62"/>
      <c r="D245" s="62"/>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row>
    <row r="246" spans="1:44" ht="15.75" customHeight="1" x14ac:dyDescent="0.25">
      <c r="A246" s="64"/>
      <c r="B246" s="62"/>
      <c r="C246" s="62"/>
      <c r="D246" s="62"/>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row>
    <row r="247" spans="1:44" ht="15.75" customHeight="1" x14ac:dyDescent="0.25">
      <c r="A247" s="64"/>
      <c r="B247" s="62"/>
      <c r="C247" s="62"/>
      <c r="D247" s="62"/>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row>
    <row r="248" spans="1:44" ht="15.75" customHeight="1" x14ac:dyDescent="0.25">
      <c r="A248" s="64"/>
      <c r="B248" s="62"/>
      <c r="C248" s="62"/>
      <c r="D248" s="62"/>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row>
    <row r="249" spans="1:44" ht="15.75" customHeight="1" x14ac:dyDescent="0.25">
      <c r="A249" s="64"/>
      <c r="B249" s="62"/>
      <c r="C249" s="62"/>
      <c r="D249" s="62"/>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row>
    <row r="250" spans="1:44" ht="15.75" customHeight="1" x14ac:dyDescent="0.25">
      <c r="A250" s="64"/>
      <c r="B250" s="62"/>
      <c r="C250" s="62"/>
      <c r="D250" s="62"/>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row>
    <row r="251" spans="1:44" ht="15.75" customHeight="1" x14ac:dyDescent="0.25">
      <c r="A251" s="64"/>
      <c r="B251" s="62"/>
      <c r="C251" s="62"/>
      <c r="D251" s="62"/>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row>
    <row r="252" spans="1:44" ht="15.75" customHeight="1" x14ac:dyDescent="0.25">
      <c r="A252" s="64"/>
      <c r="B252" s="62"/>
      <c r="C252" s="62"/>
      <c r="D252" s="62"/>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row>
    <row r="253" spans="1:44" ht="15.75" customHeight="1" x14ac:dyDescent="0.25">
      <c r="A253" s="64"/>
      <c r="B253" s="62"/>
      <c r="C253" s="62"/>
      <c r="D253" s="62"/>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row>
    <row r="254" spans="1:44" ht="15.75" customHeight="1" x14ac:dyDescent="0.25">
      <c r="A254" s="64"/>
      <c r="B254" s="62"/>
      <c r="C254" s="62"/>
      <c r="D254" s="62"/>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row>
    <row r="255" spans="1:44" ht="15.75" customHeight="1" x14ac:dyDescent="0.25">
      <c r="A255" s="64"/>
      <c r="B255" s="62"/>
      <c r="C255" s="62"/>
      <c r="D255" s="62"/>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row>
    <row r="256" spans="1:44" ht="15.75" customHeight="1" x14ac:dyDescent="0.25">
      <c r="A256" s="64"/>
      <c r="B256" s="62"/>
      <c r="C256" s="62"/>
      <c r="D256" s="62"/>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row>
    <row r="257" spans="1:44" ht="15.75" customHeight="1" x14ac:dyDescent="0.25">
      <c r="A257" s="64"/>
      <c r="B257" s="62"/>
      <c r="C257" s="62"/>
      <c r="D257" s="62"/>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row>
    <row r="258" spans="1:44" ht="15.75" customHeight="1" x14ac:dyDescent="0.25">
      <c r="A258" s="64"/>
      <c r="B258" s="62"/>
      <c r="C258" s="62"/>
      <c r="D258" s="62"/>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row>
    <row r="259" spans="1:44" ht="15.75" customHeight="1" x14ac:dyDescent="0.25">
      <c r="A259" s="64"/>
      <c r="B259" s="62"/>
      <c r="C259" s="62"/>
      <c r="D259" s="62"/>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row>
    <row r="260" spans="1:44" ht="15.75" customHeight="1" x14ac:dyDescent="0.25">
      <c r="A260" s="64"/>
      <c r="B260" s="62"/>
      <c r="C260" s="62"/>
      <c r="D260" s="62"/>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row>
    <row r="261" spans="1:44" ht="15.75" customHeight="1" x14ac:dyDescent="0.25">
      <c r="A261" s="64"/>
      <c r="B261" s="62"/>
      <c r="C261" s="62"/>
      <c r="D261" s="62"/>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row>
    <row r="262" spans="1:44" ht="15.75" customHeight="1" x14ac:dyDescent="0.25">
      <c r="A262" s="64"/>
      <c r="B262" s="62"/>
      <c r="C262" s="62"/>
      <c r="D262" s="62"/>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row>
    <row r="263" spans="1:44" ht="15.75" customHeight="1" x14ac:dyDescent="0.25">
      <c r="A263" s="64"/>
      <c r="B263" s="62"/>
      <c r="C263" s="62"/>
      <c r="D263" s="62"/>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row>
    <row r="264" spans="1:44" ht="15.75" customHeight="1" x14ac:dyDescent="0.25">
      <c r="A264" s="64"/>
      <c r="B264" s="62"/>
      <c r="C264" s="62"/>
      <c r="D264" s="62"/>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row>
    <row r="265" spans="1:44" ht="15.75" customHeight="1" x14ac:dyDescent="0.25">
      <c r="A265" s="64"/>
      <c r="B265" s="62"/>
      <c r="C265" s="62"/>
      <c r="D265" s="62"/>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row>
    <row r="266" spans="1:44" ht="15.75" customHeight="1" x14ac:dyDescent="0.25">
      <c r="A266" s="64"/>
      <c r="B266" s="62"/>
      <c r="C266" s="62"/>
      <c r="D266" s="62"/>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row>
    <row r="267" spans="1:44" ht="15.75" customHeight="1" x14ac:dyDescent="0.25">
      <c r="A267" s="64"/>
      <c r="B267" s="62"/>
      <c r="C267" s="62"/>
      <c r="D267" s="62"/>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row>
    <row r="268" spans="1:44" ht="15.75" customHeight="1" x14ac:dyDescent="0.25">
      <c r="A268" s="64"/>
      <c r="B268" s="62"/>
      <c r="C268" s="62"/>
      <c r="D268" s="62"/>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row>
    <row r="269" spans="1:44" ht="15.75" customHeight="1" x14ac:dyDescent="0.25">
      <c r="A269" s="64"/>
      <c r="B269" s="62"/>
      <c r="C269" s="62"/>
      <c r="D269" s="62"/>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row>
    <row r="270" spans="1:44" ht="15.75" customHeight="1" x14ac:dyDescent="0.25">
      <c r="A270" s="64"/>
      <c r="B270" s="62"/>
      <c r="C270" s="62"/>
      <c r="D270" s="62"/>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row>
    <row r="271" spans="1:44" ht="15.75" customHeight="1" x14ac:dyDescent="0.25">
      <c r="A271" s="64"/>
      <c r="B271" s="62"/>
      <c r="C271" s="62"/>
      <c r="D271" s="62"/>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row>
    <row r="272" spans="1:44" ht="15.75" customHeight="1" x14ac:dyDescent="0.25">
      <c r="A272" s="64"/>
      <c r="B272" s="62"/>
      <c r="C272" s="62"/>
      <c r="D272" s="62"/>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row>
    <row r="273" spans="1:44" ht="15.75" customHeight="1" x14ac:dyDescent="0.25">
      <c r="A273" s="64"/>
      <c r="B273" s="62"/>
      <c r="C273" s="62"/>
      <c r="D273" s="62"/>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row>
    <row r="274" spans="1:44" ht="15.75" customHeight="1" x14ac:dyDescent="0.25">
      <c r="A274" s="64"/>
      <c r="B274" s="62"/>
      <c r="C274" s="62"/>
      <c r="D274" s="62"/>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row>
    <row r="275" spans="1:44" ht="15.75" customHeight="1" x14ac:dyDescent="0.25">
      <c r="A275" s="64"/>
      <c r="B275" s="62"/>
      <c r="C275" s="62"/>
      <c r="D275" s="62"/>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row>
    <row r="276" spans="1:44" ht="15.75" customHeight="1" x14ac:dyDescent="0.25">
      <c r="A276" s="64"/>
      <c r="B276" s="62"/>
      <c r="C276" s="62"/>
      <c r="D276" s="62"/>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row>
    <row r="277" spans="1:44" ht="15.75" customHeight="1" x14ac:dyDescent="0.25">
      <c r="A277" s="64"/>
      <c r="B277" s="62"/>
      <c r="C277" s="62"/>
      <c r="D277" s="62"/>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row>
    <row r="278" spans="1:44" ht="15.75" customHeight="1" x14ac:dyDescent="0.25">
      <c r="A278" s="64"/>
      <c r="B278" s="62"/>
      <c r="C278" s="62"/>
      <c r="D278" s="62"/>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row>
    <row r="279" spans="1:44" ht="15.75" customHeight="1" x14ac:dyDescent="0.25">
      <c r="A279" s="64"/>
      <c r="B279" s="62"/>
      <c r="C279" s="62"/>
      <c r="D279" s="62"/>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row>
    <row r="280" spans="1:44" ht="15.75" customHeight="1" x14ac:dyDescent="0.25">
      <c r="A280" s="64"/>
      <c r="B280" s="62"/>
      <c r="C280" s="62"/>
      <c r="D280" s="62"/>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row>
    <row r="281" spans="1:44" ht="15.75" customHeight="1" x14ac:dyDescent="0.25">
      <c r="A281" s="64"/>
      <c r="B281" s="62"/>
      <c r="C281" s="62"/>
      <c r="D281" s="62"/>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row>
    <row r="282" spans="1:44" ht="15.75" customHeight="1" x14ac:dyDescent="0.25">
      <c r="A282" s="64"/>
      <c r="B282" s="62"/>
      <c r="C282" s="62"/>
      <c r="D282" s="62"/>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row>
    <row r="283" spans="1:44" ht="15.75" customHeight="1" x14ac:dyDescent="0.25">
      <c r="A283" s="64"/>
      <c r="B283" s="62"/>
      <c r="C283" s="62"/>
      <c r="D283" s="62"/>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row>
    <row r="284" spans="1:44" ht="15.75" customHeight="1" x14ac:dyDescent="0.25">
      <c r="A284" s="64"/>
      <c r="B284" s="62"/>
      <c r="C284" s="62"/>
      <c r="D284" s="62"/>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row>
    <row r="285" spans="1:44" ht="15.75" customHeight="1" x14ac:dyDescent="0.25">
      <c r="A285" s="64"/>
      <c r="B285" s="62"/>
      <c r="C285" s="62"/>
      <c r="D285" s="62"/>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row>
    <row r="286" spans="1:44" ht="15.75" customHeight="1" x14ac:dyDescent="0.25">
      <c r="A286" s="64"/>
      <c r="B286" s="62"/>
      <c r="C286" s="62"/>
      <c r="D286" s="62"/>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row>
    <row r="287" spans="1:44" ht="15.75" customHeight="1" x14ac:dyDescent="0.25">
      <c r="A287" s="64"/>
      <c r="B287" s="62"/>
      <c r="C287" s="62"/>
      <c r="D287" s="62"/>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row>
    <row r="288" spans="1:44" ht="15.75" customHeight="1" x14ac:dyDescent="0.25">
      <c r="A288" s="64"/>
      <c r="B288" s="62"/>
      <c r="C288" s="62"/>
      <c r="D288" s="62"/>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row>
    <row r="289" spans="1:44" ht="15.75" customHeight="1" x14ac:dyDescent="0.25">
      <c r="A289" s="64"/>
      <c r="B289" s="62"/>
      <c r="C289" s="62"/>
      <c r="D289" s="62"/>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row>
    <row r="290" spans="1:44" ht="15.75" customHeight="1" x14ac:dyDescent="0.25">
      <c r="A290" s="64"/>
      <c r="B290" s="62"/>
      <c r="C290" s="62"/>
      <c r="D290" s="62"/>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row>
    <row r="291" spans="1:44" ht="15.75" customHeight="1" x14ac:dyDescent="0.25">
      <c r="A291" s="64"/>
      <c r="B291" s="62"/>
      <c r="C291" s="62"/>
      <c r="D291" s="62"/>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row>
    <row r="292" spans="1:44" ht="15.75" customHeight="1" x14ac:dyDescent="0.25">
      <c r="A292" s="64"/>
      <c r="B292" s="62"/>
      <c r="C292" s="62"/>
      <c r="D292" s="62"/>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row>
    <row r="293" spans="1:44" ht="15.75" customHeight="1" x14ac:dyDescent="0.25">
      <c r="A293" s="64"/>
      <c r="B293" s="62"/>
      <c r="C293" s="62"/>
      <c r="D293" s="62"/>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row>
    <row r="294" spans="1:44" ht="15.75" customHeight="1" x14ac:dyDescent="0.25">
      <c r="A294" s="64"/>
      <c r="B294" s="62"/>
      <c r="C294" s="62"/>
      <c r="D294" s="62"/>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row>
    <row r="295" spans="1:44" ht="15.75" customHeight="1" x14ac:dyDescent="0.25">
      <c r="A295" s="64"/>
      <c r="B295" s="62"/>
      <c r="C295" s="62"/>
      <c r="D295" s="62"/>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row>
    <row r="296" spans="1:44" ht="15.75" customHeight="1" x14ac:dyDescent="0.25">
      <c r="A296" s="64"/>
      <c r="B296" s="62"/>
      <c r="C296" s="62"/>
      <c r="D296" s="62"/>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row>
    <row r="297" spans="1:44" ht="15.75" customHeight="1" x14ac:dyDescent="0.25">
      <c r="A297" s="64"/>
      <c r="B297" s="62"/>
      <c r="C297" s="62"/>
      <c r="D297" s="62"/>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row>
    <row r="298" spans="1:44" ht="15.75" customHeight="1" x14ac:dyDescent="0.25">
      <c r="A298" s="64"/>
      <c r="B298" s="62"/>
      <c r="C298" s="62"/>
      <c r="D298" s="62"/>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row>
    <row r="299" spans="1:44" ht="15.75" customHeight="1" x14ac:dyDescent="0.25">
      <c r="A299" s="64"/>
      <c r="B299" s="62"/>
      <c r="C299" s="62"/>
      <c r="D299" s="62"/>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row>
    <row r="300" spans="1:44" ht="15.75" customHeight="1" x14ac:dyDescent="0.25">
      <c r="A300" s="64"/>
      <c r="B300" s="62"/>
      <c r="C300" s="62"/>
      <c r="D300" s="62"/>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row>
    <row r="301" spans="1:44" ht="15.75" customHeight="1" x14ac:dyDescent="0.25">
      <c r="A301" s="64"/>
      <c r="B301" s="62"/>
      <c r="C301" s="62"/>
      <c r="D301" s="62"/>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row>
    <row r="302" spans="1:44" ht="15.75" customHeight="1" x14ac:dyDescent="0.25">
      <c r="A302" s="64"/>
      <c r="B302" s="62"/>
      <c r="C302" s="62"/>
      <c r="D302" s="62"/>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row>
    <row r="303" spans="1:44" ht="15.75" customHeight="1" x14ac:dyDescent="0.25">
      <c r="A303" s="64"/>
      <c r="B303" s="62"/>
      <c r="C303" s="62"/>
      <c r="D303" s="62"/>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row>
    <row r="304" spans="1:44" ht="15.75" customHeight="1" x14ac:dyDescent="0.25">
      <c r="A304" s="64"/>
      <c r="B304" s="62"/>
      <c r="C304" s="62"/>
      <c r="D304" s="62"/>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row>
    <row r="305" spans="1:44" ht="15.75" customHeight="1" x14ac:dyDescent="0.25">
      <c r="A305" s="64"/>
      <c r="B305" s="62"/>
      <c r="C305" s="62"/>
      <c r="D305" s="62"/>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row>
    <row r="306" spans="1:44" ht="15.75" customHeight="1" x14ac:dyDescent="0.25">
      <c r="A306" s="64"/>
      <c r="B306" s="62"/>
      <c r="C306" s="62"/>
      <c r="D306" s="62"/>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row>
    <row r="307" spans="1:44" ht="15.75" customHeight="1" x14ac:dyDescent="0.25">
      <c r="A307" s="64"/>
      <c r="B307" s="62"/>
      <c r="C307" s="62"/>
      <c r="D307" s="62"/>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row>
    <row r="308" spans="1:44" ht="15.75" customHeight="1" x14ac:dyDescent="0.25">
      <c r="A308" s="64"/>
      <c r="B308" s="62"/>
      <c r="C308" s="62"/>
      <c r="D308" s="62"/>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row>
    <row r="309" spans="1:44" ht="15.75" customHeight="1" x14ac:dyDescent="0.25">
      <c r="A309" s="64"/>
      <c r="B309" s="62"/>
      <c r="C309" s="62"/>
      <c r="D309" s="62"/>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row>
    <row r="310" spans="1:44" ht="15.75" customHeight="1" x14ac:dyDescent="0.25">
      <c r="A310" s="64"/>
      <c r="B310" s="62"/>
      <c r="C310" s="62"/>
      <c r="D310" s="62"/>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row>
    <row r="311" spans="1:44" ht="15.75" customHeight="1" x14ac:dyDescent="0.25">
      <c r="A311" s="64"/>
      <c r="B311" s="62"/>
      <c r="C311" s="62"/>
      <c r="D311" s="62"/>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row>
    <row r="312" spans="1:44" ht="15.75" customHeight="1" x14ac:dyDescent="0.25">
      <c r="A312" s="64"/>
      <c r="B312" s="62"/>
      <c r="C312" s="62"/>
      <c r="D312" s="62"/>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row>
    <row r="313" spans="1:44" ht="15.75" customHeight="1" x14ac:dyDescent="0.25">
      <c r="A313" s="64"/>
      <c r="B313" s="62"/>
      <c r="C313" s="62"/>
      <c r="D313" s="62"/>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row>
    <row r="314" spans="1:44" ht="15.75" customHeight="1" x14ac:dyDescent="0.25">
      <c r="A314" s="64"/>
      <c r="B314" s="62"/>
      <c r="C314" s="62"/>
      <c r="D314" s="62"/>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row>
    <row r="315" spans="1:44" ht="15.75" customHeight="1" x14ac:dyDescent="0.25">
      <c r="A315" s="64"/>
      <c r="B315" s="62"/>
      <c r="C315" s="62"/>
      <c r="D315" s="62"/>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row>
    <row r="316" spans="1:44" ht="15.75" customHeight="1" x14ac:dyDescent="0.25">
      <c r="A316" s="64"/>
      <c r="B316" s="62"/>
      <c r="C316" s="62"/>
      <c r="D316" s="62"/>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58"/>
      <c r="AH316" s="58"/>
      <c r="AI316" s="58"/>
      <c r="AJ316" s="58"/>
      <c r="AK316" s="58"/>
      <c r="AL316" s="58"/>
      <c r="AM316" s="58"/>
      <c r="AN316" s="58"/>
      <c r="AO316" s="58"/>
      <c r="AP316" s="58"/>
      <c r="AQ316" s="58"/>
      <c r="AR316" s="58"/>
    </row>
    <row r="317" spans="1:44" ht="15.75" customHeight="1" x14ac:dyDescent="0.25">
      <c r="A317" s="64"/>
      <c r="B317" s="62"/>
      <c r="C317" s="62"/>
      <c r="D317" s="62"/>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58"/>
      <c r="AK317" s="58"/>
      <c r="AL317" s="58"/>
      <c r="AM317" s="58"/>
      <c r="AN317" s="58"/>
      <c r="AO317" s="58"/>
      <c r="AP317" s="58"/>
      <c r="AQ317" s="58"/>
      <c r="AR317" s="58"/>
    </row>
    <row r="318" spans="1:44" ht="15.75" customHeight="1" x14ac:dyDescent="0.25">
      <c r="A318" s="64"/>
      <c r="B318" s="62"/>
      <c r="C318" s="62"/>
      <c r="D318" s="62"/>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c r="AG318" s="58"/>
      <c r="AH318" s="58"/>
      <c r="AI318" s="58"/>
      <c r="AJ318" s="58"/>
      <c r="AK318" s="58"/>
      <c r="AL318" s="58"/>
      <c r="AM318" s="58"/>
      <c r="AN318" s="58"/>
      <c r="AO318" s="58"/>
      <c r="AP318" s="58"/>
      <c r="AQ318" s="58"/>
      <c r="AR318" s="58"/>
    </row>
    <row r="319" spans="1:44" ht="15.75" customHeight="1" x14ac:dyDescent="0.25">
      <c r="A319" s="64"/>
      <c r="B319" s="62"/>
      <c r="C319" s="62"/>
      <c r="D319" s="62"/>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c r="AG319" s="58"/>
      <c r="AH319" s="58"/>
      <c r="AI319" s="58"/>
      <c r="AJ319" s="58"/>
      <c r="AK319" s="58"/>
      <c r="AL319" s="58"/>
      <c r="AM319" s="58"/>
      <c r="AN319" s="58"/>
      <c r="AO319" s="58"/>
      <c r="AP319" s="58"/>
      <c r="AQ319" s="58"/>
      <c r="AR319" s="58"/>
    </row>
    <row r="320" spans="1:44" ht="15.75" customHeight="1" x14ac:dyDescent="0.25">
      <c r="A320" s="64"/>
      <c r="B320" s="62"/>
      <c r="C320" s="62"/>
      <c r="D320" s="62"/>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c r="AI320" s="58"/>
      <c r="AJ320" s="58"/>
      <c r="AK320" s="58"/>
      <c r="AL320" s="58"/>
      <c r="AM320" s="58"/>
      <c r="AN320" s="58"/>
      <c r="AO320" s="58"/>
      <c r="AP320" s="58"/>
      <c r="AQ320" s="58"/>
      <c r="AR320" s="58"/>
    </row>
    <row r="321" spans="1:44" ht="15.75" customHeight="1" x14ac:dyDescent="0.25">
      <c r="A321" s="64"/>
      <c r="B321" s="62"/>
      <c r="C321" s="62"/>
      <c r="D321" s="62"/>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c r="AG321" s="58"/>
      <c r="AH321" s="58"/>
      <c r="AI321" s="58"/>
      <c r="AJ321" s="58"/>
      <c r="AK321" s="58"/>
      <c r="AL321" s="58"/>
      <c r="AM321" s="58"/>
      <c r="AN321" s="58"/>
      <c r="AO321" s="58"/>
      <c r="AP321" s="58"/>
      <c r="AQ321" s="58"/>
      <c r="AR321" s="58"/>
    </row>
    <row r="322" spans="1:44" ht="15.75" customHeight="1" x14ac:dyDescent="0.25">
      <c r="A322" s="64"/>
      <c r="B322" s="62"/>
      <c r="C322" s="62"/>
      <c r="D322" s="62"/>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c r="AG322" s="58"/>
      <c r="AH322" s="58"/>
      <c r="AI322" s="58"/>
      <c r="AJ322" s="58"/>
      <c r="AK322" s="58"/>
      <c r="AL322" s="58"/>
      <c r="AM322" s="58"/>
      <c r="AN322" s="58"/>
      <c r="AO322" s="58"/>
      <c r="AP322" s="58"/>
      <c r="AQ322" s="58"/>
      <c r="AR322" s="58"/>
    </row>
    <row r="323" spans="1:44" ht="15.75" customHeight="1" x14ac:dyDescent="0.25">
      <c r="A323" s="64"/>
      <c r="B323" s="62"/>
      <c r="C323" s="62"/>
      <c r="D323" s="62"/>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c r="AG323" s="58"/>
      <c r="AH323" s="58"/>
      <c r="AI323" s="58"/>
      <c r="AJ323" s="58"/>
      <c r="AK323" s="58"/>
      <c r="AL323" s="58"/>
      <c r="AM323" s="58"/>
      <c r="AN323" s="58"/>
      <c r="AO323" s="58"/>
      <c r="AP323" s="58"/>
      <c r="AQ323" s="58"/>
      <c r="AR323" s="58"/>
    </row>
    <row r="324" spans="1:44" ht="15.75" customHeight="1" x14ac:dyDescent="0.25">
      <c r="A324" s="64"/>
      <c r="B324" s="62"/>
      <c r="C324" s="62"/>
      <c r="D324" s="62"/>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c r="AE324" s="58"/>
      <c r="AF324" s="58"/>
      <c r="AG324" s="58"/>
      <c r="AH324" s="58"/>
      <c r="AI324" s="58"/>
      <c r="AJ324" s="58"/>
      <c r="AK324" s="58"/>
      <c r="AL324" s="58"/>
      <c r="AM324" s="58"/>
      <c r="AN324" s="58"/>
      <c r="AO324" s="58"/>
      <c r="AP324" s="58"/>
      <c r="AQ324" s="58"/>
      <c r="AR324" s="58"/>
    </row>
    <row r="325" spans="1:44" ht="15.75" customHeight="1" x14ac:dyDescent="0.25">
      <c r="A325" s="64"/>
      <c r="B325" s="62"/>
      <c r="C325" s="62"/>
      <c r="D325" s="62"/>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c r="AG325" s="58"/>
      <c r="AH325" s="58"/>
      <c r="AI325" s="58"/>
      <c r="AJ325" s="58"/>
      <c r="AK325" s="58"/>
      <c r="AL325" s="58"/>
      <c r="AM325" s="58"/>
      <c r="AN325" s="58"/>
      <c r="AO325" s="58"/>
      <c r="AP325" s="58"/>
      <c r="AQ325" s="58"/>
      <c r="AR325" s="58"/>
    </row>
    <row r="326" spans="1:44" ht="15.75" customHeight="1" x14ac:dyDescent="0.25">
      <c r="A326" s="64"/>
      <c r="B326" s="62"/>
      <c r="C326" s="62"/>
      <c r="D326" s="62"/>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c r="AG326" s="58"/>
      <c r="AH326" s="58"/>
      <c r="AI326" s="58"/>
      <c r="AJ326" s="58"/>
      <c r="AK326" s="58"/>
      <c r="AL326" s="58"/>
      <c r="AM326" s="58"/>
      <c r="AN326" s="58"/>
      <c r="AO326" s="58"/>
      <c r="AP326" s="58"/>
      <c r="AQ326" s="58"/>
      <c r="AR326" s="58"/>
    </row>
    <row r="327" spans="1:44" ht="15.75" customHeight="1" x14ac:dyDescent="0.25">
      <c r="A327" s="64"/>
      <c r="B327" s="62"/>
      <c r="C327" s="62"/>
      <c r="D327" s="62"/>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c r="AG327" s="58"/>
      <c r="AH327" s="58"/>
      <c r="AI327" s="58"/>
      <c r="AJ327" s="58"/>
      <c r="AK327" s="58"/>
      <c r="AL327" s="58"/>
      <c r="AM327" s="58"/>
      <c r="AN327" s="58"/>
      <c r="AO327" s="58"/>
      <c r="AP327" s="58"/>
      <c r="AQ327" s="58"/>
      <c r="AR327" s="58"/>
    </row>
    <row r="328" spans="1:44" ht="15.75" customHeight="1" x14ac:dyDescent="0.25">
      <c r="A328" s="64"/>
      <c r="B328" s="62"/>
      <c r="C328" s="62"/>
      <c r="D328" s="62"/>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8"/>
      <c r="AI328" s="58"/>
      <c r="AJ328" s="58"/>
      <c r="AK328" s="58"/>
      <c r="AL328" s="58"/>
      <c r="AM328" s="58"/>
      <c r="AN328" s="58"/>
      <c r="AO328" s="58"/>
      <c r="AP328" s="58"/>
      <c r="AQ328" s="58"/>
      <c r="AR328" s="58"/>
    </row>
    <row r="329" spans="1:44" ht="15.75" customHeight="1" x14ac:dyDescent="0.25">
      <c r="A329" s="64"/>
      <c r="B329" s="62"/>
      <c r="C329" s="62"/>
      <c r="D329" s="62"/>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c r="AI329" s="58"/>
      <c r="AJ329" s="58"/>
      <c r="AK329" s="58"/>
      <c r="AL329" s="58"/>
      <c r="AM329" s="58"/>
      <c r="AN329" s="58"/>
      <c r="AO329" s="58"/>
      <c r="AP329" s="58"/>
      <c r="AQ329" s="58"/>
      <c r="AR329" s="58"/>
    </row>
    <row r="330" spans="1:44" ht="15.75" customHeight="1" x14ac:dyDescent="0.25">
      <c r="A330" s="64"/>
      <c r="B330" s="62"/>
      <c r="C330" s="62"/>
      <c r="D330" s="62"/>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c r="AG330" s="58"/>
      <c r="AH330" s="58"/>
      <c r="AI330" s="58"/>
      <c r="AJ330" s="58"/>
      <c r="AK330" s="58"/>
      <c r="AL330" s="58"/>
      <c r="AM330" s="58"/>
      <c r="AN330" s="58"/>
      <c r="AO330" s="58"/>
      <c r="AP330" s="58"/>
      <c r="AQ330" s="58"/>
      <c r="AR330" s="58"/>
    </row>
    <row r="331" spans="1:44" ht="15.75" customHeight="1" x14ac:dyDescent="0.25">
      <c r="A331" s="64"/>
      <c r="B331" s="62"/>
      <c r="C331" s="62"/>
      <c r="D331" s="62"/>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c r="AG331" s="58"/>
      <c r="AH331" s="58"/>
      <c r="AI331" s="58"/>
      <c r="AJ331" s="58"/>
      <c r="AK331" s="58"/>
      <c r="AL331" s="58"/>
      <c r="AM331" s="58"/>
      <c r="AN331" s="58"/>
      <c r="AO331" s="58"/>
      <c r="AP331" s="58"/>
      <c r="AQ331" s="58"/>
      <c r="AR331" s="58"/>
    </row>
    <row r="332" spans="1:44" ht="15.75" customHeight="1" x14ac:dyDescent="0.25">
      <c r="A332" s="64"/>
      <c r="B332" s="62"/>
      <c r="C332" s="62"/>
      <c r="D332" s="62"/>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8"/>
      <c r="AI332" s="58"/>
      <c r="AJ332" s="58"/>
      <c r="AK332" s="58"/>
      <c r="AL332" s="58"/>
      <c r="AM332" s="58"/>
      <c r="AN332" s="58"/>
      <c r="AO332" s="58"/>
      <c r="AP332" s="58"/>
      <c r="AQ332" s="58"/>
      <c r="AR332" s="58"/>
    </row>
    <row r="333" spans="1:44" ht="15.75" customHeight="1" x14ac:dyDescent="0.25">
      <c r="A333" s="64"/>
      <c r="B333" s="62"/>
      <c r="C333" s="62"/>
      <c r="D333" s="62"/>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E333" s="58"/>
      <c r="AF333" s="58"/>
      <c r="AG333" s="58"/>
      <c r="AH333" s="58"/>
      <c r="AI333" s="58"/>
      <c r="AJ333" s="58"/>
      <c r="AK333" s="58"/>
      <c r="AL333" s="58"/>
      <c r="AM333" s="58"/>
      <c r="AN333" s="58"/>
      <c r="AO333" s="58"/>
      <c r="AP333" s="58"/>
      <c r="AQ333" s="58"/>
      <c r="AR333" s="58"/>
    </row>
    <row r="334" spans="1:44" ht="15.75" customHeight="1" x14ac:dyDescent="0.25">
      <c r="A334" s="64"/>
      <c r="B334" s="62"/>
      <c r="C334" s="62"/>
      <c r="D334" s="62"/>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E334" s="58"/>
      <c r="AF334" s="58"/>
      <c r="AG334" s="58"/>
      <c r="AH334" s="58"/>
      <c r="AI334" s="58"/>
      <c r="AJ334" s="58"/>
      <c r="AK334" s="58"/>
      <c r="AL334" s="58"/>
      <c r="AM334" s="58"/>
      <c r="AN334" s="58"/>
      <c r="AO334" s="58"/>
      <c r="AP334" s="58"/>
      <c r="AQ334" s="58"/>
      <c r="AR334" s="58"/>
    </row>
    <row r="335" spans="1:44" ht="15.75" customHeight="1" x14ac:dyDescent="0.25">
      <c r="A335" s="64"/>
      <c r="B335" s="62"/>
      <c r="C335" s="62"/>
      <c r="D335" s="62"/>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c r="AJ335" s="58"/>
      <c r="AK335" s="58"/>
      <c r="AL335" s="58"/>
      <c r="AM335" s="58"/>
      <c r="AN335" s="58"/>
      <c r="AO335" s="58"/>
      <c r="AP335" s="58"/>
      <c r="AQ335" s="58"/>
      <c r="AR335" s="58"/>
    </row>
    <row r="336" spans="1:44" ht="15.75" customHeight="1" x14ac:dyDescent="0.25">
      <c r="A336" s="64"/>
      <c r="B336" s="62"/>
      <c r="C336" s="62"/>
      <c r="D336" s="62"/>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E336" s="58"/>
      <c r="AF336" s="58"/>
      <c r="AG336" s="58"/>
      <c r="AH336" s="58"/>
      <c r="AI336" s="58"/>
      <c r="AJ336" s="58"/>
      <c r="AK336" s="58"/>
      <c r="AL336" s="58"/>
      <c r="AM336" s="58"/>
      <c r="AN336" s="58"/>
      <c r="AO336" s="58"/>
      <c r="AP336" s="58"/>
      <c r="AQ336" s="58"/>
      <c r="AR336" s="58"/>
    </row>
    <row r="337" spans="1:44" ht="15.75" customHeight="1" x14ac:dyDescent="0.25">
      <c r="A337" s="64"/>
      <c r="B337" s="62"/>
      <c r="C337" s="62"/>
      <c r="D337" s="62"/>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E337" s="58"/>
      <c r="AF337" s="58"/>
      <c r="AG337" s="58"/>
      <c r="AH337" s="58"/>
      <c r="AI337" s="58"/>
      <c r="AJ337" s="58"/>
      <c r="AK337" s="58"/>
      <c r="AL337" s="58"/>
      <c r="AM337" s="58"/>
      <c r="AN337" s="58"/>
      <c r="AO337" s="58"/>
      <c r="AP337" s="58"/>
      <c r="AQ337" s="58"/>
      <c r="AR337" s="58"/>
    </row>
    <row r="338" spans="1:44" ht="15.75" customHeight="1" x14ac:dyDescent="0.25">
      <c r="A338" s="64"/>
      <c r="B338" s="62"/>
      <c r="C338" s="62"/>
      <c r="D338" s="62"/>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E338" s="58"/>
      <c r="AF338" s="58"/>
      <c r="AG338" s="58"/>
      <c r="AH338" s="58"/>
      <c r="AI338" s="58"/>
      <c r="AJ338" s="58"/>
      <c r="AK338" s="58"/>
      <c r="AL338" s="58"/>
      <c r="AM338" s="58"/>
      <c r="AN338" s="58"/>
      <c r="AO338" s="58"/>
      <c r="AP338" s="58"/>
      <c r="AQ338" s="58"/>
      <c r="AR338" s="58"/>
    </row>
    <row r="339" spans="1:44" ht="15.75" customHeight="1" x14ac:dyDescent="0.25">
      <c r="A339" s="64"/>
      <c r="B339" s="62"/>
      <c r="C339" s="62"/>
      <c r="D339" s="62"/>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E339" s="58"/>
      <c r="AF339" s="58"/>
      <c r="AG339" s="58"/>
      <c r="AH339" s="58"/>
      <c r="AI339" s="58"/>
      <c r="AJ339" s="58"/>
      <c r="AK339" s="58"/>
      <c r="AL339" s="58"/>
      <c r="AM339" s="58"/>
      <c r="AN339" s="58"/>
      <c r="AO339" s="58"/>
      <c r="AP339" s="58"/>
      <c r="AQ339" s="58"/>
      <c r="AR339" s="58"/>
    </row>
    <row r="340" spans="1:44" ht="15.75" customHeight="1" x14ac:dyDescent="0.25">
      <c r="A340" s="64"/>
      <c r="B340" s="62"/>
      <c r="C340" s="62"/>
      <c r="D340" s="62"/>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c r="AG340" s="58"/>
      <c r="AH340" s="58"/>
      <c r="AI340" s="58"/>
      <c r="AJ340" s="58"/>
      <c r="AK340" s="58"/>
      <c r="AL340" s="58"/>
      <c r="AM340" s="58"/>
      <c r="AN340" s="58"/>
      <c r="AO340" s="58"/>
      <c r="AP340" s="58"/>
      <c r="AQ340" s="58"/>
      <c r="AR340" s="58"/>
    </row>
    <row r="341" spans="1:44" ht="15.75" customHeight="1" x14ac:dyDescent="0.25">
      <c r="A341" s="64"/>
      <c r="B341" s="62"/>
      <c r="C341" s="62"/>
      <c r="D341" s="62"/>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c r="AG341" s="58"/>
      <c r="AH341" s="58"/>
      <c r="AI341" s="58"/>
      <c r="AJ341" s="58"/>
      <c r="AK341" s="58"/>
      <c r="AL341" s="58"/>
      <c r="AM341" s="58"/>
      <c r="AN341" s="58"/>
      <c r="AO341" s="58"/>
      <c r="AP341" s="58"/>
      <c r="AQ341" s="58"/>
      <c r="AR341" s="58"/>
    </row>
    <row r="342" spans="1:44" ht="15.75" customHeight="1" x14ac:dyDescent="0.25">
      <c r="A342" s="64"/>
      <c r="B342" s="62"/>
      <c r="C342" s="62"/>
      <c r="D342" s="62"/>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c r="AG342" s="58"/>
      <c r="AH342" s="58"/>
      <c r="AI342" s="58"/>
      <c r="AJ342" s="58"/>
      <c r="AK342" s="58"/>
      <c r="AL342" s="58"/>
      <c r="AM342" s="58"/>
      <c r="AN342" s="58"/>
      <c r="AO342" s="58"/>
      <c r="AP342" s="58"/>
      <c r="AQ342" s="58"/>
      <c r="AR342" s="58"/>
    </row>
    <row r="343" spans="1:44" ht="15.75" customHeight="1" x14ac:dyDescent="0.25">
      <c r="A343" s="64"/>
      <c r="B343" s="62"/>
      <c r="C343" s="62"/>
      <c r="D343" s="62"/>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c r="AG343" s="58"/>
      <c r="AH343" s="58"/>
      <c r="AI343" s="58"/>
      <c r="AJ343" s="58"/>
      <c r="AK343" s="58"/>
      <c r="AL343" s="58"/>
      <c r="AM343" s="58"/>
      <c r="AN343" s="58"/>
      <c r="AO343" s="58"/>
      <c r="AP343" s="58"/>
      <c r="AQ343" s="58"/>
      <c r="AR343" s="58"/>
    </row>
    <row r="344" spans="1:44" ht="15.75" customHeight="1" x14ac:dyDescent="0.25">
      <c r="A344" s="64"/>
      <c r="B344" s="62"/>
      <c r="C344" s="62"/>
      <c r="D344" s="62"/>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c r="AJ344" s="58"/>
      <c r="AK344" s="58"/>
      <c r="AL344" s="58"/>
      <c r="AM344" s="58"/>
      <c r="AN344" s="58"/>
      <c r="AO344" s="58"/>
      <c r="AP344" s="58"/>
      <c r="AQ344" s="58"/>
      <c r="AR344" s="58"/>
    </row>
    <row r="345" spans="1:44" ht="15.75" customHeight="1" x14ac:dyDescent="0.25">
      <c r="A345" s="64"/>
      <c r="B345" s="62"/>
      <c r="C345" s="62"/>
      <c r="D345" s="62"/>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c r="AH345" s="58"/>
      <c r="AI345" s="58"/>
      <c r="AJ345" s="58"/>
      <c r="AK345" s="58"/>
      <c r="AL345" s="58"/>
      <c r="AM345" s="58"/>
      <c r="AN345" s="58"/>
      <c r="AO345" s="58"/>
      <c r="AP345" s="58"/>
      <c r="AQ345" s="58"/>
      <c r="AR345" s="58"/>
    </row>
    <row r="346" spans="1:44" ht="15.75" customHeight="1" x14ac:dyDescent="0.25">
      <c r="A346" s="64"/>
      <c r="B346" s="62"/>
      <c r="C346" s="62"/>
      <c r="D346" s="62"/>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c r="AI346" s="58"/>
      <c r="AJ346" s="58"/>
      <c r="AK346" s="58"/>
      <c r="AL346" s="58"/>
      <c r="AM346" s="58"/>
      <c r="AN346" s="58"/>
      <c r="AO346" s="58"/>
      <c r="AP346" s="58"/>
      <c r="AQ346" s="58"/>
      <c r="AR346" s="58"/>
    </row>
    <row r="347" spans="1:44" ht="15.75" customHeight="1" x14ac:dyDescent="0.25">
      <c r="A347" s="64"/>
      <c r="B347" s="62"/>
      <c r="C347" s="62"/>
      <c r="D347" s="62"/>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c r="AJ347" s="58"/>
      <c r="AK347" s="58"/>
      <c r="AL347" s="58"/>
      <c r="AM347" s="58"/>
      <c r="AN347" s="58"/>
      <c r="AO347" s="58"/>
      <c r="AP347" s="58"/>
      <c r="AQ347" s="58"/>
      <c r="AR347" s="58"/>
    </row>
    <row r="348" spans="1:44" ht="15.75" customHeight="1" x14ac:dyDescent="0.25">
      <c r="A348" s="64"/>
      <c r="B348" s="62"/>
      <c r="C348" s="62"/>
      <c r="D348" s="62"/>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c r="AI348" s="58"/>
      <c r="AJ348" s="58"/>
      <c r="AK348" s="58"/>
      <c r="AL348" s="58"/>
      <c r="AM348" s="58"/>
      <c r="AN348" s="58"/>
      <c r="AO348" s="58"/>
      <c r="AP348" s="58"/>
      <c r="AQ348" s="58"/>
      <c r="AR348" s="58"/>
    </row>
    <row r="349" spans="1:44" ht="15.75" customHeight="1" x14ac:dyDescent="0.25">
      <c r="A349" s="64"/>
      <c r="B349" s="62"/>
      <c r="C349" s="62"/>
      <c r="D349" s="62"/>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c r="AJ349" s="58"/>
      <c r="AK349" s="58"/>
      <c r="AL349" s="58"/>
      <c r="AM349" s="58"/>
      <c r="AN349" s="58"/>
      <c r="AO349" s="58"/>
      <c r="AP349" s="58"/>
      <c r="AQ349" s="58"/>
      <c r="AR349" s="58"/>
    </row>
    <row r="350" spans="1:44" ht="15.75" customHeight="1" x14ac:dyDescent="0.25">
      <c r="A350" s="64"/>
      <c r="B350" s="62"/>
      <c r="C350" s="62"/>
      <c r="D350" s="62"/>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c r="AJ350" s="58"/>
      <c r="AK350" s="58"/>
      <c r="AL350" s="58"/>
      <c r="AM350" s="58"/>
      <c r="AN350" s="58"/>
      <c r="AO350" s="58"/>
      <c r="AP350" s="58"/>
      <c r="AQ350" s="58"/>
      <c r="AR350" s="58"/>
    </row>
    <row r="351" spans="1:44" ht="15.75" customHeight="1" x14ac:dyDescent="0.25">
      <c r="A351" s="64"/>
      <c r="B351" s="62"/>
      <c r="C351" s="62"/>
      <c r="D351" s="62"/>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c r="AJ351" s="58"/>
      <c r="AK351" s="58"/>
      <c r="AL351" s="58"/>
      <c r="AM351" s="58"/>
      <c r="AN351" s="58"/>
      <c r="AO351" s="58"/>
      <c r="AP351" s="58"/>
      <c r="AQ351" s="58"/>
      <c r="AR351" s="58"/>
    </row>
    <row r="352" spans="1:44" ht="15.75" customHeight="1" x14ac:dyDescent="0.25">
      <c r="A352" s="64"/>
      <c r="B352" s="62"/>
      <c r="C352" s="62"/>
      <c r="D352" s="62"/>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c r="AJ352" s="58"/>
      <c r="AK352" s="58"/>
      <c r="AL352" s="58"/>
      <c r="AM352" s="58"/>
      <c r="AN352" s="58"/>
      <c r="AO352" s="58"/>
      <c r="AP352" s="58"/>
      <c r="AQ352" s="58"/>
      <c r="AR352" s="58"/>
    </row>
    <row r="353" spans="1:44" ht="15.75" customHeight="1" x14ac:dyDescent="0.25">
      <c r="A353" s="64"/>
      <c r="B353" s="62"/>
      <c r="C353" s="62"/>
      <c r="D353" s="62"/>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c r="AJ353" s="58"/>
      <c r="AK353" s="58"/>
      <c r="AL353" s="58"/>
      <c r="AM353" s="58"/>
      <c r="AN353" s="58"/>
      <c r="AO353" s="58"/>
      <c r="AP353" s="58"/>
      <c r="AQ353" s="58"/>
      <c r="AR353" s="58"/>
    </row>
    <row r="354" spans="1:44" ht="15.75" customHeight="1" x14ac:dyDescent="0.25">
      <c r="A354" s="64"/>
      <c r="B354" s="62"/>
      <c r="C354" s="62"/>
      <c r="D354" s="62"/>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8"/>
      <c r="AI354" s="58"/>
      <c r="AJ354" s="58"/>
      <c r="AK354" s="58"/>
      <c r="AL354" s="58"/>
      <c r="AM354" s="58"/>
      <c r="AN354" s="58"/>
      <c r="AO354" s="58"/>
      <c r="AP354" s="58"/>
      <c r="AQ354" s="58"/>
      <c r="AR354" s="58"/>
    </row>
    <row r="355" spans="1:44" ht="15.75" customHeight="1" x14ac:dyDescent="0.25">
      <c r="A355" s="64"/>
      <c r="B355" s="62"/>
      <c r="C355" s="62"/>
      <c r="D355" s="62"/>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c r="AG355" s="58"/>
      <c r="AH355" s="58"/>
      <c r="AI355" s="58"/>
      <c r="AJ355" s="58"/>
      <c r="AK355" s="58"/>
      <c r="AL355" s="58"/>
      <c r="AM355" s="58"/>
      <c r="AN355" s="58"/>
      <c r="AO355" s="58"/>
      <c r="AP355" s="58"/>
      <c r="AQ355" s="58"/>
      <c r="AR355" s="58"/>
    </row>
    <row r="356" spans="1:44" ht="15.75" customHeight="1" x14ac:dyDescent="0.25">
      <c r="A356" s="64"/>
      <c r="B356" s="62"/>
      <c r="C356" s="62"/>
      <c r="D356" s="62"/>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c r="AJ356" s="58"/>
      <c r="AK356" s="58"/>
      <c r="AL356" s="58"/>
      <c r="AM356" s="58"/>
      <c r="AN356" s="58"/>
      <c r="AO356" s="58"/>
      <c r="AP356" s="58"/>
      <c r="AQ356" s="58"/>
      <c r="AR356" s="58"/>
    </row>
    <row r="357" spans="1:44" ht="15.75" customHeight="1" x14ac:dyDescent="0.25">
      <c r="A357" s="64"/>
      <c r="B357" s="62"/>
      <c r="C357" s="62"/>
      <c r="D357" s="62"/>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c r="AJ357" s="58"/>
      <c r="AK357" s="58"/>
      <c r="AL357" s="58"/>
      <c r="AM357" s="58"/>
      <c r="AN357" s="58"/>
      <c r="AO357" s="58"/>
      <c r="AP357" s="58"/>
      <c r="AQ357" s="58"/>
      <c r="AR357" s="58"/>
    </row>
    <row r="358" spans="1:44" ht="15.75" customHeight="1" x14ac:dyDescent="0.25">
      <c r="A358" s="64"/>
      <c r="B358" s="62"/>
      <c r="C358" s="62"/>
      <c r="D358" s="62"/>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c r="AJ358" s="58"/>
      <c r="AK358" s="58"/>
      <c r="AL358" s="58"/>
      <c r="AM358" s="58"/>
      <c r="AN358" s="58"/>
      <c r="AO358" s="58"/>
      <c r="AP358" s="58"/>
      <c r="AQ358" s="58"/>
      <c r="AR358" s="58"/>
    </row>
    <row r="359" spans="1:44" ht="15.75" customHeight="1" x14ac:dyDescent="0.25">
      <c r="A359" s="64"/>
      <c r="B359" s="62"/>
      <c r="C359" s="62"/>
      <c r="D359" s="62"/>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c r="AJ359" s="58"/>
      <c r="AK359" s="58"/>
      <c r="AL359" s="58"/>
      <c r="AM359" s="58"/>
      <c r="AN359" s="58"/>
      <c r="AO359" s="58"/>
      <c r="AP359" s="58"/>
      <c r="AQ359" s="58"/>
      <c r="AR359" s="58"/>
    </row>
    <row r="360" spans="1:44" ht="15.75" customHeight="1" x14ac:dyDescent="0.25">
      <c r="A360" s="64"/>
      <c r="B360" s="62"/>
      <c r="C360" s="62"/>
      <c r="D360" s="62"/>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c r="AI360" s="58"/>
      <c r="AJ360" s="58"/>
      <c r="AK360" s="58"/>
      <c r="AL360" s="58"/>
      <c r="AM360" s="58"/>
      <c r="AN360" s="58"/>
      <c r="AO360" s="58"/>
      <c r="AP360" s="58"/>
      <c r="AQ360" s="58"/>
      <c r="AR360" s="58"/>
    </row>
    <row r="361" spans="1:44" ht="15.75" customHeight="1" x14ac:dyDescent="0.25">
      <c r="A361" s="64"/>
      <c r="B361" s="62"/>
      <c r="C361" s="62"/>
      <c r="D361" s="62"/>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c r="AI361" s="58"/>
      <c r="AJ361" s="58"/>
      <c r="AK361" s="58"/>
      <c r="AL361" s="58"/>
      <c r="AM361" s="58"/>
      <c r="AN361" s="58"/>
      <c r="AO361" s="58"/>
      <c r="AP361" s="58"/>
      <c r="AQ361" s="58"/>
      <c r="AR361" s="58"/>
    </row>
    <row r="362" spans="1:44" ht="15.75" customHeight="1" x14ac:dyDescent="0.25">
      <c r="A362" s="64"/>
      <c r="B362" s="62"/>
      <c r="C362" s="62"/>
      <c r="D362" s="62"/>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c r="AJ362" s="58"/>
      <c r="AK362" s="58"/>
      <c r="AL362" s="58"/>
      <c r="AM362" s="58"/>
      <c r="AN362" s="58"/>
      <c r="AO362" s="58"/>
      <c r="AP362" s="58"/>
      <c r="AQ362" s="58"/>
      <c r="AR362" s="58"/>
    </row>
    <row r="363" spans="1:44" ht="15.75" customHeight="1" x14ac:dyDescent="0.25">
      <c r="A363" s="64"/>
      <c r="B363" s="62"/>
      <c r="C363" s="62"/>
      <c r="D363" s="62"/>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c r="AJ363" s="58"/>
      <c r="AK363" s="58"/>
      <c r="AL363" s="58"/>
      <c r="AM363" s="58"/>
      <c r="AN363" s="58"/>
      <c r="AO363" s="58"/>
      <c r="AP363" s="58"/>
      <c r="AQ363" s="58"/>
      <c r="AR363" s="58"/>
    </row>
    <row r="364" spans="1:44" ht="15.75" customHeight="1" x14ac:dyDescent="0.25">
      <c r="A364" s="64"/>
      <c r="B364" s="62"/>
      <c r="C364" s="62"/>
      <c r="D364" s="62"/>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c r="AG364" s="58"/>
      <c r="AH364" s="58"/>
      <c r="AI364" s="58"/>
      <c r="AJ364" s="58"/>
      <c r="AK364" s="58"/>
      <c r="AL364" s="58"/>
      <c r="AM364" s="58"/>
      <c r="AN364" s="58"/>
      <c r="AO364" s="58"/>
      <c r="AP364" s="58"/>
      <c r="AQ364" s="58"/>
      <c r="AR364" s="58"/>
    </row>
    <row r="365" spans="1:44" ht="15.75" customHeight="1" x14ac:dyDescent="0.25">
      <c r="A365" s="64"/>
      <c r="B365" s="62"/>
      <c r="C365" s="62"/>
      <c r="D365" s="62"/>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8"/>
      <c r="AI365" s="58"/>
      <c r="AJ365" s="58"/>
      <c r="AK365" s="58"/>
      <c r="AL365" s="58"/>
      <c r="AM365" s="58"/>
      <c r="AN365" s="58"/>
      <c r="AO365" s="58"/>
      <c r="AP365" s="58"/>
      <c r="AQ365" s="58"/>
      <c r="AR365" s="58"/>
    </row>
    <row r="366" spans="1:44" ht="15.75" customHeight="1" x14ac:dyDescent="0.25">
      <c r="A366" s="64"/>
      <c r="B366" s="62"/>
      <c r="C366" s="62"/>
      <c r="D366" s="62"/>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c r="AI366" s="58"/>
      <c r="AJ366" s="58"/>
      <c r="AK366" s="58"/>
      <c r="AL366" s="58"/>
      <c r="AM366" s="58"/>
      <c r="AN366" s="58"/>
      <c r="AO366" s="58"/>
      <c r="AP366" s="58"/>
      <c r="AQ366" s="58"/>
      <c r="AR366" s="58"/>
    </row>
    <row r="367" spans="1:44" ht="15.75" customHeight="1" x14ac:dyDescent="0.25">
      <c r="A367" s="64"/>
      <c r="B367" s="62"/>
      <c r="C367" s="62"/>
      <c r="D367" s="62"/>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c r="AP367" s="58"/>
      <c r="AQ367" s="58"/>
      <c r="AR367" s="58"/>
    </row>
    <row r="368" spans="1:44" ht="15.75" customHeight="1" x14ac:dyDescent="0.25">
      <c r="A368" s="64"/>
      <c r="B368" s="62"/>
      <c r="C368" s="62"/>
      <c r="D368" s="62"/>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c r="AJ368" s="58"/>
      <c r="AK368" s="58"/>
      <c r="AL368" s="58"/>
      <c r="AM368" s="58"/>
      <c r="AN368" s="58"/>
      <c r="AO368" s="58"/>
      <c r="AP368" s="58"/>
      <c r="AQ368" s="58"/>
      <c r="AR368" s="58"/>
    </row>
    <row r="369" spans="1:44" ht="15.75" customHeight="1" x14ac:dyDescent="0.25">
      <c r="A369" s="64"/>
      <c r="B369" s="62"/>
      <c r="C369" s="62"/>
      <c r="D369" s="62"/>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8"/>
      <c r="AI369" s="58"/>
      <c r="AJ369" s="58"/>
      <c r="AK369" s="58"/>
      <c r="AL369" s="58"/>
      <c r="AM369" s="58"/>
      <c r="AN369" s="58"/>
      <c r="AO369" s="58"/>
      <c r="AP369" s="58"/>
      <c r="AQ369" s="58"/>
      <c r="AR369" s="58"/>
    </row>
    <row r="370" spans="1:44" ht="15.75" customHeight="1" x14ac:dyDescent="0.25">
      <c r="A370" s="64"/>
      <c r="B370" s="62"/>
      <c r="C370" s="62"/>
      <c r="D370" s="62"/>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c r="AG370" s="58"/>
      <c r="AH370" s="58"/>
      <c r="AI370" s="58"/>
      <c r="AJ370" s="58"/>
      <c r="AK370" s="58"/>
      <c r="AL370" s="58"/>
      <c r="AM370" s="58"/>
      <c r="AN370" s="58"/>
      <c r="AO370" s="58"/>
      <c r="AP370" s="58"/>
      <c r="AQ370" s="58"/>
      <c r="AR370" s="58"/>
    </row>
    <row r="371" spans="1:44" ht="15.75" customHeight="1" x14ac:dyDescent="0.25">
      <c r="A371" s="64"/>
      <c r="B371" s="62"/>
      <c r="C371" s="62"/>
      <c r="D371" s="62"/>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c r="AI371" s="58"/>
      <c r="AJ371" s="58"/>
      <c r="AK371" s="58"/>
      <c r="AL371" s="58"/>
      <c r="AM371" s="58"/>
      <c r="AN371" s="58"/>
      <c r="AO371" s="58"/>
      <c r="AP371" s="58"/>
      <c r="AQ371" s="58"/>
      <c r="AR371" s="58"/>
    </row>
    <row r="372" spans="1:44" ht="15.75" customHeight="1" x14ac:dyDescent="0.25">
      <c r="A372" s="64"/>
      <c r="B372" s="62"/>
      <c r="C372" s="62"/>
      <c r="D372" s="62"/>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c r="AG372" s="58"/>
      <c r="AH372" s="58"/>
      <c r="AI372" s="58"/>
      <c r="AJ372" s="58"/>
      <c r="AK372" s="58"/>
      <c r="AL372" s="58"/>
      <c r="AM372" s="58"/>
      <c r="AN372" s="58"/>
      <c r="AO372" s="58"/>
      <c r="AP372" s="58"/>
      <c r="AQ372" s="58"/>
      <c r="AR372" s="58"/>
    </row>
    <row r="373" spans="1:44" ht="15.75" customHeight="1" x14ac:dyDescent="0.25">
      <c r="A373" s="64"/>
      <c r="B373" s="62"/>
      <c r="C373" s="62"/>
      <c r="D373" s="62"/>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c r="AG373" s="58"/>
      <c r="AH373" s="58"/>
      <c r="AI373" s="58"/>
      <c r="AJ373" s="58"/>
      <c r="AK373" s="58"/>
      <c r="AL373" s="58"/>
      <c r="AM373" s="58"/>
      <c r="AN373" s="58"/>
      <c r="AO373" s="58"/>
      <c r="AP373" s="58"/>
      <c r="AQ373" s="58"/>
      <c r="AR373" s="58"/>
    </row>
    <row r="374" spans="1:44" ht="15.75" customHeight="1" x14ac:dyDescent="0.25">
      <c r="A374" s="64"/>
      <c r="B374" s="62"/>
      <c r="C374" s="62"/>
      <c r="D374" s="62"/>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58"/>
      <c r="AK374" s="58"/>
      <c r="AL374" s="58"/>
      <c r="AM374" s="58"/>
      <c r="AN374" s="58"/>
      <c r="AO374" s="58"/>
      <c r="AP374" s="58"/>
      <c r="AQ374" s="58"/>
      <c r="AR374" s="58"/>
    </row>
    <row r="375" spans="1:44" ht="15.75" customHeight="1" x14ac:dyDescent="0.25">
      <c r="A375" s="64"/>
      <c r="B375" s="62"/>
      <c r="C375" s="62"/>
      <c r="D375" s="62"/>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c r="AP375" s="58"/>
      <c r="AQ375" s="58"/>
      <c r="AR375" s="58"/>
    </row>
    <row r="376" spans="1:44" ht="15.75" customHeight="1" x14ac:dyDescent="0.25">
      <c r="A376" s="64"/>
      <c r="B376" s="62"/>
      <c r="C376" s="62"/>
      <c r="D376" s="62"/>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c r="AI376" s="58"/>
      <c r="AJ376" s="58"/>
      <c r="AK376" s="58"/>
      <c r="AL376" s="58"/>
      <c r="AM376" s="58"/>
      <c r="AN376" s="58"/>
      <c r="AO376" s="58"/>
      <c r="AP376" s="58"/>
      <c r="AQ376" s="58"/>
      <c r="AR376" s="58"/>
    </row>
    <row r="377" spans="1:44" ht="15.75" customHeight="1" x14ac:dyDescent="0.25">
      <c r="A377" s="64"/>
      <c r="B377" s="62"/>
      <c r="C377" s="62"/>
      <c r="D377" s="62"/>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58"/>
      <c r="AK377" s="58"/>
      <c r="AL377" s="58"/>
      <c r="AM377" s="58"/>
      <c r="AN377" s="58"/>
      <c r="AO377" s="58"/>
      <c r="AP377" s="58"/>
      <c r="AQ377" s="58"/>
      <c r="AR377" s="58"/>
    </row>
    <row r="378" spans="1:44" ht="15.75" customHeight="1" x14ac:dyDescent="0.25">
      <c r="A378" s="64"/>
      <c r="B378" s="62"/>
      <c r="C378" s="62"/>
      <c r="D378" s="62"/>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c r="AP378" s="58"/>
      <c r="AQ378" s="58"/>
      <c r="AR378" s="58"/>
    </row>
    <row r="379" spans="1:44" ht="15.75" customHeight="1" x14ac:dyDescent="0.25">
      <c r="A379" s="64"/>
      <c r="B379" s="62"/>
      <c r="C379" s="62"/>
      <c r="D379" s="62"/>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c r="AP379" s="58"/>
      <c r="AQ379" s="58"/>
      <c r="AR379" s="58"/>
    </row>
    <row r="380" spans="1:44" ht="15.75" customHeight="1" x14ac:dyDescent="0.25">
      <c r="A380" s="64"/>
      <c r="B380" s="62"/>
      <c r="C380" s="62"/>
      <c r="D380" s="62"/>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c r="AP380" s="58"/>
      <c r="AQ380" s="58"/>
      <c r="AR380" s="58"/>
    </row>
    <row r="381" spans="1:44" ht="15.75" customHeight="1" x14ac:dyDescent="0.25">
      <c r="A381" s="64"/>
      <c r="B381" s="62"/>
      <c r="C381" s="62"/>
      <c r="D381" s="62"/>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c r="AP381" s="58"/>
      <c r="AQ381" s="58"/>
      <c r="AR381" s="58"/>
    </row>
    <row r="382" spans="1:44" ht="15.75" customHeight="1" x14ac:dyDescent="0.25">
      <c r="A382" s="64"/>
      <c r="B382" s="62"/>
      <c r="C382" s="62"/>
      <c r="D382" s="62"/>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c r="AO382" s="58"/>
      <c r="AP382" s="58"/>
      <c r="AQ382" s="58"/>
      <c r="AR382" s="58"/>
    </row>
    <row r="383" spans="1:44" ht="15.75" customHeight="1" x14ac:dyDescent="0.25">
      <c r="A383" s="64"/>
      <c r="B383" s="62"/>
      <c r="C383" s="62"/>
      <c r="D383" s="62"/>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58"/>
      <c r="AK383" s="58"/>
      <c r="AL383" s="58"/>
      <c r="AM383" s="58"/>
      <c r="AN383" s="58"/>
      <c r="AO383" s="58"/>
      <c r="AP383" s="58"/>
      <c r="AQ383" s="58"/>
      <c r="AR383" s="58"/>
    </row>
    <row r="384" spans="1:44" ht="15.75" customHeight="1" x14ac:dyDescent="0.25">
      <c r="A384" s="64"/>
      <c r="B384" s="62"/>
      <c r="C384" s="62"/>
      <c r="D384" s="62"/>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c r="AG384" s="58"/>
      <c r="AH384" s="58"/>
      <c r="AI384" s="58"/>
      <c r="AJ384" s="58"/>
      <c r="AK384" s="58"/>
      <c r="AL384" s="58"/>
      <c r="AM384" s="58"/>
      <c r="AN384" s="58"/>
      <c r="AO384" s="58"/>
      <c r="AP384" s="58"/>
      <c r="AQ384" s="58"/>
      <c r="AR384" s="58"/>
    </row>
    <row r="385" spans="1:44" ht="15.75" customHeight="1" x14ac:dyDescent="0.25">
      <c r="A385" s="64"/>
      <c r="B385" s="62"/>
      <c r="C385" s="62"/>
      <c r="D385" s="62"/>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c r="AG385" s="58"/>
      <c r="AH385" s="58"/>
      <c r="AI385" s="58"/>
      <c r="AJ385" s="58"/>
      <c r="AK385" s="58"/>
      <c r="AL385" s="58"/>
      <c r="AM385" s="58"/>
      <c r="AN385" s="58"/>
      <c r="AO385" s="58"/>
      <c r="AP385" s="58"/>
      <c r="AQ385" s="58"/>
      <c r="AR385" s="58"/>
    </row>
    <row r="386" spans="1:44" ht="15.75" customHeight="1" x14ac:dyDescent="0.25">
      <c r="A386" s="64"/>
      <c r="B386" s="62"/>
      <c r="C386" s="62"/>
      <c r="D386" s="62"/>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c r="AI386" s="58"/>
      <c r="AJ386" s="58"/>
      <c r="AK386" s="58"/>
      <c r="AL386" s="58"/>
      <c r="AM386" s="58"/>
      <c r="AN386" s="58"/>
      <c r="AO386" s="58"/>
      <c r="AP386" s="58"/>
      <c r="AQ386" s="58"/>
      <c r="AR386" s="58"/>
    </row>
    <row r="387" spans="1:44" ht="15.75" customHeight="1" x14ac:dyDescent="0.25">
      <c r="A387" s="64"/>
      <c r="B387" s="62"/>
      <c r="C387" s="62"/>
      <c r="D387" s="62"/>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c r="AG387" s="58"/>
      <c r="AH387" s="58"/>
      <c r="AI387" s="58"/>
      <c r="AJ387" s="58"/>
      <c r="AK387" s="58"/>
      <c r="AL387" s="58"/>
      <c r="AM387" s="58"/>
      <c r="AN387" s="58"/>
      <c r="AO387" s="58"/>
      <c r="AP387" s="58"/>
      <c r="AQ387" s="58"/>
      <c r="AR387" s="58"/>
    </row>
    <row r="388" spans="1:44" ht="15.75" customHeight="1" x14ac:dyDescent="0.25">
      <c r="A388" s="64"/>
      <c r="B388" s="62"/>
      <c r="C388" s="62"/>
      <c r="D388" s="62"/>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c r="AG388" s="58"/>
      <c r="AH388" s="58"/>
      <c r="AI388" s="58"/>
      <c r="AJ388" s="58"/>
      <c r="AK388" s="58"/>
      <c r="AL388" s="58"/>
      <c r="AM388" s="58"/>
      <c r="AN388" s="58"/>
      <c r="AO388" s="58"/>
      <c r="AP388" s="58"/>
      <c r="AQ388" s="58"/>
      <c r="AR388" s="58"/>
    </row>
    <row r="389" spans="1:44" ht="15.75" customHeight="1" x14ac:dyDescent="0.25">
      <c r="A389" s="64"/>
      <c r="B389" s="62"/>
      <c r="C389" s="62"/>
      <c r="D389" s="62"/>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c r="AI389" s="58"/>
      <c r="AJ389" s="58"/>
      <c r="AK389" s="58"/>
      <c r="AL389" s="58"/>
      <c r="AM389" s="58"/>
      <c r="AN389" s="58"/>
      <c r="AO389" s="58"/>
      <c r="AP389" s="58"/>
      <c r="AQ389" s="58"/>
      <c r="AR389" s="58"/>
    </row>
    <row r="390" spans="1:44" ht="15.75" customHeight="1" x14ac:dyDescent="0.25">
      <c r="A390" s="64"/>
      <c r="B390" s="62"/>
      <c r="C390" s="62"/>
      <c r="D390" s="62"/>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c r="AG390" s="58"/>
      <c r="AH390" s="58"/>
      <c r="AI390" s="58"/>
      <c r="AJ390" s="58"/>
      <c r="AK390" s="58"/>
      <c r="AL390" s="58"/>
      <c r="AM390" s="58"/>
      <c r="AN390" s="58"/>
      <c r="AO390" s="58"/>
      <c r="AP390" s="58"/>
      <c r="AQ390" s="58"/>
      <c r="AR390" s="58"/>
    </row>
    <row r="391" spans="1:44" ht="15.75" customHeight="1" x14ac:dyDescent="0.25">
      <c r="A391" s="64"/>
      <c r="B391" s="62"/>
      <c r="C391" s="62"/>
      <c r="D391" s="62"/>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c r="AG391" s="58"/>
      <c r="AH391" s="58"/>
      <c r="AI391" s="58"/>
      <c r="AJ391" s="58"/>
      <c r="AK391" s="58"/>
      <c r="AL391" s="58"/>
      <c r="AM391" s="58"/>
      <c r="AN391" s="58"/>
      <c r="AO391" s="58"/>
      <c r="AP391" s="58"/>
      <c r="AQ391" s="58"/>
      <c r="AR391" s="58"/>
    </row>
    <row r="392" spans="1:44" ht="15.75" customHeight="1" x14ac:dyDescent="0.25">
      <c r="A392" s="64"/>
      <c r="B392" s="62"/>
      <c r="C392" s="62"/>
      <c r="D392" s="62"/>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c r="AR392" s="58"/>
    </row>
    <row r="393" spans="1:44" ht="15.75" customHeight="1" x14ac:dyDescent="0.25">
      <c r="A393" s="64"/>
      <c r="B393" s="62"/>
      <c r="C393" s="62"/>
      <c r="D393" s="62"/>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c r="AR393" s="58"/>
    </row>
    <row r="394" spans="1:44" ht="15.75" customHeight="1" x14ac:dyDescent="0.25">
      <c r="A394" s="64"/>
      <c r="B394" s="62"/>
      <c r="C394" s="62"/>
      <c r="D394" s="62"/>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row>
    <row r="395" spans="1:44" ht="15.75" customHeight="1" x14ac:dyDescent="0.25">
      <c r="A395" s="64"/>
      <c r="B395" s="62"/>
      <c r="C395" s="62"/>
      <c r="D395" s="62"/>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row>
    <row r="396" spans="1:44" ht="15.75" customHeight="1" x14ac:dyDescent="0.25">
      <c r="A396" s="64"/>
      <c r="B396" s="62"/>
      <c r="C396" s="62"/>
      <c r="D396" s="62"/>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row>
    <row r="397" spans="1:44" ht="15.75" customHeight="1" x14ac:dyDescent="0.25">
      <c r="A397" s="64"/>
      <c r="B397" s="62"/>
      <c r="C397" s="62"/>
      <c r="D397" s="62"/>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row>
    <row r="398" spans="1:44" ht="15.75" customHeight="1" x14ac:dyDescent="0.25">
      <c r="A398" s="64"/>
      <c r="B398" s="62"/>
      <c r="C398" s="62"/>
      <c r="D398" s="62"/>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row>
    <row r="399" spans="1:44" ht="15.75" customHeight="1" x14ac:dyDescent="0.25">
      <c r="A399" s="64"/>
      <c r="B399" s="62"/>
      <c r="C399" s="62"/>
      <c r="D399" s="62"/>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row>
    <row r="400" spans="1:44" ht="15.75" customHeight="1" x14ac:dyDescent="0.25">
      <c r="A400" s="64"/>
      <c r="B400" s="62"/>
      <c r="C400" s="62"/>
      <c r="D400" s="62"/>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row>
    <row r="401" spans="1:44" ht="15.75" customHeight="1" x14ac:dyDescent="0.25">
      <c r="A401" s="64"/>
      <c r="B401" s="62"/>
      <c r="C401" s="62"/>
      <c r="D401" s="62"/>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row>
    <row r="402" spans="1:44" ht="15.75" customHeight="1" x14ac:dyDescent="0.25">
      <c r="A402" s="64"/>
      <c r="B402" s="62"/>
      <c r="C402" s="62"/>
      <c r="D402" s="62"/>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row>
    <row r="403" spans="1:44" ht="15.75" customHeight="1" x14ac:dyDescent="0.25">
      <c r="A403" s="64"/>
      <c r="B403" s="62"/>
      <c r="C403" s="62"/>
      <c r="D403" s="62"/>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row>
    <row r="404" spans="1:44" ht="15.75" customHeight="1" x14ac:dyDescent="0.25">
      <c r="A404" s="64"/>
      <c r="B404" s="62"/>
      <c r="C404" s="62"/>
      <c r="D404" s="62"/>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row>
    <row r="405" spans="1:44" ht="15.75" customHeight="1" x14ac:dyDescent="0.25">
      <c r="A405" s="64"/>
      <c r="B405" s="62"/>
      <c r="C405" s="62"/>
      <c r="D405" s="62"/>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row>
    <row r="406" spans="1:44" ht="15.75" customHeight="1" x14ac:dyDescent="0.25">
      <c r="A406" s="64"/>
      <c r="B406" s="62"/>
      <c r="C406" s="62"/>
      <c r="D406" s="62"/>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c r="AG406" s="58"/>
      <c r="AH406" s="58"/>
      <c r="AI406" s="58"/>
      <c r="AJ406" s="58"/>
      <c r="AK406" s="58"/>
      <c r="AL406" s="58"/>
      <c r="AM406" s="58"/>
      <c r="AN406" s="58"/>
      <c r="AO406" s="58"/>
      <c r="AP406" s="58"/>
      <c r="AQ406" s="58"/>
      <c r="AR406" s="58"/>
    </row>
    <row r="407" spans="1:44" ht="15.75" customHeight="1" x14ac:dyDescent="0.25">
      <c r="A407" s="64"/>
      <c r="B407" s="62"/>
      <c r="C407" s="62"/>
      <c r="D407" s="62"/>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8"/>
      <c r="AI407" s="58"/>
      <c r="AJ407" s="58"/>
      <c r="AK407" s="58"/>
      <c r="AL407" s="58"/>
      <c r="AM407" s="58"/>
      <c r="AN407" s="58"/>
      <c r="AO407" s="58"/>
      <c r="AP407" s="58"/>
      <c r="AQ407" s="58"/>
      <c r="AR407" s="58"/>
    </row>
    <row r="408" spans="1:44" ht="15.75" customHeight="1" x14ac:dyDescent="0.25">
      <c r="A408" s="64"/>
      <c r="B408" s="62"/>
      <c r="C408" s="62"/>
      <c r="D408" s="62"/>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c r="AE408" s="58"/>
      <c r="AF408" s="58"/>
      <c r="AG408" s="58"/>
      <c r="AH408" s="58"/>
      <c r="AI408" s="58"/>
      <c r="AJ408" s="58"/>
      <c r="AK408" s="58"/>
      <c r="AL408" s="58"/>
      <c r="AM408" s="58"/>
      <c r="AN408" s="58"/>
      <c r="AO408" s="58"/>
      <c r="AP408" s="58"/>
      <c r="AQ408" s="58"/>
      <c r="AR408" s="58"/>
    </row>
    <row r="409" spans="1:44" ht="15.75" customHeight="1" x14ac:dyDescent="0.25">
      <c r="A409" s="64"/>
      <c r="B409" s="62"/>
      <c r="C409" s="62"/>
      <c r="D409" s="62"/>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c r="AE409" s="58"/>
      <c r="AF409" s="58"/>
      <c r="AG409" s="58"/>
      <c r="AH409" s="58"/>
      <c r="AI409" s="58"/>
      <c r="AJ409" s="58"/>
      <c r="AK409" s="58"/>
      <c r="AL409" s="58"/>
      <c r="AM409" s="58"/>
      <c r="AN409" s="58"/>
      <c r="AO409" s="58"/>
      <c r="AP409" s="58"/>
      <c r="AQ409" s="58"/>
      <c r="AR409" s="58"/>
    </row>
    <row r="410" spans="1:44" ht="15.75" customHeight="1" x14ac:dyDescent="0.25">
      <c r="A410" s="64"/>
      <c r="B410" s="62"/>
      <c r="C410" s="62"/>
      <c r="D410" s="62"/>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8"/>
      <c r="AI410" s="58"/>
      <c r="AJ410" s="58"/>
      <c r="AK410" s="58"/>
      <c r="AL410" s="58"/>
      <c r="AM410" s="58"/>
      <c r="AN410" s="58"/>
      <c r="AO410" s="58"/>
      <c r="AP410" s="58"/>
      <c r="AQ410" s="58"/>
      <c r="AR410" s="58"/>
    </row>
    <row r="411" spans="1:44" ht="15.75" customHeight="1" x14ac:dyDescent="0.25">
      <c r="A411" s="64"/>
      <c r="B411" s="62"/>
      <c r="C411" s="62"/>
      <c r="D411" s="62"/>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c r="AG411" s="58"/>
      <c r="AH411" s="58"/>
      <c r="AI411" s="58"/>
      <c r="AJ411" s="58"/>
      <c r="AK411" s="58"/>
      <c r="AL411" s="58"/>
      <c r="AM411" s="58"/>
      <c r="AN411" s="58"/>
      <c r="AO411" s="58"/>
      <c r="AP411" s="58"/>
      <c r="AQ411" s="58"/>
      <c r="AR411" s="58"/>
    </row>
    <row r="412" spans="1:44" ht="15.75" customHeight="1" x14ac:dyDescent="0.25">
      <c r="A412" s="64"/>
      <c r="B412" s="62"/>
      <c r="C412" s="62"/>
      <c r="D412" s="62"/>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c r="AG412" s="58"/>
      <c r="AH412" s="58"/>
      <c r="AI412" s="58"/>
      <c r="AJ412" s="58"/>
      <c r="AK412" s="58"/>
      <c r="AL412" s="58"/>
      <c r="AM412" s="58"/>
      <c r="AN412" s="58"/>
      <c r="AO412" s="58"/>
      <c r="AP412" s="58"/>
      <c r="AQ412" s="58"/>
      <c r="AR412" s="58"/>
    </row>
    <row r="413" spans="1:44" ht="15.75" customHeight="1" x14ac:dyDescent="0.25">
      <c r="A413" s="64"/>
      <c r="B413" s="62"/>
      <c r="C413" s="62"/>
      <c r="D413" s="62"/>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8"/>
      <c r="AI413" s="58"/>
      <c r="AJ413" s="58"/>
      <c r="AK413" s="58"/>
      <c r="AL413" s="58"/>
      <c r="AM413" s="58"/>
      <c r="AN413" s="58"/>
      <c r="AO413" s="58"/>
      <c r="AP413" s="58"/>
      <c r="AQ413" s="58"/>
      <c r="AR413" s="58"/>
    </row>
    <row r="414" spans="1:44" ht="15.75" customHeight="1" x14ac:dyDescent="0.25">
      <c r="A414" s="64"/>
      <c r="B414" s="62"/>
      <c r="C414" s="62"/>
      <c r="D414" s="62"/>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c r="AE414" s="58"/>
      <c r="AF414" s="58"/>
      <c r="AG414" s="58"/>
      <c r="AH414" s="58"/>
      <c r="AI414" s="58"/>
      <c r="AJ414" s="58"/>
      <c r="AK414" s="58"/>
      <c r="AL414" s="58"/>
      <c r="AM414" s="58"/>
      <c r="AN414" s="58"/>
      <c r="AO414" s="58"/>
      <c r="AP414" s="58"/>
      <c r="AQ414" s="58"/>
      <c r="AR414" s="58"/>
    </row>
    <row r="415" spans="1:44" ht="15.75" customHeight="1" x14ac:dyDescent="0.25">
      <c r="A415" s="64"/>
      <c r="B415" s="62"/>
      <c r="C415" s="62"/>
      <c r="D415" s="62"/>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c r="AG415" s="58"/>
      <c r="AH415" s="58"/>
      <c r="AI415" s="58"/>
      <c r="AJ415" s="58"/>
      <c r="AK415" s="58"/>
      <c r="AL415" s="58"/>
      <c r="AM415" s="58"/>
      <c r="AN415" s="58"/>
      <c r="AO415" s="58"/>
      <c r="AP415" s="58"/>
      <c r="AQ415" s="58"/>
      <c r="AR415" s="58"/>
    </row>
    <row r="416" spans="1:44" ht="15.75" customHeight="1" x14ac:dyDescent="0.25">
      <c r="A416" s="64"/>
      <c r="B416" s="62"/>
      <c r="C416" s="62"/>
      <c r="D416" s="62"/>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8"/>
      <c r="AI416" s="58"/>
      <c r="AJ416" s="58"/>
      <c r="AK416" s="58"/>
      <c r="AL416" s="58"/>
      <c r="AM416" s="58"/>
      <c r="AN416" s="58"/>
      <c r="AO416" s="58"/>
      <c r="AP416" s="58"/>
      <c r="AQ416" s="58"/>
      <c r="AR416" s="58"/>
    </row>
    <row r="417" spans="1:44" ht="15.75" customHeight="1" x14ac:dyDescent="0.25">
      <c r="A417" s="64"/>
      <c r="B417" s="62"/>
      <c r="C417" s="62"/>
      <c r="D417" s="62"/>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c r="AG417" s="58"/>
      <c r="AH417" s="58"/>
      <c r="AI417" s="58"/>
      <c r="AJ417" s="58"/>
      <c r="AK417" s="58"/>
      <c r="AL417" s="58"/>
      <c r="AM417" s="58"/>
      <c r="AN417" s="58"/>
      <c r="AO417" s="58"/>
      <c r="AP417" s="58"/>
      <c r="AQ417" s="58"/>
      <c r="AR417" s="58"/>
    </row>
    <row r="418" spans="1:44" ht="15.75" customHeight="1" x14ac:dyDescent="0.25">
      <c r="A418" s="64"/>
      <c r="B418" s="62"/>
      <c r="C418" s="62"/>
      <c r="D418" s="62"/>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c r="AG418" s="58"/>
      <c r="AH418" s="58"/>
      <c r="AI418" s="58"/>
      <c r="AJ418" s="58"/>
      <c r="AK418" s="58"/>
      <c r="AL418" s="58"/>
      <c r="AM418" s="58"/>
      <c r="AN418" s="58"/>
      <c r="AO418" s="58"/>
      <c r="AP418" s="58"/>
      <c r="AQ418" s="58"/>
      <c r="AR418" s="58"/>
    </row>
    <row r="419" spans="1:44" ht="15.75" customHeight="1" x14ac:dyDescent="0.25">
      <c r="A419" s="64"/>
      <c r="B419" s="62"/>
      <c r="C419" s="62"/>
      <c r="D419" s="62"/>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8"/>
      <c r="AI419" s="58"/>
      <c r="AJ419" s="58"/>
      <c r="AK419" s="58"/>
      <c r="AL419" s="58"/>
      <c r="AM419" s="58"/>
      <c r="AN419" s="58"/>
      <c r="AO419" s="58"/>
      <c r="AP419" s="58"/>
      <c r="AQ419" s="58"/>
      <c r="AR419" s="58"/>
    </row>
    <row r="420" spans="1:44" ht="15.75" customHeight="1" x14ac:dyDescent="0.25">
      <c r="A420" s="64"/>
      <c r="B420" s="62"/>
      <c r="C420" s="62"/>
      <c r="D420" s="62"/>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c r="AG420" s="58"/>
      <c r="AH420" s="58"/>
      <c r="AI420" s="58"/>
      <c r="AJ420" s="58"/>
      <c r="AK420" s="58"/>
      <c r="AL420" s="58"/>
      <c r="AM420" s="58"/>
      <c r="AN420" s="58"/>
      <c r="AO420" s="58"/>
      <c r="AP420" s="58"/>
      <c r="AQ420" s="58"/>
      <c r="AR420" s="58"/>
    </row>
    <row r="421" spans="1:44" ht="15.75" customHeight="1" x14ac:dyDescent="0.25">
      <c r="A421" s="64"/>
      <c r="B421" s="62"/>
      <c r="C421" s="62"/>
      <c r="D421" s="62"/>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c r="AE421" s="58"/>
      <c r="AF421" s="58"/>
      <c r="AG421" s="58"/>
      <c r="AH421" s="58"/>
      <c r="AI421" s="58"/>
      <c r="AJ421" s="58"/>
      <c r="AK421" s="58"/>
      <c r="AL421" s="58"/>
      <c r="AM421" s="58"/>
      <c r="AN421" s="58"/>
      <c r="AO421" s="58"/>
      <c r="AP421" s="58"/>
      <c r="AQ421" s="58"/>
      <c r="AR421" s="58"/>
    </row>
    <row r="422" spans="1:44" ht="15.75" customHeight="1" x14ac:dyDescent="0.25">
      <c r="A422" s="64"/>
      <c r="B422" s="62"/>
      <c r="C422" s="62"/>
      <c r="D422" s="62"/>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8"/>
      <c r="AI422" s="58"/>
      <c r="AJ422" s="58"/>
      <c r="AK422" s="58"/>
      <c r="AL422" s="58"/>
      <c r="AM422" s="58"/>
      <c r="AN422" s="58"/>
      <c r="AO422" s="58"/>
      <c r="AP422" s="58"/>
      <c r="AQ422" s="58"/>
      <c r="AR422" s="58"/>
    </row>
    <row r="423" spans="1:44" ht="15.75" customHeight="1" x14ac:dyDescent="0.25">
      <c r="A423" s="64"/>
      <c r="B423" s="62"/>
      <c r="C423" s="62"/>
      <c r="D423" s="62"/>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c r="AG423" s="58"/>
      <c r="AH423" s="58"/>
      <c r="AI423" s="58"/>
      <c r="AJ423" s="58"/>
      <c r="AK423" s="58"/>
      <c r="AL423" s="58"/>
      <c r="AM423" s="58"/>
      <c r="AN423" s="58"/>
      <c r="AO423" s="58"/>
      <c r="AP423" s="58"/>
      <c r="AQ423" s="58"/>
      <c r="AR423" s="58"/>
    </row>
    <row r="424" spans="1:44" ht="15.75" customHeight="1" x14ac:dyDescent="0.25">
      <c r="A424" s="64"/>
      <c r="B424" s="62"/>
      <c r="C424" s="62"/>
      <c r="D424" s="62"/>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c r="AG424" s="58"/>
      <c r="AH424" s="58"/>
      <c r="AI424" s="58"/>
      <c r="AJ424" s="58"/>
      <c r="AK424" s="58"/>
      <c r="AL424" s="58"/>
      <c r="AM424" s="58"/>
      <c r="AN424" s="58"/>
      <c r="AO424" s="58"/>
      <c r="AP424" s="58"/>
      <c r="AQ424" s="58"/>
      <c r="AR424" s="58"/>
    </row>
    <row r="425" spans="1:44" ht="15.75" customHeight="1" x14ac:dyDescent="0.25">
      <c r="A425" s="64"/>
      <c r="B425" s="62"/>
      <c r="C425" s="62"/>
      <c r="D425" s="62"/>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8"/>
      <c r="AI425" s="58"/>
      <c r="AJ425" s="58"/>
      <c r="AK425" s="58"/>
      <c r="AL425" s="58"/>
      <c r="AM425" s="58"/>
      <c r="AN425" s="58"/>
      <c r="AO425" s="58"/>
      <c r="AP425" s="58"/>
      <c r="AQ425" s="58"/>
      <c r="AR425" s="58"/>
    </row>
    <row r="426" spans="1:44" ht="15.75" customHeight="1" x14ac:dyDescent="0.25">
      <c r="A426" s="64"/>
      <c r="B426" s="62"/>
      <c r="C426" s="62"/>
      <c r="D426" s="62"/>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c r="AG426" s="58"/>
      <c r="AH426" s="58"/>
      <c r="AI426" s="58"/>
      <c r="AJ426" s="58"/>
      <c r="AK426" s="58"/>
      <c r="AL426" s="58"/>
      <c r="AM426" s="58"/>
      <c r="AN426" s="58"/>
      <c r="AO426" s="58"/>
      <c r="AP426" s="58"/>
      <c r="AQ426" s="58"/>
      <c r="AR426" s="58"/>
    </row>
    <row r="427" spans="1:44" ht="15.75" customHeight="1" x14ac:dyDescent="0.25">
      <c r="A427" s="64"/>
      <c r="B427" s="62"/>
      <c r="C427" s="62"/>
      <c r="D427" s="62"/>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c r="AG427" s="58"/>
      <c r="AH427" s="58"/>
      <c r="AI427" s="58"/>
      <c r="AJ427" s="58"/>
      <c r="AK427" s="58"/>
      <c r="AL427" s="58"/>
      <c r="AM427" s="58"/>
      <c r="AN427" s="58"/>
      <c r="AO427" s="58"/>
      <c r="AP427" s="58"/>
      <c r="AQ427" s="58"/>
      <c r="AR427" s="58"/>
    </row>
    <row r="428" spans="1:44" ht="15.75" customHeight="1" x14ac:dyDescent="0.25">
      <c r="A428" s="64"/>
      <c r="B428" s="62"/>
      <c r="C428" s="62"/>
      <c r="D428" s="62"/>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8"/>
      <c r="AI428" s="58"/>
      <c r="AJ428" s="58"/>
      <c r="AK428" s="58"/>
      <c r="AL428" s="58"/>
      <c r="AM428" s="58"/>
      <c r="AN428" s="58"/>
      <c r="AO428" s="58"/>
      <c r="AP428" s="58"/>
      <c r="AQ428" s="58"/>
      <c r="AR428" s="58"/>
    </row>
    <row r="429" spans="1:44" ht="15.75" customHeight="1" x14ac:dyDescent="0.25">
      <c r="A429" s="64"/>
      <c r="B429" s="62"/>
      <c r="C429" s="62"/>
      <c r="D429" s="62"/>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c r="AG429" s="58"/>
      <c r="AH429" s="58"/>
      <c r="AI429" s="58"/>
      <c r="AJ429" s="58"/>
      <c r="AK429" s="58"/>
      <c r="AL429" s="58"/>
      <c r="AM429" s="58"/>
      <c r="AN429" s="58"/>
      <c r="AO429" s="58"/>
      <c r="AP429" s="58"/>
      <c r="AQ429" s="58"/>
      <c r="AR429" s="58"/>
    </row>
    <row r="430" spans="1:44" ht="15.75" customHeight="1" x14ac:dyDescent="0.25">
      <c r="A430" s="64"/>
      <c r="B430" s="62"/>
      <c r="C430" s="62"/>
      <c r="D430" s="62"/>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c r="AE430" s="58"/>
      <c r="AF430" s="58"/>
      <c r="AG430" s="58"/>
      <c r="AH430" s="58"/>
      <c r="AI430" s="58"/>
      <c r="AJ430" s="58"/>
      <c r="AK430" s="58"/>
      <c r="AL430" s="58"/>
      <c r="AM430" s="58"/>
      <c r="AN430" s="58"/>
      <c r="AO430" s="58"/>
      <c r="AP430" s="58"/>
      <c r="AQ430" s="58"/>
      <c r="AR430" s="58"/>
    </row>
    <row r="431" spans="1:44" ht="15.75" customHeight="1" x14ac:dyDescent="0.25">
      <c r="A431" s="64"/>
      <c r="B431" s="62"/>
      <c r="C431" s="62"/>
      <c r="D431" s="62"/>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8"/>
      <c r="AI431" s="58"/>
      <c r="AJ431" s="58"/>
      <c r="AK431" s="58"/>
      <c r="AL431" s="58"/>
      <c r="AM431" s="58"/>
      <c r="AN431" s="58"/>
      <c r="AO431" s="58"/>
      <c r="AP431" s="58"/>
      <c r="AQ431" s="58"/>
      <c r="AR431" s="58"/>
    </row>
    <row r="432" spans="1:44" ht="15.75" customHeight="1" x14ac:dyDescent="0.25">
      <c r="A432" s="64"/>
      <c r="B432" s="62"/>
      <c r="C432" s="62"/>
      <c r="D432" s="62"/>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c r="AE432" s="58"/>
      <c r="AF432" s="58"/>
      <c r="AG432" s="58"/>
      <c r="AH432" s="58"/>
      <c r="AI432" s="58"/>
      <c r="AJ432" s="58"/>
      <c r="AK432" s="58"/>
      <c r="AL432" s="58"/>
      <c r="AM432" s="58"/>
      <c r="AN432" s="58"/>
      <c r="AO432" s="58"/>
      <c r="AP432" s="58"/>
      <c r="AQ432" s="58"/>
      <c r="AR432" s="58"/>
    </row>
    <row r="433" spans="1:44" ht="15.75" customHeight="1" x14ac:dyDescent="0.25">
      <c r="A433" s="64"/>
      <c r="B433" s="62"/>
      <c r="C433" s="62"/>
      <c r="D433" s="62"/>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8"/>
      <c r="AI433" s="58"/>
      <c r="AJ433" s="58"/>
      <c r="AK433" s="58"/>
      <c r="AL433" s="58"/>
      <c r="AM433" s="58"/>
      <c r="AN433" s="58"/>
      <c r="AO433" s="58"/>
      <c r="AP433" s="58"/>
      <c r="AQ433" s="58"/>
      <c r="AR433" s="58"/>
    </row>
    <row r="434" spans="1:44" ht="15.75" customHeight="1" x14ac:dyDescent="0.25">
      <c r="A434" s="64"/>
      <c r="B434" s="62"/>
      <c r="C434" s="62"/>
      <c r="D434" s="62"/>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58"/>
      <c r="AK434" s="58"/>
      <c r="AL434" s="58"/>
      <c r="AM434" s="58"/>
      <c r="AN434" s="58"/>
      <c r="AO434" s="58"/>
      <c r="AP434" s="58"/>
      <c r="AQ434" s="58"/>
      <c r="AR434" s="58"/>
    </row>
    <row r="435" spans="1:44" ht="15.75" customHeight="1" x14ac:dyDescent="0.25">
      <c r="A435" s="64"/>
      <c r="B435" s="62"/>
      <c r="C435" s="62"/>
      <c r="D435" s="62"/>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8"/>
      <c r="AI435" s="58"/>
      <c r="AJ435" s="58"/>
      <c r="AK435" s="58"/>
      <c r="AL435" s="58"/>
      <c r="AM435" s="58"/>
      <c r="AN435" s="58"/>
      <c r="AO435" s="58"/>
      <c r="AP435" s="58"/>
      <c r="AQ435" s="58"/>
      <c r="AR435" s="58"/>
    </row>
    <row r="436" spans="1:44" ht="15.75" customHeight="1" x14ac:dyDescent="0.25">
      <c r="A436" s="64"/>
      <c r="B436" s="62"/>
      <c r="C436" s="62"/>
      <c r="D436" s="62"/>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8"/>
      <c r="AI436" s="58"/>
      <c r="AJ436" s="58"/>
      <c r="AK436" s="58"/>
      <c r="AL436" s="58"/>
      <c r="AM436" s="58"/>
      <c r="AN436" s="58"/>
      <c r="AO436" s="58"/>
      <c r="AP436" s="58"/>
      <c r="AQ436" s="58"/>
      <c r="AR436" s="58"/>
    </row>
    <row r="437" spans="1:44" ht="15.75" customHeight="1" x14ac:dyDescent="0.25">
      <c r="A437" s="64"/>
      <c r="B437" s="62"/>
      <c r="C437" s="62"/>
      <c r="D437" s="62"/>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58"/>
      <c r="AK437" s="58"/>
      <c r="AL437" s="58"/>
      <c r="AM437" s="58"/>
      <c r="AN437" s="58"/>
      <c r="AO437" s="58"/>
      <c r="AP437" s="58"/>
      <c r="AQ437" s="58"/>
      <c r="AR437" s="58"/>
    </row>
    <row r="438" spans="1:44" ht="15.75" customHeight="1" x14ac:dyDescent="0.25">
      <c r="A438" s="64"/>
      <c r="B438" s="62"/>
      <c r="C438" s="62"/>
      <c r="D438" s="62"/>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c r="AI438" s="58"/>
      <c r="AJ438" s="58"/>
      <c r="AK438" s="58"/>
      <c r="AL438" s="58"/>
      <c r="AM438" s="58"/>
      <c r="AN438" s="58"/>
      <c r="AO438" s="58"/>
      <c r="AP438" s="58"/>
      <c r="AQ438" s="58"/>
      <c r="AR438" s="58"/>
    </row>
    <row r="439" spans="1:44" ht="15.75" customHeight="1" x14ac:dyDescent="0.25">
      <c r="A439" s="64"/>
      <c r="B439" s="62"/>
      <c r="C439" s="62"/>
      <c r="D439" s="62"/>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8"/>
      <c r="AI439" s="58"/>
      <c r="AJ439" s="58"/>
      <c r="AK439" s="58"/>
      <c r="AL439" s="58"/>
      <c r="AM439" s="58"/>
      <c r="AN439" s="58"/>
      <c r="AO439" s="58"/>
      <c r="AP439" s="58"/>
      <c r="AQ439" s="58"/>
      <c r="AR439" s="58"/>
    </row>
    <row r="440" spans="1:44" ht="15.75" customHeight="1" x14ac:dyDescent="0.25">
      <c r="A440" s="64"/>
      <c r="B440" s="62"/>
      <c r="C440" s="62"/>
      <c r="D440" s="62"/>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58"/>
      <c r="AK440" s="58"/>
      <c r="AL440" s="58"/>
      <c r="AM440" s="58"/>
      <c r="AN440" s="58"/>
      <c r="AO440" s="58"/>
      <c r="AP440" s="58"/>
      <c r="AQ440" s="58"/>
      <c r="AR440" s="58"/>
    </row>
    <row r="441" spans="1:44" ht="15.75" customHeight="1" x14ac:dyDescent="0.25">
      <c r="A441" s="64"/>
      <c r="B441" s="62"/>
      <c r="C441" s="62"/>
      <c r="D441" s="62"/>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8"/>
      <c r="AI441" s="58"/>
      <c r="AJ441" s="58"/>
      <c r="AK441" s="58"/>
      <c r="AL441" s="58"/>
      <c r="AM441" s="58"/>
      <c r="AN441" s="58"/>
      <c r="AO441" s="58"/>
      <c r="AP441" s="58"/>
      <c r="AQ441" s="58"/>
      <c r="AR441" s="58"/>
    </row>
    <row r="442" spans="1:44" ht="15.75" customHeight="1" x14ac:dyDescent="0.25">
      <c r="A442" s="64"/>
      <c r="B442" s="62"/>
      <c r="C442" s="62"/>
      <c r="D442" s="62"/>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8"/>
      <c r="AI442" s="58"/>
      <c r="AJ442" s="58"/>
      <c r="AK442" s="58"/>
      <c r="AL442" s="58"/>
      <c r="AM442" s="58"/>
      <c r="AN442" s="58"/>
      <c r="AO442" s="58"/>
      <c r="AP442" s="58"/>
      <c r="AQ442" s="58"/>
      <c r="AR442" s="58"/>
    </row>
    <row r="443" spans="1:44" ht="15.75" customHeight="1" x14ac:dyDescent="0.25">
      <c r="A443" s="64"/>
      <c r="B443" s="62"/>
      <c r="C443" s="62"/>
      <c r="D443" s="62"/>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58"/>
      <c r="AK443" s="58"/>
      <c r="AL443" s="58"/>
      <c r="AM443" s="58"/>
      <c r="AN443" s="58"/>
      <c r="AO443" s="58"/>
      <c r="AP443" s="58"/>
      <c r="AQ443" s="58"/>
      <c r="AR443" s="58"/>
    </row>
    <row r="444" spans="1:44" ht="15.75" customHeight="1" x14ac:dyDescent="0.25">
      <c r="A444" s="64"/>
      <c r="B444" s="62"/>
      <c r="C444" s="62"/>
      <c r="D444" s="62"/>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8"/>
      <c r="AI444" s="58"/>
      <c r="AJ444" s="58"/>
      <c r="AK444" s="58"/>
      <c r="AL444" s="58"/>
      <c r="AM444" s="58"/>
      <c r="AN444" s="58"/>
      <c r="AO444" s="58"/>
      <c r="AP444" s="58"/>
      <c r="AQ444" s="58"/>
      <c r="AR444" s="58"/>
    </row>
    <row r="445" spans="1:44" ht="15.75" customHeight="1" x14ac:dyDescent="0.25">
      <c r="A445" s="64"/>
      <c r="B445" s="62"/>
      <c r="C445" s="62"/>
      <c r="D445" s="62"/>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8"/>
      <c r="AI445" s="58"/>
      <c r="AJ445" s="58"/>
      <c r="AK445" s="58"/>
      <c r="AL445" s="58"/>
      <c r="AM445" s="58"/>
      <c r="AN445" s="58"/>
      <c r="AO445" s="58"/>
      <c r="AP445" s="58"/>
      <c r="AQ445" s="58"/>
      <c r="AR445" s="58"/>
    </row>
    <row r="446" spans="1:44" ht="15.75" customHeight="1" x14ac:dyDescent="0.25">
      <c r="A446" s="64"/>
      <c r="B446" s="62"/>
      <c r="C446" s="62"/>
      <c r="D446" s="62"/>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58"/>
      <c r="AK446" s="58"/>
      <c r="AL446" s="58"/>
      <c r="AM446" s="58"/>
      <c r="AN446" s="58"/>
      <c r="AO446" s="58"/>
      <c r="AP446" s="58"/>
      <c r="AQ446" s="58"/>
      <c r="AR446" s="58"/>
    </row>
    <row r="447" spans="1:44" ht="15.75" customHeight="1" x14ac:dyDescent="0.25">
      <c r="A447" s="64"/>
      <c r="B447" s="62"/>
      <c r="C447" s="62"/>
      <c r="D447" s="62"/>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8"/>
      <c r="AI447" s="58"/>
      <c r="AJ447" s="58"/>
      <c r="AK447" s="58"/>
      <c r="AL447" s="58"/>
      <c r="AM447" s="58"/>
      <c r="AN447" s="58"/>
      <c r="AO447" s="58"/>
      <c r="AP447" s="58"/>
      <c r="AQ447" s="58"/>
      <c r="AR447" s="58"/>
    </row>
    <row r="448" spans="1:44" ht="15.75" customHeight="1" x14ac:dyDescent="0.25">
      <c r="A448" s="64"/>
      <c r="B448" s="62"/>
      <c r="C448" s="62"/>
      <c r="D448" s="62"/>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8"/>
      <c r="AI448" s="58"/>
      <c r="AJ448" s="58"/>
      <c r="AK448" s="58"/>
      <c r="AL448" s="58"/>
      <c r="AM448" s="58"/>
      <c r="AN448" s="58"/>
      <c r="AO448" s="58"/>
      <c r="AP448" s="58"/>
      <c r="AQ448" s="58"/>
      <c r="AR448" s="58"/>
    </row>
    <row r="449" spans="1:44" ht="15.75" customHeight="1" x14ac:dyDescent="0.25">
      <c r="A449" s="64"/>
      <c r="B449" s="62"/>
      <c r="C449" s="62"/>
      <c r="D449" s="62"/>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58"/>
      <c r="AK449" s="58"/>
      <c r="AL449" s="58"/>
      <c r="AM449" s="58"/>
      <c r="AN449" s="58"/>
      <c r="AO449" s="58"/>
      <c r="AP449" s="58"/>
      <c r="AQ449" s="58"/>
      <c r="AR449" s="58"/>
    </row>
    <row r="450" spans="1:44" ht="15.75" customHeight="1" x14ac:dyDescent="0.25">
      <c r="A450" s="64"/>
      <c r="B450" s="62"/>
      <c r="C450" s="62"/>
      <c r="D450" s="62"/>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8"/>
      <c r="AI450" s="58"/>
      <c r="AJ450" s="58"/>
      <c r="AK450" s="58"/>
      <c r="AL450" s="58"/>
      <c r="AM450" s="58"/>
      <c r="AN450" s="58"/>
      <c r="AO450" s="58"/>
      <c r="AP450" s="58"/>
      <c r="AQ450" s="58"/>
      <c r="AR450" s="58"/>
    </row>
    <row r="451" spans="1:44" ht="15.75" customHeight="1" x14ac:dyDescent="0.25">
      <c r="A451" s="64"/>
      <c r="B451" s="62"/>
      <c r="C451" s="62"/>
      <c r="D451" s="62"/>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8"/>
      <c r="AI451" s="58"/>
      <c r="AJ451" s="58"/>
      <c r="AK451" s="58"/>
      <c r="AL451" s="58"/>
      <c r="AM451" s="58"/>
      <c r="AN451" s="58"/>
      <c r="AO451" s="58"/>
      <c r="AP451" s="58"/>
      <c r="AQ451" s="58"/>
      <c r="AR451" s="58"/>
    </row>
    <row r="452" spans="1:44" ht="15.75" customHeight="1" x14ac:dyDescent="0.25">
      <c r="A452" s="64"/>
      <c r="B452" s="62"/>
      <c r="C452" s="62"/>
      <c r="D452" s="62"/>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58"/>
      <c r="AK452" s="58"/>
      <c r="AL452" s="58"/>
      <c r="AM452" s="58"/>
      <c r="AN452" s="58"/>
      <c r="AO452" s="58"/>
      <c r="AP452" s="58"/>
      <c r="AQ452" s="58"/>
      <c r="AR452" s="58"/>
    </row>
    <row r="453" spans="1:44" ht="15.75" customHeight="1" x14ac:dyDescent="0.25">
      <c r="A453" s="64"/>
      <c r="B453" s="62"/>
      <c r="C453" s="62"/>
      <c r="D453" s="62"/>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8"/>
      <c r="AI453" s="58"/>
      <c r="AJ453" s="58"/>
      <c r="AK453" s="58"/>
      <c r="AL453" s="58"/>
      <c r="AM453" s="58"/>
      <c r="AN453" s="58"/>
      <c r="AO453" s="58"/>
      <c r="AP453" s="58"/>
      <c r="AQ453" s="58"/>
      <c r="AR453" s="58"/>
    </row>
    <row r="454" spans="1:44" ht="15.75" customHeight="1" x14ac:dyDescent="0.25">
      <c r="A454" s="64"/>
      <c r="B454" s="62"/>
      <c r="C454" s="62"/>
      <c r="D454" s="62"/>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8"/>
      <c r="AI454" s="58"/>
      <c r="AJ454" s="58"/>
      <c r="AK454" s="58"/>
      <c r="AL454" s="58"/>
      <c r="AM454" s="58"/>
      <c r="AN454" s="58"/>
      <c r="AO454" s="58"/>
      <c r="AP454" s="58"/>
      <c r="AQ454" s="58"/>
      <c r="AR454" s="58"/>
    </row>
    <row r="455" spans="1:44" ht="15.75" customHeight="1" x14ac:dyDescent="0.25">
      <c r="A455" s="64"/>
      <c r="B455" s="62"/>
      <c r="C455" s="62"/>
      <c r="D455" s="62"/>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58"/>
      <c r="AK455" s="58"/>
      <c r="AL455" s="58"/>
      <c r="AM455" s="58"/>
      <c r="AN455" s="58"/>
      <c r="AO455" s="58"/>
      <c r="AP455" s="58"/>
      <c r="AQ455" s="58"/>
      <c r="AR455" s="58"/>
    </row>
    <row r="456" spans="1:44" ht="15.75" customHeight="1" x14ac:dyDescent="0.25">
      <c r="A456" s="64"/>
      <c r="B456" s="62"/>
      <c r="C456" s="62"/>
      <c r="D456" s="62"/>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8"/>
      <c r="AI456" s="58"/>
      <c r="AJ456" s="58"/>
      <c r="AK456" s="58"/>
      <c r="AL456" s="58"/>
      <c r="AM456" s="58"/>
      <c r="AN456" s="58"/>
      <c r="AO456" s="58"/>
      <c r="AP456" s="58"/>
      <c r="AQ456" s="58"/>
      <c r="AR456" s="58"/>
    </row>
    <row r="457" spans="1:44" ht="15.75" customHeight="1" x14ac:dyDescent="0.25">
      <c r="A457" s="64"/>
      <c r="B457" s="62"/>
      <c r="C457" s="62"/>
      <c r="D457" s="62"/>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8"/>
      <c r="AI457" s="58"/>
      <c r="AJ457" s="58"/>
      <c r="AK457" s="58"/>
      <c r="AL457" s="58"/>
      <c r="AM457" s="58"/>
      <c r="AN457" s="58"/>
      <c r="AO457" s="58"/>
      <c r="AP457" s="58"/>
      <c r="AQ457" s="58"/>
      <c r="AR457" s="58"/>
    </row>
    <row r="458" spans="1:44" ht="15.75" customHeight="1" x14ac:dyDescent="0.25">
      <c r="A458" s="64"/>
      <c r="B458" s="62"/>
      <c r="C458" s="62"/>
      <c r="D458" s="62"/>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58"/>
      <c r="AK458" s="58"/>
      <c r="AL458" s="58"/>
      <c r="AM458" s="58"/>
      <c r="AN458" s="58"/>
      <c r="AO458" s="58"/>
      <c r="AP458" s="58"/>
      <c r="AQ458" s="58"/>
      <c r="AR458" s="58"/>
    </row>
    <row r="459" spans="1:44" ht="15.75" customHeight="1" x14ac:dyDescent="0.25">
      <c r="A459" s="64"/>
      <c r="B459" s="62"/>
      <c r="C459" s="62"/>
      <c r="D459" s="62"/>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8"/>
      <c r="AI459" s="58"/>
      <c r="AJ459" s="58"/>
      <c r="AK459" s="58"/>
      <c r="AL459" s="58"/>
      <c r="AM459" s="58"/>
      <c r="AN459" s="58"/>
      <c r="AO459" s="58"/>
      <c r="AP459" s="58"/>
      <c r="AQ459" s="58"/>
      <c r="AR459" s="58"/>
    </row>
    <row r="460" spans="1:44" ht="15.75" customHeight="1" x14ac:dyDescent="0.25">
      <c r="A460" s="64"/>
      <c r="B460" s="62"/>
      <c r="C460" s="62"/>
      <c r="D460" s="62"/>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8"/>
      <c r="AI460" s="58"/>
      <c r="AJ460" s="58"/>
      <c r="AK460" s="58"/>
      <c r="AL460" s="58"/>
      <c r="AM460" s="58"/>
      <c r="AN460" s="58"/>
      <c r="AO460" s="58"/>
      <c r="AP460" s="58"/>
      <c r="AQ460" s="58"/>
      <c r="AR460" s="58"/>
    </row>
    <row r="461" spans="1:44" ht="15.75" customHeight="1" x14ac:dyDescent="0.25">
      <c r="A461" s="64"/>
      <c r="B461" s="62"/>
      <c r="C461" s="62"/>
      <c r="D461" s="62"/>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58"/>
      <c r="AK461" s="58"/>
      <c r="AL461" s="58"/>
      <c r="AM461" s="58"/>
      <c r="AN461" s="58"/>
      <c r="AO461" s="58"/>
      <c r="AP461" s="58"/>
      <c r="AQ461" s="58"/>
      <c r="AR461" s="58"/>
    </row>
    <row r="462" spans="1:44" ht="15.75" customHeight="1" x14ac:dyDescent="0.25">
      <c r="A462" s="64"/>
      <c r="B462" s="62"/>
      <c r="C462" s="62"/>
      <c r="D462" s="62"/>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8"/>
      <c r="AI462" s="58"/>
      <c r="AJ462" s="58"/>
      <c r="AK462" s="58"/>
      <c r="AL462" s="58"/>
      <c r="AM462" s="58"/>
      <c r="AN462" s="58"/>
      <c r="AO462" s="58"/>
      <c r="AP462" s="58"/>
      <c r="AQ462" s="58"/>
      <c r="AR462" s="58"/>
    </row>
    <row r="463" spans="1:44" ht="15.75" customHeight="1" x14ac:dyDescent="0.25">
      <c r="A463" s="64"/>
      <c r="B463" s="62"/>
      <c r="C463" s="62"/>
      <c r="D463" s="62"/>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8"/>
      <c r="AI463" s="58"/>
      <c r="AJ463" s="58"/>
      <c r="AK463" s="58"/>
      <c r="AL463" s="58"/>
      <c r="AM463" s="58"/>
      <c r="AN463" s="58"/>
      <c r="AO463" s="58"/>
      <c r="AP463" s="58"/>
      <c r="AQ463" s="58"/>
      <c r="AR463" s="58"/>
    </row>
    <row r="464" spans="1:44" ht="15.75" customHeight="1" x14ac:dyDescent="0.25">
      <c r="A464" s="64"/>
      <c r="B464" s="62"/>
      <c r="C464" s="62"/>
      <c r="D464" s="62"/>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58"/>
      <c r="AK464" s="58"/>
      <c r="AL464" s="58"/>
      <c r="AM464" s="58"/>
      <c r="AN464" s="58"/>
      <c r="AO464" s="58"/>
      <c r="AP464" s="58"/>
      <c r="AQ464" s="58"/>
      <c r="AR464" s="58"/>
    </row>
    <row r="465" spans="1:44" ht="15.75" customHeight="1" x14ac:dyDescent="0.25">
      <c r="A465" s="64"/>
      <c r="B465" s="62"/>
      <c r="C465" s="62"/>
      <c r="D465" s="62"/>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8"/>
      <c r="AI465" s="58"/>
      <c r="AJ465" s="58"/>
      <c r="AK465" s="58"/>
      <c r="AL465" s="58"/>
      <c r="AM465" s="58"/>
      <c r="AN465" s="58"/>
      <c r="AO465" s="58"/>
      <c r="AP465" s="58"/>
      <c r="AQ465" s="58"/>
      <c r="AR465" s="58"/>
    </row>
    <row r="466" spans="1:44" ht="15.75" customHeight="1" x14ac:dyDescent="0.25">
      <c r="A466" s="64"/>
      <c r="B466" s="62"/>
      <c r="C466" s="62"/>
      <c r="D466" s="62"/>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8"/>
      <c r="AI466" s="58"/>
      <c r="AJ466" s="58"/>
      <c r="AK466" s="58"/>
      <c r="AL466" s="58"/>
      <c r="AM466" s="58"/>
      <c r="AN466" s="58"/>
      <c r="AO466" s="58"/>
      <c r="AP466" s="58"/>
      <c r="AQ466" s="58"/>
      <c r="AR466" s="58"/>
    </row>
    <row r="467" spans="1:44" ht="15.75" customHeight="1" x14ac:dyDescent="0.25">
      <c r="A467" s="64"/>
      <c r="B467" s="62"/>
      <c r="C467" s="62"/>
      <c r="D467" s="62"/>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58"/>
      <c r="AK467" s="58"/>
      <c r="AL467" s="58"/>
      <c r="AM467" s="58"/>
      <c r="AN467" s="58"/>
      <c r="AO467" s="58"/>
      <c r="AP467" s="58"/>
      <c r="AQ467" s="58"/>
      <c r="AR467" s="58"/>
    </row>
    <row r="468" spans="1:44" ht="15.75" customHeight="1" x14ac:dyDescent="0.25">
      <c r="A468" s="64"/>
      <c r="B468" s="62"/>
      <c r="C468" s="62"/>
      <c r="D468" s="62"/>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8"/>
      <c r="AI468" s="58"/>
      <c r="AJ468" s="58"/>
      <c r="AK468" s="58"/>
      <c r="AL468" s="58"/>
      <c r="AM468" s="58"/>
      <c r="AN468" s="58"/>
      <c r="AO468" s="58"/>
      <c r="AP468" s="58"/>
      <c r="AQ468" s="58"/>
      <c r="AR468" s="58"/>
    </row>
    <row r="469" spans="1:44" ht="15.75" customHeight="1" x14ac:dyDescent="0.25">
      <c r="A469" s="64"/>
      <c r="B469" s="62"/>
      <c r="C469" s="62"/>
      <c r="D469" s="62"/>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8"/>
      <c r="AI469" s="58"/>
      <c r="AJ469" s="58"/>
      <c r="AK469" s="58"/>
      <c r="AL469" s="58"/>
      <c r="AM469" s="58"/>
      <c r="AN469" s="58"/>
      <c r="AO469" s="58"/>
      <c r="AP469" s="58"/>
      <c r="AQ469" s="58"/>
      <c r="AR469" s="58"/>
    </row>
    <row r="470" spans="1:44" ht="15.75" customHeight="1" x14ac:dyDescent="0.25">
      <c r="A470" s="64"/>
      <c r="B470" s="62"/>
      <c r="C470" s="62"/>
      <c r="D470" s="62"/>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58"/>
      <c r="AK470" s="58"/>
      <c r="AL470" s="58"/>
      <c r="AM470" s="58"/>
      <c r="AN470" s="58"/>
      <c r="AO470" s="58"/>
      <c r="AP470" s="58"/>
      <c r="AQ470" s="58"/>
      <c r="AR470" s="58"/>
    </row>
    <row r="471" spans="1:44" ht="15.75" customHeight="1" x14ac:dyDescent="0.25">
      <c r="A471" s="64"/>
      <c r="B471" s="62"/>
      <c r="C471" s="62"/>
      <c r="D471" s="62"/>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c r="AG471" s="58"/>
      <c r="AH471" s="58"/>
      <c r="AI471" s="58"/>
      <c r="AJ471" s="58"/>
      <c r="AK471" s="58"/>
      <c r="AL471" s="58"/>
      <c r="AM471" s="58"/>
      <c r="AN471" s="58"/>
      <c r="AO471" s="58"/>
      <c r="AP471" s="58"/>
      <c r="AQ471" s="58"/>
      <c r="AR471" s="58"/>
    </row>
    <row r="472" spans="1:44" ht="15.75" customHeight="1" x14ac:dyDescent="0.25">
      <c r="A472" s="64"/>
      <c r="B472" s="62"/>
      <c r="C472" s="62"/>
      <c r="D472" s="62"/>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c r="AG472" s="58"/>
      <c r="AH472" s="58"/>
      <c r="AI472" s="58"/>
      <c r="AJ472" s="58"/>
      <c r="AK472" s="58"/>
      <c r="AL472" s="58"/>
      <c r="AM472" s="58"/>
      <c r="AN472" s="58"/>
      <c r="AO472" s="58"/>
      <c r="AP472" s="58"/>
      <c r="AQ472" s="58"/>
      <c r="AR472" s="58"/>
    </row>
    <row r="473" spans="1:44" ht="15.75" customHeight="1" x14ac:dyDescent="0.25">
      <c r="A473" s="64"/>
      <c r="B473" s="62"/>
      <c r="C473" s="62"/>
      <c r="D473" s="62"/>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8"/>
      <c r="AI473" s="58"/>
      <c r="AJ473" s="58"/>
      <c r="AK473" s="58"/>
      <c r="AL473" s="58"/>
      <c r="AM473" s="58"/>
      <c r="AN473" s="58"/>
      <c r="AO473" s="58"/>
      <c r="AP473" s="58"/>
      <c r="AQ473" s="58"/>
      <c r="AR473" s="58"/>
    </row>
    <row r="474" spans="1:44" ht="15.75" customHeight="1" x14ac:dyDescent="0.25">
      <c r="A474" s="64"/>
      <c r="B474" s="62"/>
      <c r="C474" s="62"/>
      <c r="D474" s="62"/>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c r="AE474" s="58"/>
      <c r="AF474" s="58"/>
      <c r="AG474" s="58"/>
      <c r="AH474" s="58"/>
      <c r="AI474" s="58"/>
      <c r="AJ474" s="58"/>
      <c r="AK474" s="58"/>
      <c r="AL474" s="58"/>
      <c r="AM474" s="58"/>
      <c r="AN474" s="58"/>
      <c r="AO474" s="58"/>
      <c r="AP474" s="58"/>
      <c r="AQ474" s="58"/>
      <c r="AR474" s="58"/>
    </row>
    <row r="475" spans="1:44" ht="15.75" customHeight="1" x14ac:dyDescent="0.25">
      <c r="A475" s="64"/>
      <c r="B475" s="62"/>
      <c r="C475" s="62"/>
      <c r="D475" s="62"/>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c r="AG475" s="58"/>
      <c r="AH475" s="58"/>
      <c r="AI475" s="58"/>
      <c r="AJ475" s="58"/>
      <c r="AK475" s="58"/>
      <c r="AL475" s="58"/>
      <c r="AM475" s="58"/>
      <c r="AN475" s="58"/>
      <c r="AO475" s="58"/>
      <c r="AP475" s="58"/>
      <c r="AQ475" s="58"/>
      <c r="AR475" s="58"/>
    </row>
    <row r="476" spans="1:44" ht="15.75" customHeight="1" x14ac:dyDescent="0.25">
      <c r="A476" s="64"/>
      <c r="B476" s="62"/>
      <c r="C476" s="62"/>
      <c r="D476" s="62"/>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8"/>
      <c r="AI476" s="58"/>
      <c r="AJ476" s="58"/>
      <c r="AK476" s="58"/>
      <c r="AL476" s="58"/>
      <c r="AM476" s="58"/>
      <c r="AN476" s="58"/>
      <c r="AO476" s="58"/>
      <c r="AP476" s="58"/>
      <c r="AQ476" s="58"/>
      <c r="AR476" s="58"/>
    </row>
    <row r="477" spans="1:44" ht="15.75" customHeight="1" x14ac:dyDescent="0.25">
      <c r="A477" s="64"/>
      <c r="B477" s="62"/>
      <c r="C477" s="62"/>
      <c r="D477" s="62"/>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c r="AG477" s="58"/>
      <c r="AH477" s="58"/>
      <c r="AI477" s="58"/>
      <c r="AJ477" s="58"/>
      <c r="AK477" s="58"/>
      <c r="AL477" s="58"/>
      <c r="AM477" s="58"/>
      <c r="AN477" s="58"/>
      <c r="AO477" s="58"/>
      <c r="AP477" s="58"/>
      <c r="AQ477" s="58"/>
      <c r="AR477" s="58"/>
    </row>
    <row r="478" spans="1:44" ht="15.75" customHeight="1" x14ac:dyDescent="0.25">
      <c r="A478" s="64"/>
      <c r="B478" s="62"/>
      <c r="C478" s="62"/>
      <c r="D478" s="62"/>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c r="AG478" s="58"/>
      <c r="AH478" s="58"/>
      <c r="AI478" s="58"/>
      <c r="AJ478" s="58"/>
      <c r="AK478" s="58"/>
      <c r="AL478" s="58"/>
      <c r="AM478" s="58"/>
      <c r="AN478" s="58"/>
      <c r="AO478" s="58"/>
      <c r="AP478" s="58"/>
      <c r="AQ478" s="58"/>
      <c r="AR478" s="58"/>
    </row>
    <row r="479" spans="1:44" ht="15.75" customHeight="1" x14ac:dyDescent="0.25">
      <c r="A479" s="64"/>
      <c r="B479" s="62"/>
      <c r="C479" s="62"/>
      <c r="D479" s="62"/>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8"/>
      <c r="AI479" s="58"/>
      <c r="AJ479" s="58"/>
      <c r="AK479" s="58"/>
      <c r="AL479" s="58"/>
      <c r="AM479" s="58"/>
      <c r="AN479" s="58"/>
      <c r="AO479" s="58"/>
      <c r="AP479" s="58"/>
      <c r="AQ479" s="58"/>
      <c r="AR479" s="58"/>
    </row>
    <row r="480" spans="1:44" ht="15.75" customHeight="1" x14ac:dyDescent="0.25">
      <c r="A480" s="64"/>
      <c r="B480" s="62"/>
      <c r="C480" s="62"/>
      <c r="D480" s="62"/>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c r="AG480" s="58"/>
      <c r="AH480" s="58"/>
      <c r="AI480" s="58"/>
      <c r="AJ480" s="58"/>
      <c r="AK480" s="58"/>
      <c r="AL480" s="58"/>
      <c r="AM480" s="58"/>
      <c r="AN480" s="58"/>
      <c r="AO480" s="58"/>
      <c r="AP480" s="58"/>
      <c r="AQ480" s="58"/>
      <c r="AR480" s="58"/>
    </row>
    <row r="481" spans="1:44" ht="15.75" customHeight="1" x14ac:dyDescent="0.25">
      <c r="A481" s="64"/>
      <c r="B481" s="62"/>
      <c r="C481" s="62"/>
      <c r="D481" s="62"/>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c r="AG481" s="58"/>
      <c r="AH481" s="58"/>
      <c r="AI481" s="58"/>
      <c r="AJ481" s="58"/>
      <c r="AK481" s="58"/>
      <c r="AL481" s="58"/>
      <c r="AM481" s="58"/>
      <c r="AN481" s="58"/>
      <c r="AO481" s="58"/>
      <c r="AP481" s="58"/>
      <c r="AQ481" s="58"/>
      <c r="AR481" s="58"/>
    </row>
    <row r="482" spans="1:44" ht="15.75" customHeight="1" x14ac:dyDescent="0.25">
      <c r="A482" s="64"/>
      <c r="B482" s="62"/>
      <c r="C482" s="62"/>
      <c r="D482" s="62"/>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8"/>
      <c r="AI482" s="58"/>
      <c r="AJ482" s="58"/>
      <c r="AK482" s="58"/>
      <c r="AL482" s="58"/>
      <c r="AM482" s="58"/>
      <c r="AN482" s="58"/>
      <c r="AO482" s="58"/>
      <c r="AP482" s="58"/>
      <c r="AQ482" s="58"/>
      <c r="AR482" s="58"/>
    </row>
    <row r="483" spans="1:44" ht="15.75" customHeight="1" x14ac:dyDescent="0.25">
      <c r="A483" s="64"/>
      <c r="B483" s="62"/>
      <c r="C483" s="62"/>
      <c r="D483" s="62"/>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c r="AG483" s="58"/>
      <c r="AH483" s="58"/>
      <c r="AI483" s="58"/>
      <c r="AJ483" s="58"/>
      <c r="AK483" s="58"/>
      <c r="AL483" s="58"/>
      <c r="AM483" s="58"/>
      <c r="AN483" s="58"/>
      <c r="AO483" s="58"/>
      <c r="AP483" s="58"/>
      <c r="AQ483" s="58"/>
      <c r="AR483" s="58"/>
    </row>
    <row r="484" spans="1:44" ht="15.75" customHeight="1" x14ac:dyDescent="0.25">
      <c r="A484" s="64"/>
      <c r="B484" s="62"/>
      <c r="C484" s="62"/>
      <c r="D484" s="62"/>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c r="AE484" s="58"/>
      <c r="AF484" s="58"/>
      <c r="AG484" s="58"/>
      <c r="AH484" s="58"/>
      <c r="AI484" s="58"/>
      <c r="AJ484" s="58"/>
      <c r="AK484" s="58"/>
      <c r="AL484" s="58"/>
      <c r="AM484" s="58"/>
      <c r="AN484" s="58"/>
      <c r="AO484" s="58"/>
      <c r="AP484" s="58"/>
      <c r="AQ484" s="58"/>
      <c r="AR484" s="58"/>
    </row>
    <row r="485" spans="1:44" ht="15.75" customHeight="1" x14ac:dyDescent="0.25">
      <c r="A485" s="64"/>
      <c r="B485" s="62"/>
      <c r="C485" s="62"/>
      <c r="D485" s="62"/>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8"/>
      <c r="AI485" s="58"/>
      <c r="AJ485" s="58"/>
      <c r="AK485" s="58"/>
      <c r="AL485" s="58"/>
      <c r="AM485" s="58"/>
      <c r="AN485" s="58"/>
      <c r="AO485" s="58"/>
      <c r="AP485" s="58"/>
      <c r="AQ485" s="58"/>
      <c r="AR485" s="58"/>
    </row>
    <row r="486" spans="1:44" ht="15.75" customHeight="1" x14ac:dyDescent="0.25">
      <c r="A486" s="64"/>
      <c r="B486" s="62"/>
      <c r="C486" s="62"/>
      <c r="D486" s="62"/>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c r="AE486" s="58"/>
      <c r="AF486" s="58"/>
      <c r="AG486" s="58"/>
      <c r="AH486" s="58"/>
      <c r="AI486" s="58"/>
      <c r="AJ486" s="58"/>
      <c r="AK486" s="58"/>
      <c r="AL486" s="58"/>
      <c r="AM486" s="58"/>
      <c r="AN486" s="58"/>
      <c r="AO486" s="58"/>
      <c r="AP486" s="58"/>
      <c r="AQ486" s="58"/>
      <c r="AR486" s="58"/>
    </row>
    <row r="487" spans="1:44" ht="15.75" customHeight="1" x14ac:dyDescent="0.25">
      <c r="A487" s="64"/>
      <c r="B487" s="62"/>
      <c r="C487" s="62"/>
      <c r="D487" s="62"/>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c r="AG487" s="58"/>
      <c r="AH487" s="58"/>
      <c r="AI487" s="58"/>
      <c r="AJ487" s="58"/>
      <c r="AK487" s="58"/>
      <c r="AL487" s="58"/>
      <c r="AM487" s="58"/>
      <c r="AN487" s="58"/>
      <c r="AO487" s="58"/>
      <c r="AP487" s="58"/>
      <c r="AQ487" s="58"/>
      <c r="AR487" s="58"/>
    </row>
    <row r="488" spans="1:44" ht="15.75" customHeight="1" x14ac:dyDescent="0.25">
      <c r="A488" s="64"/>
      <c r="B488" s="62"/>
      <c r="C488" s="62"/>
      <c r="D488" s="62"/>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8"/>
      <c r="AI488" s="58"/>
      <c r="AJ488" s="58"/>
      <c r="AK488" s="58"/>
      <c r="AL488" s="58"/>
      <c r="AM488" s="58"/>
      <c r="AN488" s="58"/>
      <c r="AO488" s="58"/>
      <c r="AP488" s="58"/>
      <c r="AQ488" s="58"/>
      <c r="AR488" s="58"/>
    </row>
    <row r="489" spans="1:44" ht="15.75" customHeight="1" x14ac:dyDescent="0.25">
      <c r="A489" s="64"/>
      <c r="B489" s="62"/>
      <c r="C489" s="62"/>
      <c r="D489" s="62"/>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c r="AE489" s="58"/>
      <c r="AF489" s="58"/>
      <c r="AG489" s="58"/>
      <c r="AH489" s="58"/>
      <c r="AI489" s="58"/>
      <c r="AJ489" s="58"/>
      <c r="AK489" s="58"/>
      <c r="AL489" s="58"/>
      <c r="AM489" s="58"/>
      <c r="AN489" s="58"/>
      <c r="AO489" s="58"/>
      <c r="AP489" s="58"/>
      <c r="AQ489" s="58"/>
      <c r="AR489" s="58"/>
    </row>
    <row r="490" spans="1:44" ht="15.75" customHeight="1" x14ac:dyDescent="0.25">
      <c r="A490" s="64"/>
      <c r="B490" s="62"/>
      <c r="C490" s="62"/>
      <c r="D490" s="62"/>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c r="AE490" s="58"/>
      <c r="AF490" s="58"/>
      <c r="AG490" s="58"/>
      <c r="AH490" s="58"/>
      <c r="AI490" s="58"/>
      <c r="AJ490" s="58"/>
      <c r="AK490" s="58"/>
      <c r="AL490" s="58"/>
      <c r="AM490" s="58"/>
      <c r="AN490" s="58"/>
      <c r="AO490" s="58"/>
      <c r="AP490" s="58"/>
      <c r="AQ490" s="58"/>
      <c r="AR490" s="58"/>
    </row>
    <row r="491" spans="1:44" ht="15.75" customHeight="1" x14ac:dyDescent="0.25">
      <c r="A491" s="64"/>
      <c r="B491" s="62"/>
      <c r="C491" s="62"/>
      <c r="D491" s="62"/>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8"/>
      <c r="AI491" s="58"/>
      <c r="AJ491" s="58"/>
      <c r="AK491" s="58"/>
      <c r="AL491" s="58"/>
      <c r="AM491" s="58"/>
      <c r="AN491" s="58"/>
      <c r="AO491" s="58"/>
      <c r="AP491" s="58"/>
      <c r="AQ491" s="58"/>
      <c r="AR491" s="58"/>
    </row>
    <row r="492" spans="1:44" ht="15.75" customHeight="1" x14ac:dyDescent="0.25">
      <c r="A492" s="64"/>
      <c r="B492" s="62"/>
      <c r="C492" s="62"/>
      <c r="D492" s="62"/>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c r="AG492" s="58"/>
      <c r="AH492" s="58"/>
      <c r="AI492" s="58"/>
      <c r="AJ492" s="58"/>
      <c r="AK492" s="58"/>
      <c r="AL492" s="58"/>
      <c r="AM492" s="58"/>
      <c r="AN492" s="58"/>
      <c r="AO492" s="58"/>
      <c r="AP492" s="58"/>
      <c r="AQ492" s="58"/>
      <c r="AR492" s="58"/>
    </row>
    <row r="493" spans="1:44" ht="15.75" customHeight="1" x14ac:dyDescent="0.25">
      <c r="A493" s="64"/>
      <c r="B493" s="62"/>
      <c r="C493" s="62"/>
      <c r="D493" s="62"/>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c r="AE493" s="58"/>
      <c r="AF493" s="58"/>
      <c r="AG493" s="58"/>
      <c r="AH493" s="58"/>
      <c r="AI493" s="58"/>
      <c r="AJ493" s="58"/>
      <c r="AK493" s="58"/>
      <c r="AL493" s="58"/>
      <c r="AM493" s="58"/>
      <c r="AN493" s="58"/>
      <c r="AO493" s="58"/>
      <c r="AP493" s="58"/>
      <c r="AQ493" s="58"/>
      <c r="AR493" s="58"/>
    </row>
    <row r="494" spans="1:44" ht="15.75" customHeight="1" x14ac:dyDescent="0.25">
      <c r="A494" s="64"/>
      <c r="B494" s="62"/>
      <c r="C494" s="62"/>
      <c r="D494" s="62"/>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8"/>
      <c r="AI494" s="58"/>
      <c r="AJ494" s="58"/>
      <c r="AK494" s="58"/>
      <c r="AL494" s="58"/>
      <c r="AM494" s="58"/>
      <c r="AN494" s="58"/>
      <c r="AO494" s="58"/>
      <c r="AP494" s="58"/>
      <c r="AQ494" s="58"/>
      <c r="AR494" s="58"/>
    </row>
    <row r="495" spans="1:44" ht="15.75" customHeight="1" x14ac:dyDescent="0.25">
      <c r="A495" s="64"/>
      <c r="B495" s="62"/>
      <c r="C495" s="62"/>
      <c r="D495" s="62"/>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c r="AG495" s="58"/>
      <c r="AH495" s="58"/>
      <c r="AI495" s="58"/>
      <c r="AJ495" s="58"/>
      <c r="AK495" s="58"/>
      <c r="AL495" s="58"/>
      <c r="AM495" s="58"/>
      <c r="AN495" s="58"/>
      <c r="AO495" s="58"/>
      <c r="AP495" s="58"/>
      <c r="AQ495" s="58"/>
      <c r="AR495" s="58"/>
    </row>
    <row r="496" spans="1:44" ht="15.75" customHeight="1" x14ac:dyDescent="0.25">
      <c r="A496" s="64"/>
      <c r="B496" s="62"/>
      <c r="C496" s="62"/>
      <c r="D496" s="62"/>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c r="AE496" s="58"/>
      <c r="AF496" s="58"/>
      <c r="AG496" s="58"/>
      <c r="AH496" s="58"/>
      <c r="AI496" s="58"/>
      <c r="AJ496" s="58"/>
      <c r="AK496" s="58"/>
      <c r="AL496" s="58"/>
      <c r="AM496" s="58"/>
      <c r="AN496" s="58"/>
      <c r="AO496" s="58"/>
      <c r="AP496" s="58"/>
      <c r="AQ496" s="58"/>
      <c r="AR496" s="58"/>
    </row>
    <row r="497" spans="1:44" ht="15.75" customHeight="1" x14ac:dyDescent="0.25">
      <c r="A497" s="64"/>
      <c r="B497" s="62"/>
      <c r="C497" s="62"/>
      <c r="D497" s="62"/>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8"/>
      <c r="AI497" s="58"/>
      <c r="AJ497" s="58"/>
      <c r="AK497" s="58"/>
      <c r="AL497" s="58"/>
      <c r="AM497" s="58"/>
      <c r="AN497" s="58"/>
      <c r="AO497" s="58"/>
      <c r="AP497" s="58"/>
      <c r="AQ497" s="58"/>
      <c r="AR497" s="58"/>
    </row>
    <row r="498" spans="1:44" ht="15.75" customHeight="1" x14ac:dyDescent="0.25">
      <c r="A498" s="64"/>
      <c r="B498" s="62"/>
      <c r="C498" s="62"/>
      <c r="D498" s="62"/>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c r="AG498" s="58"/>
      <c r="AH498" s="58"/>
      <c r="AI498" s="58"/>
      <c r="AJ498" s="58"/>
      <c r="AK498" s="58"/>
      <c r="AL498" s="58"/>
      <c r="AM498" s="58"/>
      <c r="AN498" s="58"/>
      <c r="AO498" s="58"/>
      <c r="AP498" s="58"/>
      <c r="AQ498" s="58"/>
      <c r="AR498" s="58"/>
    </row>
    <row r="499" spans="1:44" ht="15.75" customHeight="1" x14ac:dyDescent="0.25">
      <c r="A499" s="64"/>
      <c r="B499" s="62"/>
      <c r="C499" s="62"/>
      <c r="D499" s="62"/>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c r="AG499" s="58"/>
      <c r="AH499" s="58"/>
      <c r="AI499" s="58"/>
      <c r="AJ499" s="58"/>
      <c r="AK499" s="58"/>
      <c r="AL499" s="58"/>
      <c r="AM499" s="58"/>
      <c r="AN499" s="58"/>
      <c r="AO499" s="58"/>
      <c r="AP499" s="58"/>
      <c r="AQ499" s="58"/>
      <c r="AR499" s="58"/>
    </row>
    <row r="500" spans="1:44" ht="15.75" customHeight="1" x14ac:dyDescent="0.25">
      <c r="A500" s="64"/>
      <c r="B500" s="62"/>
      <c r="C500" s="62"/>
      <c r="D500" s="62"/>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c r="AI500" s="58"/>
      <c r="AJ500" s="58"/>
      <c r="AK500" s="58"/>
      <c r="AL500" s="58"/>
      <c r="AM500" s="58"/>
      <c r="AN500" s="58"/>
      <c r="AO500" s="58"/>
      <c r="AP500" s="58"/>
      <c r="AQ500" s="58"/>
      <c r="AR500" s="58"/>
    </row>
    <row r="501" spans="1:44" ht="15.75" customHeight="1" x14ac:dyDescent="0.25">
      <c r="A501" s="64"/>
      <c r="B501" s="62"/>
      <c r="C501" s="62"/>
      <c r="D501" s="62"/>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c r="AE501" s="58"/>
      <c r="AF501" s="58"/>
      <c r="AG501" s="58"/>
      <c r="AH501" s="58"/>
      <c r="AI501" s="58"/>
      <c r="AJ501" s="58"/>
      <c r="AK501" s="58"/>
      <c r="AL501" s="58"/>
      <c r="AM501" s="58"/>
      <c r="AN501" s="58"/>
      <c r="AO501" s="58"/>
      <c r="AP501" s="58"/>
      <c r="AQ501" s="58"/>
      <c r="AR501" s="58"/>
    </row>
    <row r="502" spans="1:44" ht="15.75" customHeight="1" x14ac:dyDescent="0.25">
      <c r="A502" s="64"/>
      <c r="B502" s="62"/>
      <c r="C502" s="62"/>
      <c r="D502" s="62"/>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c r="AE502" s="58"/>
      <c r="AF502" s="58"/>
      <c r="AG502" s="58"/>
      <c r="AH502" s="58"/>
      <c r="AI502" s="58"/>
      <c r="AJ502" s="58"/>
      <c r="AK502" s="58"/>
      <c r="AL502" s="58"/>
      <c r="AM502" s="58"/>
      <c r="AN502" s="58"/>
      <c r="AO502" s="58"/>
      <c r="AP502" s="58"/>
      <c r="AQ502" s="58"/>
      <c r="AR502" s="58"/>
    </row>
    <row r="503" spans="1:44" ht="15.75" customHeight="1" x14ac:dyDescent="0.25">
      <c r="A503" s="64"/>
      <c r="B503" s="62"/>
      <c r="C503" s="62"/>
      <c r="D503" s="62"/>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c r="AE503" s="58"/>
      <c r="AF503" s="58"/>
      <c r="AG503" s="58"/>
      <c r="AH503" s="58"/>
      <c r="AI503" s="58"/>
      <c r="AJ503" s="58"/>
      <c r="AK503" s="58"/>
      <c r="AL503" s="58"/>
      <c r="AM503" s="58"/>
      <c r="AN503" s="58"/>
      <c r="AO503" s="58"/>
      <c r="AP503" s="58"/>
      <c r="AQ503" s="58"/>
      <c r="AR503" s="58"/>
    </row>
    <row r="504" spans="1:44" ht="15.75" customHeight="1" x14ac:dyDescent="0.25">
      <c r="A504" s="64"/>
      <c r="B504" s="62"/>
      <c r="C504" s="62"/>
      <c r="D504" s="62"/>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c r="AG504" s="58"/>
      <c r="AH504" s="58"/>
      <c r="AI504" s="58"/>
      <c r="AJ504" s="58"/>
      <c r="AK504" s="58"/>
      <c r="AL504" s="58"/>
      <c r="AM504" s="58"/>
      <c r="AN504" s="58"/>
      <c r="AO504" s="58"/>
      <c r="AP504" s="58"/>
      <c r="AQ504" s="58"/>
      <c r="AR504" s="58"/>
    </row>
    <row r="505" spans="1:44" ht="15.75" customHeight="1" x14ac:dyDescent="0.25">
      <c r="A505" s="64"/>
      <c r="B505" s="62"/>
      <c r="C505" s="62"/>
      <c r="D505" s="62"/>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c r="AG505" s="58"/>
      <c r="AH505" s="58"/>
      <c r="AI505" s="58"/>
      <c r="AJ505" s="58"/>
      <c r="AK505" s="58"/>
      <c r="AL505" s="58"/>
      <c r="AM505" s="58"/>
      <c r="AN505" s="58"/>
      <c r="AO505" s="58"/>
      <c r="AP505" s="58"/>
      <c r="AQ505" s="58"/>
      <c r="AR505" s="58"/>
    </row>
    <row r="506" spans="1:44" ht="15.75" customHeight="1" x14ac:dyDescent="0.25">
      <c r="A506" s="64"/>
      <c r="B506" s="62"/>
      <c r="C506" s="62"/>
      <c r="D506" s="62"/>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c r="AI506" s="58"/>
      <c r="AJ506" s="58"/>
      <c r="AK506" s="58"/>
      <c r="AL506" s="58"/>
      <c r="AM506" s="58"/>
      <c r="AN506" s="58"/>
      <c r="AO506" s="58"/>
      <c r="AP506" s="58"/>
      <c r="AQ506" s="58"/>
      <c r="AR506" s="58"/>
    </row>
    <row r="507" spans="1:44" ht="15.75" customHeight="1" x14ac:dyDescent="0.25">
      <c r="A507" s="64"/>
      <c r="B507" s="62"/>
      <c r="C507" s="62"/>
      <c r="D507" s="62"/>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c r="AG507" s="58"/>
      <c r="AH507" s="58"/>
      <c r="AI507" s="58"/>
      <c r="AJ507" s="58"/>
      <c r="AK507" s="58"/>
      <c r="AL507" s="58"/>
      <c r="AM507" s="58"/>
      <c r="AN507" s="58"/>
      <c r="AO507" s="58"/>
      <c r="AP507" s="58"/>
      <c r="AQ507" s="58"/>
      <c r="AR507" s="58"/>
    </row>
    <row r="508" spans="1:44" ht="15.75" customHeight="1" x14ac:dyDescent="0.25">
      <c r="A508" s="64"/>
      <c r="B508" s="62"/>
      <c r="C508" s="62"/>
      <c r="D508" s="62"/>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c r="AG508" s="58"/>
      <c r="AH508" s="58"/>
      <c r="AI508" s="58"/>
      <c r="AJ508" s="58"/>
      <c r="AK508" s="58"/>
      <c r="AL508" s="58"/>
      <c r="AM508" s="58"/>
      <c r="AN508" s="58"/>
      <c r="AO508" s="58"/>
      <c r="AP508" s="58"/>
      <c r="AQ508" s="58"/>
      <c r="AR508" s="58"/>
    </row>
    <row r="509" spans="1:44" ht="15.75" customHeight="1" x14ac:dyDescent="0.25">
      <c r="A509" s="64"/>
      <c r="B509" s="62"/>
      <c r="C509" s="62"/>
      <c r="D509" s="62"/>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c r="AI509" s="58"/>
      <c r="AJ509" s="58"/>
      <c r="AK509" s="58"/>
      <c r="AL509" s="58"/>
      <c r="AM509" s="58"/>
      <c r="AN509" s="58"/>
      <c r="AO509" s="58"/>
      <c r="AP509" s="58"/>
      <c r="AQ509" s="58"/>
      <c r="AR509" s="58"/>
    </row>
    <row r="510" spans="1:44" ht="15.75" customHeight="1" x14ac:dyDescent="0.25">
      <c r="A510" s="64"/>
      <c r="B510" s="62"/>
      <c r="C510" s="62"/>
      <c r="D510" s="62"/>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c r="AG510" s="58"/>
      <c r="AH510" s="58"/>
      <c r="AI510" s="58"/>
      <c r="AJ510" s="58"/>
      <c r="AK510" s="58"/>
      <c r="AL510" s="58"/>
      <c r="AM510" s="58"/>
      <c r="AN510" s="58"/>
      <c r="AO510" s="58"/>
      <c r="AP510" s="58"/>
      <c r="AQ510" s="58"/>
      <c r="AR510" s="58"/>
    </row>
    <row r="511" spans="1:44" ht="15.75" customHeight="1" x14ac:dyDescent="0.25">
      <c r="A511" s="64"/>
      <c r="B511" s="62"/>
      <c r="C511" s="62"/>
      <c r="D511" s="62"/>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c r="AG511" s="58"/>
      <c r="AH511" s="58"/>
      <c r="AI511" s="58"/>
      <c r="AJ511" s="58"/>
      <c r="AK511" s="58"/>
      <c r="AL511" s="58"/>
      <c r="AM511" s="58"/>
      <c r="AN511" s="58"/>
      <c r="AO511" s="58"/>
      <c r="AP511" s="58"/>
      <c r="AQ511" s="58"/>
      <c r="AR511" s="58"/>
    </row>
    <row r="512" spans="1:44" ht="15.75" customHeight="1" x14ac:dyDescent="0.25">
      <c r="A512" s="64"/>
      <c r="B512" s="62"/>
      <c r="C512" s="62"/>
      <c r="D512" s="62"/>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c r="AI512" s="58"/>
      <c r="AJ512" s="58"/>
      <c r="AK512" s="58"/>
      <c r="AL512" s="58"/>
      <c r="AM512" s="58"/>
      <c r="AN512" s="58"/>
      <c r="AO512" s="58"/>
      <c r="AP512" s="58"/>
      <c r="AQ512" s="58"/>
      <c r="AR512" s="58"/>
    </row>
    <row r="513" spans="1:44" ht="15.75" customHeight="1" x14ac:dyDescent="0.25">
      <c r="A513" s="64"/>
      <c r="B513" s="62"/>
      <c r="C513" s="62"/>
      <c r="D513" s="62"/>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c r="AG513" s="58"/>
      <c r="AH513" s="58"/>
      <c r="AI513" s="58"/>
      <c r="AJ513" s="58"/>
      <c r="AK513" s="58"/>
      <c r="AL513" s="58"/>
      <c r="AM513" s="58"/>
      <c r="AN513" s="58"/>
      <c r="AO513" s="58"/>
      <c r="AP513" s="58"/>
      <c r="AQ513" s="58"/>
      <c r="AR513" s="58"/>
    </row>
    <row r="514" spans="1:44" ht="15.75" customHeight="1" x14ac:dyDescent="0.25">
      <c r="A514" s="64"/>
      <c r="B514" s="62"/>
      <c r="C514" s="62"/>
      <c r="D514" s="62"/>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c r="AG514" s="58"/>
      <c r="AH514" s="58"/>
      <c r="AI514" s="58"/>
      <c r="AJ514" s="58"/>
      <c r="AK514" s="58"/>
      <c r="AL514" s="58"/>
      <c r="AM514" s="58"/>
      <c r="AN514" s="58"/>
      <c r="AO514" s="58"/>
      <c r="AP514" s="58"/>
      <c r="AQ514" s="58"/>
      <c r="AR514" s="58"/>
    </row>
    <row r="515" spans="1:44" ht="15.75" customHeight="1" x14ac:dyDescent="0.25">
      <c r="A515" s="64"/>
      <c r="B515" s="62"/>
      <c r="C515" s="62"/>
      <c r="D515" s="62"/>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c r="AI515" s="58"/>
      <c r="AJ515" s="58"/>
      <c r="AK515" s="58"/>
      <c r="AL515" s="58"/>
      <c r="AM515" s="58"/>
      <c r="AN515" s="58"/>
      <c r="AO515" s="58"/>
      <c r="AP515" s="58"/>
      <c r="AQ515" s="58"/>
      <c r="AR515" s="58"/>
    </row>
    <row r="516" spans="1:44" ht="15.75" customHeight="1" x14ac:dyDescent="0.25">
      <c r="A516" s="64"/>
      <c r="B516" s="62"/>
      <c r="C516" s="62"/>
      <c r="D516" s="62"/>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c r="AG516" s="58"/>
      <c r="AH516" s="58"/>
      <c r="AI516" s="58"/>
      <c r="AJ516" s="58"/>
      <c r="AK516" s="58"/>
      <c r="AL516" s="58"/>
      <c r="AM516" s="58"/>
      <c r="AN516" s="58"/>
      <c r="AO516" s="58"/>
      <c r="AP516" s="58"/>
      <c r="AQ516" s="58"/>
      <c r="AR516" s="58"/>
    </row>
    <row r="517" spans="1:44" ht="15.75" customHeight="1" x14ac:dyDescent="0.25">
      <c r="A517" s="64"/>
      <c r="B517" s="62"/>
      <c r="C517" s="62"/>
      <c r="D517" s="62"/>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c r="AG517" s="58"/>
      <c r="AH517" s="58"/>
      <c r="AI517" s="58"/>
      <c r="AJ517" s="58"/>
      <c r="AK517" s="58"/>
      <c r="AL517" s="58"/>
      <c r="AM517" s="58"/>
      <c r="AN517" s="58"/>
      <c r="AO517" s="58"/>
      <c r="AP517" s="58"/>
      <c r="AQ517" s="58"/>
      <c r="AR517" s="58"/>
    </row>
    <row r="518" spans="1:44" ht="15.75" customHeight="1" x14ac:dyDescent="0.25">
      <c r="A518" s="64"/>
      <c r="B518" s="62"/>
      <c r="C518" s="62"/>
      <c r="D518" s="62"/>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c r="AI518" s="58"/>
      <c r="AJ518" s="58"/>
      <c r="AK518" s="58"/>
      <c r="AL518" s="58"/>
      <c r="AM518" s="58"/>
      <c r="AN518" s="58"/>
      <c r="AO518" s="58"/>
      <c r="AP518" s="58"/>
      <c r="AQ518" s="58"/>
      <c r="AR518" s="58"/>
    </row>
    <row r="519" spans="1:44" ht="15.75" customHeight="1" x14ac:dyDescent="0.25">
      <c r="A519" s="64"/>
      <c r="B519" s="62"/>
      <c r="C519" s="62"/>
      <c r="D519" s="62"/>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c r="AG519" s="58"/>
      <c r="AH519" s="58"/>
      <c r="AI519" s="58"/>
      <c r="AJ519" s="58"/>
      <c r="AK519" s="58"/>
      <c r="AL519" s="58"/>
      <c r="AM519" s="58"/>
      <c r="AN519" s="58"/>
      <c r="AO519" s="58"/>
      <c r="AP519" s="58"/>
      <c r="AQ519" s="58"/>
      <c r="AR519" s="58"/>
    </row>
    <row r="520" spans="1:44" ht="15.75" customHeight="1" x14ac:dyDescent="0.25">
      <c r="A520" s="64"/>
      <c r="B520" s="62"/>
      <c r="C520" s="62"/>
      <c r="D520" s="62"/>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c r="AG520" s="58"/>
      <c r="AH520" s="58"/>
      <c r="AI520" s="58"/>
      <c r="AJ520" s="58"/>
      <c r="AK520" s="58"/>
      <c r="AL520" s="58"/>
      <c r="AM520" s="58"/>
      <c r="AN520" s="58"/>
      <c r="AO520" s="58"/>
      <c r="AP520" s="58"/>
      <c r="AQ520" s="58"/>
      <c r="AR520" s="58"/>
    </row>
    <row r="521" spans="1:44" ht="15.75" customHeight="1" x14ac:dyDescent="0.25">
      <c r="A521" s="64"/>
      <c r="B521" s="62"/>
      <c r="C521" s="62"/>
      <c r="D521" s="62"/>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c r="AI521" s="58"/>
      <c r="AJ521" s="58"/>
      <c r="AK521" s="58"/>
      <c r="AL521" s="58"/>
      <c r="AM521" s="58"/>
      <c r="AN521" s="58"/>
      <c r="AO521" s="58"/>
      <c r="AP521" s="58"/>
      <c r="AQ521" s="58"/>
      <c r="AR521" s="58"/>
    </row>
    <row r="522" spans="1:44" ht="15.75" customHeight="1" x14ac:dyDescent="0.25">
      <c r="A522" s="64"/>
      <c r="B522" s="62"/>
      <c r="C522" s="62"/>
      <c r="D522" s="62"/>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c r="AG522" s="58"/>
      <c r="AH522" s="58"/>
      <c r="AI522" s="58"/>
      <c r="AJ522" s="58"/>
      <c r="AK522" s="58"/>
      <c r="AL522" s="58"/>
      <c r="AM522" s="58"/>
      <c r="AN522" s="58"/>
      <c r="AO522" s="58"/>
      <c r="AP522" s="58"/>
      <c r="AQ522" s="58"/>
      <c r="AR522" s="58"/>
    </row>
    <row r="523" spans="1:44" ht="15.75" customHeight="1" x14ac:dyDescent="0.25">
      <c r="A523" s="64"/>
      <c r="B523" s="62"/>
      <c r="C523" s="62"/>
      <c r="D523" s="62"/>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c r="AG523" s="58"/>
      <c r="AH523" s="58"/>
      <c r="AI523" s="58"/>
      <c r="AJ523" s="58"/>
      <c r="AK523" s="58"/>
      <c r="AL523" s="58"/>
      <c r="AM523" s="58"/>
      <c r="AN523" s="58"/>
      <c r="AO523" s="58"/>
      <c r="AP523" s="58"/>
      <c r="AQ523" s="58"/>
      <c r="AR523" s="58"/>
    </row>
    <row r="524" spans="1:44" ht="15.75" customHeight="1" x14ac:dyDescent="0.25">
      <c r="A524" s="64"/>
      <c r="B524" s="62"/>
      <c r="C524" s="62"/>
      <c r="D524" s="62"/>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58"/>
      <c r="AK524" s="58"/>
      <c r="AL524" s="58"/>
      <c r="AM524" s="58"/>
      <c r="AN524" s="58"/>
      <c r="AO524" s="58"/>
      <c r="AP524" s="58"/>
      <c r="AQ524" s="58"/>
      <c r="AR524" s="58"/>
    </row>
    <row r="525" spans="1:44" ht="15.75" customHeight="1" x14ac:dyDescent="0.25">
      <c r="A525" s="64"/>
      <c r="B525" s="62"/>
      <c r="C525" s="62"/>
      <c r="D525" s="62"/>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c r="AG525" s="58"/>
      <c r="AH525" s="58"/>
      <c r="AI525" s="58"/>
      <c r="AJ525" s="58"/>
      <c r="AK525" s="58"/>
      <c r="AL525" s="58"/>
      <c r="AM525" s="58"/>
      <c r="AN525" s="58"/>
      <c r="AO525" s="58"/>
      <c r="AP525" s="58"/>
      <c r="AQ525" s="58"/>
      <c r="AR525" s="58"/>
    </row>
    <row r="526" spans="1:44" ht="15.75" customHeight="1" x14ac:dyDescent="0.25">
      <c r="A526" s="64"/>
      <c r="B526" s="62"/>
      <c r="C526" s="62"/>
      <c r="D526" s="62"/>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c r="AG526" s="58"/>
      <c r="AH526" s="58"/>
      <c r="AI526" s="58"/>
      <c r="AJ526" s="58"/>
      <c r="AK526" s="58"/>
      <c r="AL526" s="58"/>
      <c r="AM526" s="58"/>
      <c r="AN526" s="58"/>
      <c r="AO526" s="58"/>
      <c r="AP526" s="58"/>
      <c r="AQ526" s="58"/>
      <c r="AR526" s="58"/>
    </row>
    <row r="527" spans="1:44" ht="15.75" customHeight="1" x14ac:dyDescent="0.25">
      <c r="A527" s="64"/>
      <c r="B527" s="62"/>
      <c r="C527" s="62"/>
      <c r="D527" s="62"/>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c r="AI527" s="58"/>
      <c r="AJ527" s="58"/>
      <c r="AK527" s="58"/>
      <c r="AL527" s="58"/>
      <c r="AM527" s="58"/>
      <c r="AN527" s="58"/>
      <c r="AO527" s="58"/>
      <c r="AP527" s="58"/>
      <c r="AQ527" s="58"/>
      <c r="AR527" s="58"/>
    </row>
    <row r="528" spans="1:44" ht="15.75" customHeight="1" x14ac:dyDescent="0.25">
      <c r="A528" s="64"/>
      <c r="B528" s="62"/>
      <c r="C528" s="62"/>
      <c r="D528" s="62"/>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c r="AG528" s="58"/>
      <c r="AH528" s="58"/>
      <c r="AI528" s="58"/>
      <c r="AJ528" s="58"/>
      <c r="AK528" s="58"/>
      <c r="AL528" s="58"/>
      <c r="AM528" s="58"/>
      <c r="AN528" s="58"/>
      <c r="AO528" s="58"/>
      <c r="AP528" s="58"/>
      <c r="AQ528" s="58"/>
      <c r="AR528" s="58"/>
    </row>
    <row r="529" spans="1:44" ht="15.75" customHeight="1" x14ac:dyDescent="0.25">
      <c r="A529" s="64"/>
      <c r="B529" s="62"/>
      <c r="C529" s="62"/>
      <c r="D529" s="62"/>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c r="AG529" s="58"/>
      <c r="AH529" s="58"/>
      <c r="AI529" s="58"/>
      <c r="AJ529" s="58"/>
      <c r="AK529" s="58"/>
      <c r="AL529" s="58"/>
      <c r="AM529" s="58"/>
      <c r="AN529" s="58"/>
      <c r="AO529" s="58"/>
      <c r="AP529" s="58"/>
      <c r="AQ529" s="58"/>
      <c r="AR529" s="58"/>
    </row>
    <row r="530" spans="1:44" ht="15.75" customHeight="1" x14ac:dyDescent="0.25">
      <c r="A530" s="64"/>
      <c r="B530" s="62"/>
      <c r="C530" s="62"/>
      <c r="D530" s="62"/>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c r="AI530" s="58"/>
      <c r="AJ530" s="58"/>
      <c r="AK530" s="58"/>
      <c r="AL530" s="58"/>
      <c r="AM530" s="58"/>
      <c r="AN530" s="58"/>
      <c r="AO530" s="58"/>
      <c r="AP530" s="58"/>
      <c r="AQ530" s="58"/>
      <c r="AR530" s="58"/>
    </row>
    <row r="531" spans="1:44" ht="15.75" customHeight="1" x14ac:dyDescent="0.25">
      <c r="A531" s="64"/>
      <c r="B531" s="62"/>
      <c r="C531" s="62"/>
      <c r="D531" s="62"/>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c r="AG531" s="58"/>
      <c r="AH531" s="58"/>
      <c r="AI531" s="58"/>
      <c r="AJ531" s="58"/>
      <c r="AK531" s="58"/>
      <c r="AL531" s="58"/>
      <c r="AM531" s="58"/>
      <c r="AN531" s="58"/>
      <c r="AO531" s="58"/>
      <c r="AP531" s="58"/>
      <c r="AQ531" s="58"/>
      <c r="AR531" s="58"/>
    </row>
    <row r="532" spans="1:44" ht="15.75" customHeight="1" x14ac:dyDescent="0.25">
      <c r="A532" s="64"/>
      <c r="B532" s="62"/>
      <c r="C532" s="62"/>
      <c r="D532" s="62"/>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c r="AG532" s="58"/>
      <c r="AH532" s="58"/>
      <c r="AI532" s="58"/>
      <c r="AJ532" s="58"/>
      <c r="AK532" s="58"/>
      <c r="AL532" s="58"/>
      <c r="AM532" s="58"/>
      <c r="AN532" s="58"/>
      <c r="AO532" s="58"/>
      <c r="AP532" s="58"/>
      <c r="AQ532" s="58"/>
      <c r="AR532" s="58"/>
    </row>
    <row r="533" spans="1:44" ht="15.75" customHeight="1" x14ac:dyDescent="0.25">
      <c r="A533" s="64"/>
      <c r="B533" s="62"/>
      <c r="C533" s="62"/>
      <c r="D533" s="62"/>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c r="AI533" s="58"/>
      <c r="AJ533" s="58"/>
      <c r="AK533" s="58"/>
      <c r="AL533" s="58"/>
      <c r="AM533" s="58"/>
      <c r="AN533" s="58"/>
      <c r="AO533" s="58"/>
      <c r="AP533" s="58"/>
      <c r="AQ533" s="58"/>
      <c r="AR533" s="58"/>
    </row>
    <row r="534" spans="1:44" ht="15.75" customHeight="1" x14ac:dyDescent="0.25">
      <c r="A534" s="64"/>
      <c r="B534" s="62"/>
      <c r="C534" s="62"/>
      <c r="D534" s="62"/>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c r="AG534" s="58"/>
      <c r="AH534" s="58"/>
      <c r="AI534" s="58"/>
      <c r="AJ534" s="58"/>
      <c r="AK534" s="58"/>
      <c r="AL534" s="58"/>
      <c r="AM534" s="58"/>
      <c r="AN534" s="58"/>
      <c r="AO534" s="58"/>
      <c r="AP534" s="58"/>
      <c r="AQ534" s="58"/>
      <c r="AR534" s="58"/>
    </row>
    <row r="535" spans="1:44" ht="15.75" customHeight="1" x14ac:dyDescent="0.25">
      <c r="A535" s="64"/>
      <c r="B535" s="62"/>
      <c r="C535" s="62"/>
      <c r="D535" s="62"/>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c r="AG535" s="58"/>
      <c r="AH535" s="58"/>
      <c r="AI535" s="58"/>
      <c r="AJ535" s="58"/>
      <c r="AK535" s="58"/>
      <c r="AL535" s="58"/>
      <c r="AM535" s="58"/>
      <c r="AN535" s="58"/>
      <c r="AO535" s="58"/>
      <c r="AP535" s="58"/>
      <c r="AQ535" s="58"/>
      <c r="AR535" s="58"/>
    </row>
    <row r="536" spans="1:44" ht="15.75" customHeight="1" x14ac:dyDescent="0.25">
      <c r="A536" s="64"/>
      <c r="B536" s="62"/>
      <c r="C536" s="62"/>
      <c r="D536" s="62"/>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c r="AI536" s="58"/>
      <c r="AJ536" s="58"/>
      <c r="AK536" s="58"/>
      <c r="AL536" s="58"/>
      <c r="AM536" s="58"/>
      <c r="AN536" s="58"/>
      <c r="AO536" s="58"/>
      <c r="AP536" s="58"/>
      <c r="AQ536" s="58"/>
      <c r="AR536" s="58"/>
    </row>
    <row r="537" spans="1:44" ht="15.75" customHeight="1" x14ac:dyDescent="0.25">
      <c r="A537" s="64"/>
      <c r="B537" s="62"/>
      <c r="C537" s="62"/>
      <c r="D537" s="62"/>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c r="AE537" s="58"/>
      <c r="AF537" s="58"/>
      <c r="AG537" s="58"/>
      <c r="AH537" s="58"/>
      <c r="AI537" s="58"/>
      <c r="AJ537" s="58"/>
      <c r="AK537" s="58"/>
      <c r="AL537" s="58"/>
      <c r="AM537" s="58"/>
      <c r="AN537" s="58"/>
      <c r="AO537" s="58"/>
      <c r="AP537" s="58"/>
      <c r="AQ537" s="58"/>
      <c r="AR537" s="58"/>
    </row>
    <row r="538" spans="1:44" ht="15.75" customHeight="1" x14ac:dyDescent="0.25">
      <c r="A538" s="64"/>
      <c r="B538" s="62"/>
      <c r="C538" s="62"/>
      <c r="D538" s="62"/>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c r="AE538" s="58"/>
      <c r="AF538" s="58"/>
      <c r="AG538" s="58"/>
      <c r="AH538" s="58"/>
      <c r="AI538" s="58"/>
      <c r="AJ538" s="58"/>
      <c r="AK538" s="58"/>
      <c r="AL538" s="58"/>
      <c r="AM538" s="58"/>
      <c r="AN538" s="58"/>
      <c r="AO538" s="58"/>
      <c r="AP538" s="58"/>
      <c r="AQ538" s="58"/>
      <c r="AR538" s="58"/>
    </row>
    <row r="539" spans="1:44" ht="15.75" customHeight="1" x14ac:dyDescent="0.25">
      <c r="A539" s="64"/>
      <c r="B539" s="62"/>
      <c r="C539" s="62"/>
      <c r="D539" s="62"/>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c r="AE539" s="58"/>
      <c r="AF539" s="58"/>
      <c r="AG539" s="58"/>
      <c r="AH539" s="58"/>
      <c r="AI539" s="58"/>
      <c r="AJ539" s="58"/>
      <c r="AK539" s="58"/>
      <c r="AL539" s="58"/>
      <c r="AM539" s="58"/>
      <c r="AN539" s="58"/>
      <c r="AO539" s="58"/>
      <c r="AP539" s="58"/>
      <c r="AQ539" s="58"/>
      <c r="AR539" s="58"/>
    </row>
    <row r="540" spans="1:44" ht="15.75" customHeight="1" x14ac:dyDescent="0.25">
      <c r="A540" s="64"/>
      <c r="B540" s="62"/>
      <c r="C540" s="62"/>
      <c r="D540" s="62"/>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c r="AE540" s="58"/>
      <c r="AF540" s="58"/>
      <c r="AG540" s="58"/>
      <c r="AH540" s="58"/>
      <c r="AI540" s="58"/>
      <c r="AJ540" s="58"/>
      <c r="AK540" s="58"/>
      <c r="AL540" s="58"/>
      <c r="AM540" s="58"/>
      <c r="AN540" s="58"/>
      <c r="AO540" s="58"/>
      <c r="AP540" s="58"/>
      <c r="AQ540" s="58"/>
      <c r="AR540" s="58"/>
    </row>
    <row r="541" spans="1:44" ht="15.75" customHeight="1" x14ac:dyDescent="0.25">
      <c r="A541" s="64"/>
      <c r="B541" s="62"/>
      <c r="C541" s="62"/>
      <c r="D541" s="62"/>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c r="AE541" s="58"/>
      <c r="AF541" s="58"/>
      <c r="AG541" s="58"/>
      <c r="AH541" s="58"/>
      <c r="AI541" s="58"/>
      <c r="AJ541" s="58"/>
      <c r="AK541" s="58"/>
      <c r="AL541" s="58"/>
      <c r="AM541" s="58"/>
      <c r="AN541" s="58"/>
      <c r="AO541" s="58"/>
      <c r="AP541" s="58"/>
      <c r="AQ541" s="58"/>
      <c r="AR541" s="58"/>
    </row>
    <row r="542" spans="1:44" ht="15.75" customHeight="1" x14ac:dyDescent="0.25">
      <c r="A542" s="64"/>
      <c r="B542" s="62"/>
      <c r="C542" s="62"/>
      <c r="D542" s="62"/>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c r="AE542" s="58"/>
      <c r="AF542" s="58"/>
      <c r="AG542" s="58"/>
      <c r="AH542" s="58"/>
      <c r="AI542" s="58"/>
      <c r="AJ542" s="58"/>
      <c r="AK542" s="58"/>
      <c r="AL542" s="58"/>
      <c r="AM542" s="58"/>
      <c r="AN542" s="58"/>
      <c r="AO542" s="58"/>
      <c r="AP542" s="58"/>
      <c r="AQ542" s="58"/>
      <c r="AR542" s="58"/>
    </row>
    <row r="543" spans="1:44" ht="15.75" customHeight="1" x14ac:dyDescent="0.25">
      <c r="A543" s="64"/>
      <c r="B543" s="62"/>
      <c r="C543" s="62"/>
      <c r="D543" s="62"/>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c r="AE543" s="58"/>
      <c r="AF543" s="58"/>
      <c r="AG543" s="58"/>
      <c r="AH543" s="58"/>
      <c r="AI543" s="58"/>
      <c r="AJ543" s="58"/>
      <c r="AK543" s="58"/>
      <c r="AL543" s="58"/>
      <c r="AM543" s="58"/>
      <c r="AN543" s="58"/>
      <c r="AO543" s="58"/>
      <c r="AP543" s="58"/>
      <c r="AQ543" s="58"/>
      <c r="AR543" s="58"/>
    </row>
    <row r="544" spans="1:44" ht="15.75" customHeight="1" x14ac:dyDescent="0.25">
      <c r="A544" s="64"/>
      <c r="B544" s="62"/>
      <c r="C544" s="62"/>
      <c r="D544" s="62"/>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c r="AE544" s="58"/>
      <c r="AF544" s="58"/>
      <c r="AG544" s="58"/>
      <c r="AH544" s="58"/>
      <c r="AI544" s="58"/>
      <c r="AJ544" s="58"/>
      <c r="AK544" s="58"/>
      <c r="AL544" s="58"/>
      <c r="AM544" s="58"/>
      <c r="AN544" s="58"/>
      <c r="AO544" s="58"/>
      <c r="AP544" s="58"/>
      <c r="AQ544" s="58"/>
      <c r="AR544" s="58"/>
    </row>
    <row r="545" spans="1:44" ht="15.75" customHeight="1" x14ac:dyDescent="0.25">
      <c r="A545" s="64"/>
      <c r="B545" s="62"/>
      <c r="C545" s="62"/>
      <c r="D545" s="62"/>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c r="AE545" s="58"/>
      <c r="AF545" s="58"/>
      <c r="AG545" s="58"/>
      <c r="AH545" s="58"/>
      <c r="AI545" s="58"/>
      <c r="AJ545" s="58"/>
      <c r="AK545" s="58"/>
      <c r="AL545" s="58"/>
      <c r="AM545" s="58"/>
      <c r="AN545" s="58"/>
      <c r="AO545" s="58"/>
      <c r="AP545" s="58"/>
      <c r="AQ545" s="58"/>
      <c r="AR545" s="58"/>
    </row>
    <row r="546" spans="1:44" ht="15.75" customHeight="1" x14ac:dyDescent="0.25">
      <c r="A546" s="64"/>
      <c r="B546" s="62"/>
      <c r="C546" s="62"/>
      <c r="D546" s="62"/>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c r="AE546" s="58"/>
      <c r="AF546" s="58"/>
      <c r="AG546" s="58"/>
      <c r="AH546" s="58"/>
      <c r="AI546" s="58"/>
      <c r="AJ546" s="58"/>
      <c r="AK546" s="58"/>
      <c r="AL546" s="58"/>
      <c r="AM546" s="58"/>
      <c r="AN546" s="58"/>
      <c r="AO546" s="58"/>
      <c r="AP546" s="58"/>
      <c r="AQ546" s="58"/>
      <c r="AR546" s="58"/>
    </row>
    <row r="547" spans="1:44" ht="15.75" customHeight="1" x14ac:dyDescent="0.25">
      <c r="A547" s="64"/>
      <c r="B547" s="62"/>
      <c r="C547" s="62"/>
      <c r="D547" s="62"/>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c r="AE547" s="58"/>
      <c r="AF547" s="58"/>
      <c r="AG547" s="58"/>
      <c r="AH547" s="58"/>
      <c r="AI547" s="58"/>
      <c r="AJ547" s="58"/>
      <c r="AK547" s="58"/>
      <c r="AL547" s="58"/>
      <c r="AM547" s="58"/>
      <c r="AN547" s="58"/>
      <c r="AO547" s="58"/>
      <c r="AP547" s="58"/>
      <c r="AQ547" s="58"/>
      <c r="AR547" s="58"/>
    </row>
    <row r="548" spans="1:44" ht="15.75" customHeight="1" x14ac:dyDescent="0.25">
      <c r="A548" s="64"/>
      <c r="B548" s="62"/>
      <c r="C548" s="62"/>
      <c r="D548" s="62"/>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c r="AE548" s="58"/>
      <c r="AF548" s="58"/>
      <c r="AG548" s="58"/>
      <c r="AH548" s="58"/>
      <c r="AI548" s="58"/>
      <c r="AJ548" s="58"/>
      <c r="AK548" s="58"/>
      <c r="AL548" s="58"/>
      <c r="AM548" s="58"/>
      <c r="AN548" s="58"/>
      <c r="AO548" s="58"/>
      <c r="AP548" s="58"/>
      <c r="AQ548" s="58"/>
      <c r="AR548" s="58"/>
    </row>
    <row r="549" spans="1:44" ht="15.75" customHeight="1" x14ac:dyDescent="0.25">
      <c r="A549" s="64"/>
      <c r="B549" s="62"/>
      <c r="C549" s="62"/>
      <c r="D549" s="62"/>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c r="AE549" s="58"/>
      <c r="AF549" s="58"/>
      <c r="AG549" s="58"/>
      <c r="AH549" s="58"/>
      <c r="AI549" s="58"/>
      <c r="AJ549" s="58"/>
      <c r="AK549" s="58"/>
      <c r="AL549" s="58"/>
      <c r="AM549" s="58"/>
      <c r="AN549" s="58"/>
      <c r="AO549" s="58"/>
      <c r="AP549" s="58"/>
      <c r="AQ549" s="58"/>
      <c r="AR549" s="58"/>
    </row>
    <row r="550" spans="1:44" ht="15.75" customHeight="1" x14ac:dyDescent="0.25">
      <c r="A550" s="64"/>
      <c r="B550" s="62"/>
      <c r="C550" s="62"/>
      <c r="D550" s="62"/>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c r="AE550" s="58"/>
      <c r="AF550" s="58"/>
      <c r="AG550" s="58"/>
      <c r="AH550" s="58"/>
      <c r="AI550" s="58"/>
      <c r="AJ550" s="58"/>
      <c r="AK550" s="58"/>
      <c r="AL550" s="58"/>
      <c r="AM550" s="58"/>
      <c r="AN550" s="58"/>
      <c r="AO550" s="58"/>
      <c r="AP550" s="58"/>
      <c r="AQ550" s="58"/>
      <c r="AR550" s="58"/>
    </row>
    <row r="551" spans="1:44" ht="15.75" customHeight="1" x14ac:dyDescent="0.25">
      <c r="A551" s="64"/>
      <c r="B551" s="62"/>
      <c r="C551" s="62"/>
      <c r="D551" s="62"/>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c r="AE551" s="58"/>
      <c r="AF551" s="58"/>
      <c r="AG551" s="58"/>
      <c r="AH551" s="58"/>
      <c r="AI551" s="58"/>
      <c r="AJ551" s="58"/>
      <c r="AK551" s="58"/>
      <c r="AL551" s="58"/>
      <c r="AM551" s="58"/>
      <c r="AN551" s="58"/>
      <c r="AO551" s="58"/>
      <c r="AP551" s="58"/>
      <c r="AQ551" s="58"/>
      <c r="AR551" s="58"/>
    </row>
    <row r="552" spans="1:44" ht="15.75" customHeight="1" x14ac:dyDescent="0.25">
      <c r="A552" s="64"/>
      <c r="B552" s="62"/>
      <c r="C552" s="62"/>
      <c r="D552" s="62"/>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c r="AE552" s="58"/>
      <c r="AF552" s="58"/>
      <c r="AG552" s="58"/>
      <c r="AH552" s="58"/>
      <c r="AI552" s="58"/>
      <c r="AJ552" s="58"/>
      <c r="AK552" s="58"/>
      <c r="AL552" s="58"/>
      <c r="AM552" s="58"/>
      <c r="AN552" s="58"/>
      <c r="AO552" s="58"/>
      <c r="AP552" s="58"/>
      <c r="AQ552" s="58"/>
      <c r="AR552" s="58"/>
    </row>
    <row r="553" spans="1:44" ht="15.75" customHeight="1" x14ac:dyDescent="0.25">
      <c r="A553" s="64"/>
      <c r="B553" s="62"/>
      <c r="C553" s="62"/>
      <c r="D553" s="62"/>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c r="AE553" s="58"/>
      <c r="AF553" s="58"/>
      <c r="AG553" s="58"/>
      <c r="AH553" s="58"/>
      <c r="AI553" s="58"/>
      <c r="AJ553" s="58"/>
      <c r="AK553" s="58"/>
      <c r="AL553" s="58"/>
      <c r="AM553" s="58"/>
      <c r="AN553" s="58"/>
      <c r="AO553" s="58"/>
      <c r="AP553" s="58"/>
      <c r="AQ553" s="58"/>
      <c r="AR553" s="58"/>
    </row>
    <row r="554" spans="1:44" ht="15.75" customHeight="1" x14ac:dyDescent="0.25">
      <c r="A554" s="64"/>
      <c r="B554" s="62"/>
      <c r="C554" s="62"/>
      <c r="D554" s="62"/>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c r="AE554" s="58"/>
      <c r="AF554" s="58"/>
      <c r="AG554" s="58"/>
      <c r="AH554" s="58"/>
      <c r="AI554" s="58"/>
      <c r="AJ554" s="58"/>
      <c r="AK554" s="58"/>
      <c r="AL554" s="58"/>
      <c r="AM554" s="58"/>
      <c r="AN554" s="58"/>
      <c r="AO554" s="58"/>
      <c r="AP554" s="58"/>
      <c r="AQ554" s="58"/>
      <c r="AR554" s="58"/>
    </row>
    <row r="555" spans="1:44" ht="15.75" customHeight="1" x14ac:dyDescent="0.25">
      <c r="A555" s="64"/>
      <c r="B555" s="62"/>
      <c r="C555" s="62"/>
      <c r="D555" s="62"/>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c r="AE555" s="58"/>
      <c r="AF555" s="58"/>
      <c r="AG555" s="58"/>
      <c r="AH555" s="58"/>
      <c r="AI555" s="58"/>
      <c r="AJ555" s="58"/>
      <c r="AK555" s="58"/>
      <c r="AL555" s="58"/>
      <c r="AM555" s="58"/>
      <c r="AN555" s="58"/>
      <c r="AO555" s="58"/>
      <c r="AP555" s="58"/>
      <c r="AQ555" s="58"/>
      <c r="AR555" s="58"/>
    </row>
    <row r="556" spans="1:44" ht="15.75" customHeight="1" x14ac:dyDescent="0.25">
      <c r="A556" s="64"/>
      <c r="B556" s="62"/>
      <c r="C556" s="62"/>
      <c r="D556" s="62"/>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c r="AG556" s="58"/>
      <c r="AH556" s="58"/>
      <c r="AI556" s="58"/>
      <c r="AJ556" s="58"/>
      <c r="AK556" s="58"/>
      <c r="AL556" s="58"/>
      <c r="AM556" s="58"/>
      <c r="AN556" s="58"/>
      <c r="AO556" s="58"/>
      <c r="AP556" s="58"/>
      <c r="AQ556" s="58"/>
      <c r="AR556" s="58"/>
    </row>
    <row r="557" spans="1:44" ht="15.75" customHeight="1" x14ac:dyDescent="0.25">
      <c r="A557" s="64"/>
      <c r="B557" s="62"/>
      <c r="C557" s="62"/>
      <c r="D557" s="62"/>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c r="AE557" s="58"/>
      <c r="AF557" s="58"/>
      <c r="AG557" s="58"/>
      <c r="AH557" s="58"/>
      <c r="AI557" s="58"/>
      <c r="AJ557" s="58"/>
      <c r="AK557" s="58"/>
      <c r="AL557" s="58"/>
      <c r="AM557" s="58"/>
      <c r="AN557" s="58"/>
      <c r="AO557" s="58"/>
      <c r="AP557" s="58"/>
      <c r="AQ557" s="58"/>
      <c r="AR557" s="58"/>
    </row>
    <row r="558" spans="1:44" ht="15.75" customHeight="1" x14ac:dyDescent="0.25">
      <c r="A558" s="64"/>
      <c r="B558" s="62"/>
      <c r="C558" s="62"/>
      <c r="D558" s="62"/>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c r="AE558" s="58"/>
      <c r="AF558" s="58"/>
      <c r="AG558" s="58"/>
      <c r="AH558" s="58"/>
      <c r="AI558" s="58"/>
      <c r="AJ558" s="58"/>
      <c r="AK558" s="58"/>
      <c r="AL558" s="58"/>
      <c r="AM558" s="58"/>
      <c r="AN558" s="58"/>
      <c r="AO558" s="58"/>
      <c r="AP558" s="58"/>
      <c r="AQ558" s="58"/>
      <c r="AR558" s="58"/>
    </row>
    <row r="559" spans="1:44" ht="15.75" customHeight="1" x14ac:dyDescent="0.25">
      <c r="A559" s="64"/>
      <c r="B559" s="62"/>
      <c r="C559" s="62"/>
      <c r="D559" s="62"/>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c r="AE559" s="58"/>
      <c r="AF559" s="58"/>
      <c r="AG559" s="58"/>
      <c r="AH559" s="58"/>
      <c r="AI559" s="58"/>
      <c r="AJ559" s="58"/>
      <c r="AK559" s="58"/>
      <c r="AL559" s="58"/>
      <c r="AM559" s="58"/>
      <c r="AN559" s="58"/>
      <c r="AO559" s="58"/>
      <c r="AP559" s="58"/>
      <c r="AQ559" s="58"/>
      <c r="AR559" s="58"/>
    </row>
    <row r="560" spans="1:44" ht="15.75" customHeight="1" x14ac:dyDescent="0.25">
      <c r="A560" s="64"/>
      <c r="B560" s="62"/>
      <c r="C560" s="62"/>
      <c r="D560" s="62"/>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c r="AE560" s="58"/>
      <c r="AF560" s="58"/>
      <c r="AG560" s="58"/>
      <c r="AH560" s="58"/>
      <c r="AI560" s="58"/>
      <c r="AJ560" s="58"/>
      <c r="AK560" s="58"/>
      <c r="AL560" s="58"/>
      <c r="AM560" s="58"/>
      <c r="AN560" s="58"/>
      <c r="AO560" s="58"/>
      <c r="AP560" s="58"/>
      <c r="AQ560" s="58"/>
      <c r="AR560" s="58"/>
    </row>
    <row r="561" spans="1:44" ht="15.75" customHeight="1" x14ac:dyDescent="0.25">
      <c r="A561" s="64"/>
      <c r="B561" s="62"/>
      <c r="C561" s="62"/>
      <c r="D561" s="62"/>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c r="AE561" s="58"/>
      <c r="AF561" s="58"/>
      <c r="AG561" s="58"/>
      <c r="AH561" s="58"/>
      <c r="AI561" s="58"/>
      <c r="AJ561" s="58"/>
      <c r="AK561" s="58"/>
      <c r="AL561" s="58"/>
      <c r="AM561" s="58"/>
      <c r="AN561" s="58"/>
      <c r="AO561" s="58"/>
      <c r="AP561" s="58"/>
      <c r="AQ561" s="58"/>
      <c r="AR561" s="58"/>
    </row>
    <row r="562" spans="1:44" ht="15.75" customHeight="1" x14ac:dyDescent="0.25">
      <c r="A562" s="64"/>
      <c r="B562" s="62"/>
      <c r="C562" s="62"/>
      <c r="D562" s="62"/>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c r="AE562" s="58"/>
      <c r="AF562" s="58"/>
      <c r="AG562" s="58"/>
      <c r="AH562" s="58"/>
      <c r="AI562" s="58"/>
      <c r="AJ562" s="58"/>
      <c r="AK562" s="58"/>
      <c r="AL562" s="58"/>
      <c r="AM562" s="58"/>
      <c r="AN562" s="58"/>
      <c r="AO562" s="58"/>
      <c r="AP562" s="58"/>
      <c r="AQ562" s="58"/>
      <c r="AR562" s="58"/>
    </row>
    <row r="563" spans="1:44" ht="15.75" customHeight="1" x14ac:dyDescent="0.25">
      <c r="A563" s="64"/>
      <c r="B563" s="62"/>
      <c r="C563" s="62"/>
      <c r="D563" s="62"/>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c r="AE563" s="58"/>
      <c r="AF563" s="58"/>
      <c r="AG563" s="58"/>
      <c r="AH563" s="58"/>
      <c r="AI563" s="58"/>
      <c r="AJ563" s="58"/>
      <c r="AK563" s="58"/>
      <c r="AL563" s="58"/>
      <c r="AM563" s="58"/>
      <c r="AN563" s="58"/>
      <c r="AO563" s="58"/>
      <c r="AP563" s="58"/>
      <c r="AQ563" s="58"/>
      <c r="AR563" s="58"/>
    </row>
    <row r="564" spans="1:44" ht="15.75" customHeight="1" x14ac:dyDescent="0.25">
      <c r="A564" s="64"/>
      <c r="B564" s="62"/>
      <c r="C564" s="62"/>
      <c r="D564" s="62"/>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c r="AE564" s="58"/>
      <c r="AF564" s="58"/>
      <c r="AG564" s="58"/>
      <c r="AH564" s="58"/>
      <c r="AI564" s="58"/>
      <c r="AJ564" s="58"/>
      <c r="AK564" s="58"/>
      <c r="AL564" s="58"/>
      <c r="AM564" s="58"/>
      <c r="AN564" s="58"/>
      <c r="AO564" s="58"/>
      <c r="AP564" s="58"/>
      <c r="AQ564" s="58"/>
      <c r="AR564" s="58"/>
    </row>
    <row r="565" spans="1:44" ht="15.75" customHeight="1" x14ac:dyDescent="0.25">
      <c r="A565" s="64"/>
      <c r="B565" s="62"/>
      <c r="C565" s="62"/>
      <c r="D565" s="62"/>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c r="AE565" s="58"/>
      <c r="AF565" s="58"/>
      <c r="AG565" s="58"/>
      <c r="AH565" s="58"/>
      <c r="AI565" s="58"/>
      <c r="AJ565" s="58"/>
      <c r="AK565" s="58"/>
      <c r="AL565" s="58"/>
      <c r="AM565" s="58"/>
      <c r="AN565" s="58"/>
      <c r="AO565" s="58"/>
      <c r="AP565" s="58"/>
      <c r="AQ565" s="58"/>
      <c r="AR565" s="58"/>
    </row>
    <row r="566" spans="1:44" ht="15.75" customHeight="1" x14ac:dyDescent="0.25">
      <c r="A566" s="64"/>
      <c r="B566" s="62"/>
      <c r="C566" s="62"/>
      <c r="D566" s="62"/>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c r="AE566" s="58"/>
      <c r="AF566" s="58"/>
      <c r="AG566" s="58"/>
      <c r="AH566" s="58"/>
      <c r="AI566" s="58"/>
      <c r="AJ566" s="58"/>
      <c r="AK566" s="58"/>
      <c r="AL566" s="58"/>
      <c r="AM566" s="58"/>
      <c r="AN566" s="58"/>
      <c r="AO566" s="58"/>
      <c r="AP566" s="58"/>
      <c r="AQ566" s="58"/>
      <c r="AR566" s="58"/>
    </row>
    <row r="567" spans="1:44" ht="15.75" customHeight="1" x14ac:dyDescent="0.25">
      <c r="A567" s="64"/>
      <c r="B567" s="62"/>
      <c r="C567" s="62"/>
      <c r="D567" s="62"/>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c r="AE567" s="58"/>
      <c r="AF567" s="58"/>
      <c r="AG567" s="58"/>
      <c r="AH567" s="58"/>
      <c r="AI567" s="58"/>
      <c r="AJ567" s="58"/>
      <c r="AK567" s="58"/>
      <c r="AL567" s="58"/>
      <c r="AM567" s="58"/>
      <c r="AN567" s="58"/>
      <c r="AO567" s="58"/>
      <c r="AP567" s="58"/>
      <c r="AQ567" s="58"/>
      <c r="AR567" s="58"/>
    </row>
    <row r="568" spans="1:44" ht="15.75" customHeight="1" x14ac:dyDescent="0.25">
      <c r="A568" s="64"/>
      <c r="B568" s="62"/>
      <c r="C568" s="62"/>
      <c r="D568" s="62"/>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c r="AE568" s="58"/>
      <c r="AF568" s="58"/>
      <c r="AG568" s="58"/>
      <c r="AH568" s="58"/>
      <c r="AI568" s="58"/>
      <c r="AJ568" s="58"/>
      <c r="AK568" s="58"/>
      <c r="AL568" s="58"/>
      <c r="AM568" s="58"/>
      <c r="AN568" s="58"/>
      <c r="AO568" s="58"/>
      <c r="AP568" s="58"/>
      <c r="AQ568" s="58"/>
      <c r="AR568" s="58"/>
    </row>
    <row r="569" spans="1:44" ht="15.75" customHeight="1" x14ac:dyDescent="0.25">
      <c r="A569" s="64"/>
      <c r="B569" s="62"/>
      <c r="C569" s="62"/>
      <c r="D569" s="62"/>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c r="AE569" s="58"/>
      <c r="AF569" s="58"/>
      <c r="AG569" s="58"/>
      <c r="AH569" s="58"/>
      <c r="AI569" s="58"/>
      <c r="AJ569" s="58"/>
      <c r="AK569" s="58"/>
      <c r="AL569" s="58"/>
      <c r="AM569" s="58"/>
      <c r="AN569" s="58"/>
      <c r="AO569" s="58"/>
      <c r="AP569" s="58"/>
      <c r="AQ569" s="58"/>
      <c r="AR569" s="58"/>
    </row>
    <row r="570" spans="1:44" ht="15.75" customHeight="1" x14ac:dyDescent="0.25">
      <c r="A570" s="64"/>
      <c r="B570" s="62"/>
      <c r="C570" s="62"/>
      <c r="D570" s="62"/>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c r="AE570" s="58"/>
      <c r="AF570" s="58"/>
      <c r="AG570" s="58"/>
      <c r="AH570" s="58"/>
      <c r="AI570" s="58"/>
      <c r="AJ570" s="58"/>
      <c r="AK570" s="58"/>
      <c r="AL570" s="58"/>
      <c r="AM570" s="58"/>
      <c r="AN570" s="58"/>
      <c r="AO570" s="58"/>
      <c r="AP570" s="58"/>
      <c r="AQ570" s="58"/>
      <c r="AR570" s="58"/>
    </row>
    <row r="571" spans="1:44" ht="15.75" customHeight="1" x14ac:dyDescent="0.25">
      <c r="A571" s="64"/>
      <c r="B571" s="62"/>
      <c r="C571" s="62"/>
      <c r="D571" s="62"/>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c r="AE571" s="58"/>
      <c r="AF571" s="58"/>
      <c r="AG571" s="58"/>
      <c r="AH571" s="58"/>
      <c r="AI571" s="58"/>
      <c r="AJ571" s="58"/>
      <c r="AK571" s="58"/>
      <c r="AL571" s="58"/>
      <c r="AM571" s="58"/>
      <c r="AN571" s="58"/>
      <c r="AO571" s="58"/>
      <c r="AP571" s="58"/>
      <c r="AQ571" s="58"/>
      <c r="AR571" s="58"/>
    </row>
    <row r="572" spans="1:44" ht="15.75" customHeight="1" x14ac:dyDescent="0.25">
      <c r="A572" s="64"/>
      <c r="B572" s="62"/>
      <c r="C572" s="62"/>
      <c r="D572" s="62"/>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c r="AE572" s="58"/>
      <c r="AF572" s="58"/>
      <c r="AG572" s="58"/>
      <c r="AH572" s="58"/>
      <c r="AI572" s="58"/>
      <c r="AJ572" s="58"/>
      <c r="AK572" s="58"/>
      <c r="AL572" s="58"/>
      <c r="AM572" s="58"/>
      <c r="AN572" s="58"/>
      <c r="AO572" s="58"/>
      <c r="AP572" s="58"/>
      <c r="AQ572" s="58"/>
      <c r="AR572" s="58"/>
    </row>
    <row r="573" spans="1:44" ht="15.75" customHeight="1" x14ac:dyDescent="0.25">
      <c r="A573" s="64"/>
      <c r="B573" s="62"/>
      <c r="C573" s="62"/>
      <c r="D573" s="62"/>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c r="AE573" s="58"/>
      <c r="AF573" s="58"/>
      <c r="AG573" s="58"/>
      <c r="AH573" s="58"/>
      <c r="AI573" s="58"/>
      <c r="AJ573" s="58"/>
      <c r="AK573" s="58"/>
      <c r="AL573" s="58"/>
      <c r="AM573" s="58"/>
      <c r="AN573" s="58"/>
      <c r="AO573" s="58"/>
      <c r="AP573" s="58"/>
      <c r="AQ573" s="58"/>
      <c r="AR573" s="58"/>
    </row>
    <row r="574" spans="1:44" ht="15.75" customHeight="1" x14ac:dyDescent="0.25">
      <c r="A574" s="64"/>
      <c r="B574" s="62"/>
      <c r="C574" s="62"/>
      <c r="D574" s="62"/>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c r="AE574" s="58"/>
      <c r="AF574" s="58"/>
      <c r="AG574" s="58"/>
      <c r="AH574" s="58"/>
      <c r="AI574" s="58"/>
      <c r="AJ574" s="58"/>
      <c r="AK574" s="58"/>
      <c r="AL574" s="58"/>
      <c r="AM574" s="58"/>
      <c r="AN574" s="58"/>
      <c r="AO574" s="58"/>
      <c r="AP574" s="58"/>
      <c r="AQ574" s="58"/>
      <c r="AR574" s="58"/>
    </row>
    <row r="575" spans="1:44" ht="15.75" customHeight="1" x14ac:dyDescent="0.25">
      <c r="A575" s="64"/>
      <c r="B575" s="62"/>
      <c r="C575" s="62"/>
      <c r="D575" s="62"/>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c r="AE575" s="58"/>
      <c r="AF575" s="58"/>
      <c r="AG575" s="58"/>
      <c r="AH575" s="58"/>
      <c r="AI575" s="58"/>
      <c r="AJ575" s="58"/>
      <c r="AK575" s="58"/>
      <c r="AL575" s="58"/>
      <c r="AM575" s="58"/>
      <c r="AN575" s="58"/>
      <c r="AO575" s="58"/>
      <c r="AP575" s="58"/>
      <c r="AQ575" s="58"/>
      <c r="AR575" s="58"/>
    </row>
    <row r="576" spans="1:44" ht="15.75" customHeight="1" x14ac:dyDescent="0.25">
      <c r="A576" s="64"/>
      <c r="B576" s="62"/>
      <c r="C576" s="62"/>
      <c r="D576" s="62"/>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c r="AE576" s="58"/>
      <c r="AF576" s="58"/>
      <c r="AG576" s="58"/>
      <c r="AH576" s="58"/>
      <c r="AI576" s="58"/>
      <c r="AJ576" s="58"/>
      <c r="AK576" s="58"/>
      <c r="AL576" s="58"/>
      <c r="AM576" s="58"/>
      <c r="AN576" s="58"/>
      <c r="AO576" s="58"/>
      <c r="AP576" s="58"/>
      <c r="AQ576" s="58"/>
      <c r="AR576" s="58"/>
    </row>
    <row r="577" spans="1:44" ht="15.75" customHeight="1" x14ac:dyDescent="0.25">
      <c r="A577" s="64"/>
      <c r="B577" s="62"/>
      <c r="C577" s="62"/>
      <c r="D577" s="62"/>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c r="AE577" s="58"/>
      <c r="AF577" s="58"/>
      <c r="AG577" s="58"/>
      <c r="AH577" s="58"/>
      <c r="AI577" s="58"/>
      <c r="AJ577" s="58"/>
      <c r="AK577" s="58"/>
      <c r="AL577" s="58"/>
      <c r="AM577" s="58"/>
      <c r="AN577" s="58"/>
      <c r="AO577" s="58"/>
      <c r="AP577" s="58"/>
      <c r="AQ577" s="58"/>
      <c r="AR577" s="58"/>
    </row>
    <row r="578" spans="1:44" ht="15.75" customHeight="1" x14ac:dyDescent="0.25">
      <c r="A578" s="64"/>
      <c r="B578" s="62"/>
      <c r="C578" s="62"/>
      <c r="D578" s="62"/>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c r="AE578" s="58"/>
      <c r="AF578" s="58"/>
      <c r="AG578" s="58"/>
      <c r="AH578" s="58"/>
      <c r="AI578" s="58"/>
      <c r="AJ578" s="58"/>
      <c r="AK578" s="58"/>
      <c r="AL578" s="58"/>
      <c r="AM578" s="58"/>
      <c r="AN578" s="58"/>
      <c r="AO578" s="58"/>
      <c r="AP578" s="58"/>
      <c r="AQ578" s="58"/>
      <c r="AR578" s="58"/>
    </row>
    <row r="579" spans="1:44" ht="15.75" customHeight="1" x14ac:dyDescent="0.25">
      <c r="A579" s="64"/>
      <c r="B579" s="62"/>
      <c r="C579" s="62"/>
      <c r="D579" s="62"/>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c r="AE579" s="58"/>
      <c r="AF579" s="58"/>
      <c r="AG579" s="58"/>
      <c r="AH579" s="58"/>
      <c r="AI579" s="58"/>
      <c r="AJ579" s="58"/>
      <c r="AK579" s="58"/>
      <c r="AL579" s="58"/>
      <c r="AM579" s="58"/>
      <c r="AN579" s="58"/>
      <c r="AO579" s="58"/>
      <c r="AP579" s="58"/>
      <c r="AQ579" s="58"/>
      <c r="AR579" s="58"/>
    </row>
    <row r="580" spans="1:44" ht="15.75" customHeight="1" x14ac:dyDescent="0.25">
      <c r="A580" s="64"/>
      <c r="B580" s="62"/>
      <c r="C580" s="62"/>
      <c r="D580" s="62"/>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c r="AE580" s="58"/>
      <c r="AF580" s="58"/>
      <c r="AG580" s="58"/>
      <c r="AH580" s="58"/>
      <c r="AI580" s="58"/>
      <c r="AJ580" s="58"/>
      <c r="AK580" s="58"/>
      <c r="AL580" s="58"/>
      <c r="AM580" s="58"/>
      <c r="AN580" s="58"/>
      <c r="AO580" s="58"/>
      <c r="AP580" s="58"/>
      <c r="AQ580" s="58"/>
      <c r="AR580" s="58"/>
    </row>
    <row r="581" spans="1:44" ht="15.75" customHeight="1" x14ac:dyDescent="0.25">
      <c r="A581" s="64"/>
      <c r="B581" s="62"/>
      <c r="C581" s="62"/>
      <c r="D581" s="62"/>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c r="AE581" s="58"/>
      <c r="AF581" s="58"/>
      <c r="AG581" s="58"/>
      <c r="AH581" s="58"/>
      <c r="AI581" s="58"/>
      <c r="AJ581" s="58"/>
      <c r="AK581" s="58"/>
      <c r="AL581" s="58"/>
      <c r="AM581" s="58"/>
      <c r="AN581" s="58"/>
      <c r="AO581" s="58"/>
      <c r="AP581" s="58"/>
      <c r="AQ581" s="58"/>
      <c r="AR581" s="58"/>
    </row>
    <row r="582" spans="1:44" ht="15.75" customHeight="1" x14ac:dyDescent="0.25">
      <c r="A582" s="64"/>
      <c r="B582" s="62"/>
      <c r="C582" s="62"/>
      <c r="D582" s="62"/>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c r="AE582" s="58"/>
      <c r="AF582" s="58"/>
      <c r="AG582" s="58"/>
      <c r="AH582" s="58"/>
      <c r="AI582" s="58"/>
      <c r="AJ582" s="58"/>
      <c r="AK582" s="58"/>
      <c r="AL582" s="58"/>
      <c r="AM582" s="58"/>
      <c r="AN582" s="58"/>
      <c r="AO582" s="58"/>
      <c r="AP582" s="58"/>
      <c r="AQ582" s="58"/>
      <c r="AR582" s="58"/>
    </row>
    <row r="583" spans="1:44" ht="15.75" customHeight="1" x14ac:dyDescent="0.25">
      <c r="A583" s="64"/>
      <c r="B583" s="62"/>
      <c r="C583" s="62"/>
      <c r="D583" s="62"/>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c r="AE583" s="58"/>
      <c r="AF583" s="58"/>
      <c r="AG583" s="58"/>
      <c r="AH583" s="58"/>
      <c r="AI583" s="58"/>
      <c r="AJ583" s="58"/>
      <c r="AK583" s="58"/>
      <c r="AL583" s="58"/>
      <c r="AM583" s="58"/>
      <c r="AN583" s="58"/>
      <c r="AO583" s="58"/>
      <c r="AP583" s="58"/>
      <c r="AQ583" s="58"/>
      <c r="AR583" s="58"/>
    </row>
    <row r="584" spans="1:44" ht="15.75" customHeight="1" x14ac:dyDescent="0.25">
      <c r="A584" s="64"/>
      <c r="B584" s="62"/>
      <c r="C584" s="62"/>
      <c r="D584" s="62"/>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c r="AE584" s="58"/>
      <c r="AF584" s="58"/>
      <c r="AG584" s="58"/>
      <c r="AH584" s="58"/>
      <c r="AI584" s="58"/>
      <c r="AJ584" s="58"/>
      <c r="AK584" s="58"/>
      <c r="AL584" s="58"/>
      <c r="AM584" s="58"/>
      <c r="AN584" s="58"/>
      <c r="AO584" s="58"/>
      <c r="AP584" s="58"/>
      <c r="AQ584" s="58"/>
      <c r="AR584" s="58"/>
    </row>
    <row r="585" spans="1:44" ht="15.75" customHeight="1" x14ac:dyDescent="0.25">
      <c r="A585" s="64"/>
      <c r="B585" s="62"/>
      <c r="C585" s="62"/>
      <c r="D585" s="62"/>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c r="AE585" s="58"/>
      <c r="AF585" s="58"/>
      <c r="AG585" s="58"/>
      <c r="AH585" s="58"/>
      <c r="AI585" s="58"/>
      <c r="AJ585" s="58"/>
      <c r="AK585" s="58"/>
      <c r="AL585" s="58"/>
      <c r="AM585" s="58"/>
      <c r="AN585" s="58"/>
      <c r="AO585" s="58"/>
      <c r="AP585" s="58"/>
      <c r="AQ585" s="58"/>
      <c r="AR585" s="58"/>
    </row>
    <row r="586" spans="1:44" ht="15.75" customHeight="1" x14ac:dyDescent="0.25">
      <c r="A586" s="64"/>
      <c r="B586" s="62"/>
      <c r="C586" s="62"/>
      <c r="D586" s="62"/>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c r="AE586" s="58"/>
      <c r="AF586" s="58"/>
      <c r="AG586" s="58"/>
      <c r="AH586" s="58"/>
      <c r="AI586" s="58"/>
      <c r="AJ586" s="58"/>
      <c r="AK586" s="58"/>
      <c r="AL586" s="58"/>
      <c r="AM586" s="58"/>
      <c r="AN586" s="58"/>
      <c r="AO586" s="58"/>
      <c r="AP586" s="58"/>
      <c r="AQ586" s="58"/>
      <c r="AR586" s="58"/>
    </row>
    <row r="587" spans="1:44" ht="15.75" customHeight="1" x14ac:dyDescent="0.25">
      <c r="A587" s="64"/>
      <c r="B587" s="62"/>
      <c r="C587" s="62"/>
      <c r="D587" s="62"/>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c r="AE587" s="58"/>
      <c r="AF587" s="58"/>
      <c r="AG587" s="58"/>
      <c r="AH587" s="58"/>
      <c r="AI587" s="58"/>
      <c r="AJ587" s="58"/>
      <c r="AK587" s="58"/>
      <c r="AL587" s="58"/>
      <c r="AM587" s="58"/>
      <c r="AN587" s="58"/>
      <c r="AO587" s="58"/>
      <c r="AP587" s="58"/>
      <c r="AQ587" s="58"/>
      <c r="AR587" s="58"/>
    </row>
    <row r="588" spans="1:44" ht="15.75" customHeight="1" x14ac:dyDescent="0.25">
      <c r="A588" s="64"/>
      <c r="B588" s="62"/>
      <c r="C588" s="62"/>
      <c r="D588" s="62"/>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c r="AE588" s="58"/>
      <c r="AF588" s="58"/>
      <c r="AG588" s="58"/>
      <c r="AH588" s="58"/>
      <c r="AI588" s="58"/>
      <c r="AJ588" s="58"/>
      <c r="AK588" s="58"/>
      <c r="AL588" s="58"/>
      <c r="AM588" s="58"/>
      <c r="AN588" s="58"/>
      <c r="AO588" s="58"/>
      <c r="AP588" s="58"/>
      <c r="AQ588" s="58"/>
      <c r="AR588" s="58"/>
    </row>
    <row r="589" spans="1:44" ht="15.75" customHeight="1" x14ac:dyDescent="0.25">
      <c r="A589" s="64"/>
      <c r="B589" s="62"/>
      <c r="C589" s="62"/>
      <c r="D589" s="62"/>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c r="AE589" s="58"/>
      <c r="AF589" s="58"/>
      <c r="AG589" s="58"/>
      <c r="AH589" s="58"/>
      <c r="AI589" s="58"/>
      <c r="AJ589" s="58"/>
      <c r="AK589" s="58"/>
      <c r="AL589" s="58"/>
      <c r="AM589" s="58"/>
      <c r="AN589" s="58"/>
      <c r="AO589" s="58"/>
      <c r="AP589" s="58"/>
      <c r="AQ589" s="58"/>
      <c r="AR589" s="58"/>
    </row>
    <row r="590" spans="1:44" ht="15.75" customHeight="1" x14ac:dyDescent="0.25">
      <c r="A590" s="64"/>
      <c r="B590" s="62"/>
      <c r="C590" s="62"/>
      <c r="D590" s="62"/>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c r="AE590" s="58"/>
      <c r="AF590" s="58"/>
      <c r="AG590" s="58"/>
      <c r="AH590" s="58"/>
      <c r="AI590" s="58"/>
      <c r="AJ590" s="58"/>
      <c r="AK590" s="58"/>
      <c r="AL590" s="58"/>
      <c r="AM590" s="58"/>
      <c r="AN590" s="58"/>
      <c r="AO590" s="58"/>
      <c r="AP590" s="58"/>
      <c r="AQ590" s="58"/>
      <c r="AR590" s="58"/>
    </row>
    <row r="591" spans="1:44" ht="15.75" customHeight="1" x14ac:dyDescent="0.25">
      <c r="A591" s="64"/>
      <c r="B591" s="62"/>
      <c r="C591" s="62"/>
      <c r="D591" s="62"/>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c r="AE591" s="58"/>
      <c r="AF591" s="58"/>
      <c r="AG591" s="58"/>
      <c r="AH591" s="58"/>
      <c r="AI591" s="58"/>
      <c r="AJ591" s="58"/>
      <c r="AK591" s="58"/>
      <c r="AL591" s="58"/>
      <c r="AM591" s="58"/>
      <c r="AN591" s="58"/>
      <c r="AO591" s="58"/>
      <c r="AP591" s="58"/>
      <c r="AQ591" s="58"/>
      <c r="AR591" s="58"/>
    </row>
    <row r="592" spans="1:44" ht="15.75" customHeight="1" x14ac:dyDescent="0.25">
      <c r="A592" s="64"/>
      <c r="B592" s="62"/>
      <c r="C592" s="62"/>
      <c r="D592" s="62"/>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c r="AE592" s="58"/>
      <c r="AF592" s="58"/>
      <c r="AG592" s="58"/>
      <c r="AH592" s="58"/>
      <c r="AI592" s="58"/>
      <c r="AJ592" s="58"/>
      <c r="AK592" s="58"/>
      <c r="AL592" s="58"/>
      <c r="AM592" s="58"/>
      <c r="AN592" s="58"/>
      <c r="AO592" s="58"/>
      <c r="AP592" s="58"/>
      <c r="AQ592" s="58"/>
      <c r="AR592" s="58"/>
    </row>
    <row r="593" spans="1:44" ht="15.75" customHeight="1" x14ac:dyDescent="0.25">
      <c r="A593" s="64"/>
      <c r="B593" s="62"/>
      <c r="C593" s="62"/>
      <c r="D593" s="62"/>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c r="AE593" s="58"/>
      <c r="AF593" s="58"/>
      <c r="AG593" s="58"/>
      <c r="AH593" s="58"/>
      <c r="AI593" s="58"/>
      <c r="AJ593" s="58"/>
      <c r="AK593" s="58"/>
      <c r="AL593" s="58"/>
      <c r="AM593" s="58"/>
      <c r="AN593" s="58"/>
      <c r="AO593" s="58"/>
      <c r="AP593" s="58"/>
      <c r="AQ593" s="58"/>
      <c r="AR593" s="58"/>
    </row>
    <row r="594" spans="1:44" ht="15.75" customHeight="1" x14ac:dyDescent="0.25">
      <c r="A594" s="64"/>
      <c r="B594" s="62"/>
      <c r="C594" s="62"/>
      <c r="D594" s="62"/>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c r="AE594" s="58"/>
      <c r="AF594" s="58"/>
      <c r="AG594" s="58"/>
      <c r="AH594" s="58"/>
      <c r="AI594" s="58"/>
      <c r="AJ594" s="58"/>
      <c r="AK594" s="58"/>
      <c r="AL594" s="58"/>
      <c r="AM594" s="58"/>
      <c r="AN594" s="58"/>
      <c r="AO594" s="58"/>
      <c r="AP594" s="58"/>
      <c r="AQ594" s="58"/>
      <c r="AR594" s="58"/>
    </row>
    <row r="595" spans="1:44" ht="15.75" customHeight="1" x14ac:dyDescent="0.25">
      <c r="A595" s="64"/>
      <c r="B595" s="62"/>
      <c r="C595" s="62"/>
      <c r="D595" s="62"/>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c r="AE595" s="58"/>
      <c r="AF595" s="58"/>
      <c r="AG595" s="58"/>
      <c r="AH595" s="58"/>
      <c r="AI595" s="58"/>
      <c r="AJ595" s="58"/>
      <c r="AK595" s="58"/>
      <c r="AL595" s="58"/>
      <c r="AM595" s="58"/>
      <c r="AN595" s="58"/>
      <c r="AO595" s="58"/>
      <c r="AP595" s="58"/>
      <c r="AQ595" s="58"/>
      <c r="AR595" s="58"/>
    </row>
    <row r="596" spans="1:44" ht="15.75" customHeight="1" x14ac:dyDescent="0.25">
      <c r="A596" s="64"/>
      <c r="B596" s="62"/>
      <c r="C596" s="62"/>
      <c r="D596" s="62"/>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c r="AE596" s="58"/>
      <c r="AF596" s="58"/>
      <c r="AG596" s="58"/>
      <c r="AH596" s="58"/>
      <c r="AI596" s="58"/>
      <c r="AJ596" s="58"/>
      <c r="AK596" s="58"/>
      <c r="AL596" s="58"/>
      <c r="AM596" s="58"/>
      <c r="AN596" s="58"/>
      <c r="AO596" s="58"/>
      <c r="AP596" s="58"/>
      <c r="AQ596" s="58"/>
      <c r="AR596" s="58"/>
    </row>
    <row r="597" spans="1:44" ht="15.75" customHeight="1" x14ac:dyDescent="0.25">
      <c r="A597" s="64"/>
      <c r="B597" s="62"/>
      <c r="C597" s="62"/>
      <c r="D597" s="62"/>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c r="AE597" s="58"/>
      <c r="AF597" s="58"/>
      <c r="AG597" s="58"/>
      <c r="AH597" s="58"/>
      <c r="AI597" s="58"/>
      <c r="AJ597" s="58"/>
      <c r="AK597" s="58"/>
      <c r="AL597" s="58"/>
      <c r="AM597" s="58"/>
      <c r="AN597" s="58"/>
      <c r="AO597" s="58"/>
      <c r="AP597" s="58"/>
      <c r="AQ597" s="58"/>
      <c r="AR597" s="58"/>
    </row>
    <row r="598" spans="1:44" ht="15.75" customHeight="1" x14ac:dyDescent="0.25">
      <c r="A598" s="64"/>
      <c r="B598" s="62"/>
      <c r="C598" s="62"/>
      <c r="D598" s="62"/>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c r="AE598" s="58"/>
      <c r="AF598" s="58"/>
      <c r="AG598" s="58"/>
      <c r="AH598" s="58"/>
      <c r="AI598" s="58"/>
      <c r="AJ598" s="58"/>
      <c r="AK598" s="58"/>
      <c r="AL598" s="58"/>
      <c r="AM598" s="58"/>
      <c r="AN598" s="58"/>
      <c r="AO598" s="58"/>
      <c r="AP598" s="58"/>
      <c r="AQ598" s="58"/>
      <c r="AR598" s="58"/>
    </row>
    <row r="599" spans="1:44" ht="15.75" customHeight="1" x14ac:dyDescent="0.25">
      <c r="A599" s="64"/>
      <c r="B599" s="62"/>
      <c r="C599" s="62"/>
      <c r="D599" s="62"/>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c r="AE599" s="58"/>
      <c r="AF599" s="58"/>
      <c r="AG599" s="58"/>
      <c r="AH599" s="58"/>
      <c r="AI599" s="58"/>
      <c r="AJ599" s="58"/>
      <c r="AK599" s="58"/>
      <c r="AL599" s="58"/>
      <c r="AM599" s="58"/>
      <c r="AN599" s="58"/>
      <c r="AO599" s="58"/>
      <c r="AP599" s="58"/>
      <c r="AQ599" s="58"/>
      <c r="AR599" s="58"/>
    </row>
    <row r="600" spans="1:44" ht="15.75" customHeight="1" x14ac:dyDescent="0.25">
      <c r="A600" s="64"/>
      <c r="B600" s="62"/>
      <c r="C600" s="62"/>
      <c r="D600" s="62"/>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c r="AE600" s="58"/>
      <c r="AF600" s="58"/>
      <c r="AG600" s="58"/>
      <c r="AH600" s="58"/>
      <c r="AI600" s="58"/>
      <c r="AJ600" s="58"/>
      <c r="AK600" s="58"/>
      <c r="AL600" s="58"/>
      <c r="AM600" s="58"/>
      <c r="AN600" s="58"/>
      <c r="AO600" s="58"/>
      <c r="AP600" s="58"/>
      <c r="AQ600" s="58"/>
      <c r="AR600" s="58"/>
    </row>
    <row r="601" spans="1:44" ht="15.75" customHeight="1" x14ac:dyDescent="0.25">
      <c r="A601" s="64"/>
      <c r="B601" s="62"/>
      <c r="C601" s="62"/>
      <c r="D601" s="62"/>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c r="AE601" s="58"/>
      <c r="AF601" s="58"/>
      <c r="AG601" s="58"/>
      <c r="AH601" s="58"/>
      <c r="AI601" s="58"/>
      <c r="AJ601" s="58"/>
      <c r="AK601" s="58"/>
      <c r="AL601" s="58"/>
      <c r="AM601" s="58"/>
      <c r="AN601" s="58"/>
      <c r="AO601" s="58"/>
      <c r="AP601" s="58"/>
      <c r="AQ601" s="58"/>
      <c r="AR601" s="58"/>
    </row>
    <row r="602" spans="1:44" ht="15.75" customHeight="1" x14ac:dyDescent="0.25">
      <c r="A602" s="64"/>
      <c r="B602" s="62"/>
      <c r="C602" s="62"/>
      <c r="D602" s="62"/>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c r="AE602" s="58"/>
      <c r="AF602" s="58"/>
      <c r="AG602" s="58"/>
      <c r="AH602" s="58"/>
      <c r="AI602" s="58"/>
      <c r="AJ602" s="58"/>
      <c r="AK602" s="58"/>
      <c r="AL602" s="58"/>
      <c r="AM602" s="58"/>
      <c r="AN602" s="58"/>
      <c r="AO602" s="58"/>
      <c r="AP602" s="58"/>
      <c r="AQ602" s="58"/>
      <c r="AR602" s="58"/>
    </row>
    <row r="603" spans="1:44" ht="15.75" customHeight="1" x14ac:dyDescent="0.25">
      <c r="A603" s="64"/>
      <c r="B603" s="62"/>
      <c r="C603" s="62"/>
      <c r="D603" s="62"/>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c r="AE603" s="58"/>
      <c r="AF603" s="58"/>
      <c r="AG603" s="58"/>
      <c r="AH603" s="58"/>
      <c r="AI603" s="58"/>
      <c r="AJ603" s="58"/>
      <c r="AK603" s="58"/>
      <c r="AL603" s="58"/>
      <c r="AM603" s="58"/>
      <c r="AN603" s="58"/>
      <c r="AO603" s="58"/>
      <c r="AP603" s="58"/>
      <c r="AQ603" s="58"/>
      <c r="AR603" s="58"/>
    </row>
    <row r="604" spans="1:44" ht="15.75" customHeight="1" x14ac:dyDescent="0.25">
      <c r="A604" s="64"/>
      <c r="B604" s="62"/>
      <c r="C604" s="62"/>
      <c r="D604" s="62"/>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c r="AE604" s="58"/>
      <c r="AF604" s="58"/>
      <c r="AG604" s="58"/>
      <c r="AH604" s="58"/>
      <c r="AI604" s="58"/>
      <c r="AJ604" s="58"/>
      <c r="AK604" s="58"/>
      <c r="AL604" s="58"/>
      <c r="AM604" s="58"/>
      <c r="AN604" s="58"/>
      <c r="AO604" s="58"/>
      <c r="AP604" s="58"/>
      <c r="AQ604" s="58"/>
      <c r="AR604" s="58"/>
    </row>
    <row r="605" spans="1:44" ht="15.75" customHeight="1" x14ac:dyDescent="0.25">
      <c r="A605" s="64"/>
      <c r="B605" s="62"/>
      <c r="C605" s="62"/>
      <c r="D605" s="62"/>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c r="AE605" s="58"/>
      <c r="AF605" s="58"/>
      <c r="AG605" s="58"/>
      <c r="AH605" s="58"/>
      <c r="AI605" s="58"/>
      <c r="AJ605" s="58"/>
      <c r="AK605" s="58"/>
      <c r="AL605" s="58"/>
      <c r="AM605" s="58"/>
      <c r="AN605" s="58"/>
      <c r="AO605" s="58"/>
      <c r="AP605" s="58"/>
      <c r="AQ605" s="58"/>
      <c r="AR605" s="58"/>
    </row>
    <row r="606" spans="1:44" ht="15.75" customHeight="1" x14ac:dyDescent="0.25">
      <c r="A606" s="64"/>
      <c r="B606" s="62"/>
      <c r="C606" s="62"/>
      <c r="D606" s="62"/>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c r="AE606" s="58"/>
      <c r="AF606" s="58"/>
      <c r="AG606" s="58"/>
      <c r="AH606" s="58"/>
      <c r="AI606" s="58"/>
      <c r="AJ606" s="58"/>
      <c r="AK606" s="58"/>
      <c r="AL606" s="58"/>
      <c r="AM606" s="58"/>
      <c r="AN606" s="58"/>
      <c r="AO606" s="58"/>
      <c r="AP606" s="58"/>
      <c r="AQ606" s="58"/>
      <c r="AR606" s="58"/>
    </row>
    <row r="607" spans="1:44" ht="15.75" customHeight="1" x14ac:dyDescent="0.25">
      <c r="A607" s="64"/>
      <c r="B607" s="62"/>
      <c r="C607" s="62"/>
      <c r="D607" s="62"/>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c r="AE607" s="58"/>
      <c r="AF607" s="58"/>
      <c r="AG607" s="58"/>
      <c r="AH607" s="58"/>
      <c r="AI607" s="58"/>
      <c r="AJ607" s="58"/>
      <c r="AK607" s="58"/>
      <c r="AL607" s="58"/>
      <c r="AM607" s="58"/>
      <c r="AN607" s="58"/>
      <c r="AO607" s="58"/>
      <c r="AP607" s="58"/>
      <c r="AQ607" s="58"/>
      <c r="AR607" s="58"/>
    </row>
    <row r="608" spans="1:44" ht="15.75" customHeight="1" x14ac:dyDescent="0.25">
      <c r="A608" s="64"/>
      <c r="B608" s="62"/>
      <c r="C608" s="62"/>
      <c r="D608" s="62"/>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c r="AE608" s="58"/>
      <c r="AF608" s="58"/>
      <c r="AG608" s="58"/>
      <c r="AH608" s="58"/>
      <c r="AI608" s="58"/>
      <c r="AJ608" s="58"/>
      <c r="AK608" s="58"/>
      <c r="AL608" s="58"/>
      <c r="AM608" s="58"/>
      <c r="AN608" s="58"/>
      <c r="AO608" s="58"/>
      <c r="AP608" s="58"/>
      <c r="AQ608" s="58"/>
      <c r="AR608" s="58"/>
    </row>
    <row r="609" spans="1:44" ht="15.75" customHeight="1" x14ac:dyDescent="0.25">
      <c r="A609" s="64"/>
      <c r="B609" s="62"/>
      <c r="C609" s="62"/>
      <c r="D609" s="62"/>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c r="AE609" s="58"/>
      <c r="AF609" s="58"/>
      <c r="AG609" s="58"/>
      <c r="AH609" s="58"/>
      <c r="AI609" s="58"/>
      <c r="AJ609" s="58"/>
      <c r="AK609" s="58"/>
      <c r="AL609" s="58"/>
      <c r="AM609" s="58"/>
      <c r="AN609" s="58"/>
      <c r="AO609" s="58"/>
      <c r="AP609" s="58"/>
      <c r="AQ609" s="58"/>
      <c r="AR609" s="58"/>
    </row>
    <row r="610" spans="1:44" ht="15.75" customHeight="1" x14ac:dyDescent="0.25">
      <c r="A610" s="64"/>
      <c r="B610" s="62"/>
      <c r="C610" s="62"/>
      <c r="D610" s="62"/>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c r="AE610" s="58"/>
      <c r="AF610" s="58"/>
      <c r="AG610" s="58"/>
      <c r="AH610" s="58"/>
      <c r="AI610" s="58"/>
      <c r="AJ610" s="58"/>
      <c r="AK610" s="58"/>
      <c r="AL610" s="58"/>
      <c r="AM610" s="58"/>
      <c r="AN610" s="58"/>
      <c r="AO610" s="58"/>
      <c r="AP610" s="58"/>
      <c r="AQ610" s="58"/>
      <c r="AR610" s="58"/>
    </row>
    <row r="611" spans="1:44" ht="15.75" customHeight="1" x14ac:dyDescent="0.25">
      <c r="A611" s="64"/>
      <c r="B611" s="62"/>
      <c r="C611" s="62"/>
      <c r="D611" s="62"/>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c r="AE611" s="58"/>
      <c r="AF611" s="58"/>
      <c r="AG611" s="58"/>
      <c r="AH611" s="58"/>
      <c r="AI611" s="58"/>
      <c r="AJ611" s="58"/>
      <c r="AK611" s="58"/>
      <c r="AL611" s="58"/>
      <c r="AM611" s="58"/>
      <c r="AN611" s="58"/>
      <c r="AO611" s="58"/>
      <c r="AP611" s="58"/>
      <c r="AQ611" s="58"/>
      <c r="AR611" s="58"/>
    </row>
    <row r="612" spans="1:44" ht="15.75" customHeight="1" x14ac:dyDescent="0.25">
      <c r="A612" s="64"/>
      <c r="B612" s="62"/>
      <c r="C612" s="62"/>
      <c r="D612" s="62"/>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c r="AE612" s="58"/>
      <c r="AF612" s="58"/>
      <c r="AG612" s="58"/>
      <c r="AH612" s="58"/>
      <c r="AI612" s="58"/>
      <c r="AJ612" s="58"/>
      <c r="AK612" s="58"/>
      <c r="AL612" s="58"/>
      <c r="AM612" s="58"/>
      <c r="AN612" s="58"/>
      <c r="AO612" s="58"/>
      <c r="AP612" s="58"/>
      <c r="AQ612" s="58"/>
      <c r="AR612" s="58"/>
    </row>
    <row r="613" spans="1:44" ht="15.75" customHeight="1" x14ac:dyDescent="0.25">
      <c r="A613" s="64"/>
      <c r="B613" s="62"/>
      <c r="C613" s="62"/>
      <c r="D613" s="62"/>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c r="AE613" s="58"/>
      <c r="AF613" s="58"/>
      <c r="AG613" s="58"/>
      <c r="AH613" s="58"/>
      <c r="AI613" s="58"/>
      <c r="AJ613" s="58"/>
      <c r="AK613" s="58"/>
      <c r="AL613" s="58"/>
      <c r="AM613" s="58"/>
      <c r="AN613" s="58"/>
      <c r="AO613" s="58"/>
      <c r="AP613" s="58"/>
      <c r="AQ613" s="58"/>
      <c r="AR613" s="58"/>
    </row>
    <row r="614" spans="1:44" ht="15.75" customHeight="1" x14ac:dyDescent="0.25">
      <c r="A614" s="64"/>
      <c r="B614" s="62"/>
      <c r="C614" s="62"/>
      <c r="D614" s="62"/>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c r="AE614" s="58"/>
      <c r="AF614" s="58"/>
      <c r="AG614" s="58"/>
      <c r="AH614" s="58"/>
      <c r="AI614" s="58"/>
      <c r="AJ614" s="58"/>
      <c r="AK614" s="58"/>
      <c r="AL614" s="58"/>
      <c r="AM614" s="58"/>
      <c r="AN614" s="58"/>
      <c r="AO614" s="58"/>
      <c r="AP614" s="58"/>
      <c r="AQ614" s="58"/>
      <c r="AR614" s="58"/>
    </row>
    <row r="615" spans="1:44" ht="15.75" customHeight="1" x14ac:dyDescent="0.25">
      <c r="A615" s="64"/>
      <c r="B615" s="62"/>
      <c r="C615" s="62"/>
      <c r="D615" s="62"/>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c r="AE615" s="58"/>
      <c r="AF615" s="58"/>
      <c r="AG615" s="58"/>
      <c r="AH615" s="58"/>
      <c r="AI615" s="58"/>
      <c r="AJ615" s="58"/>
      <c r="AK615" s="58"/>
      <c r="AL615" s="58"/>
      <c r="AM615" s="58"/>
      <c r="AN615" s="58"/>
      <c r="AO615" s="58"/>
      <c r="AP615" s="58"/>
      <c r="AQ615" s="58"/>
      <c r="AR615" s="58"/>
    </row>
    <row r="616" spans="1:44" ht="15.75" customHeight="1" x14ac:dyDescent="0.25">
      <c r="A616" s="64"/>
      <c r="B616" s="62"/>
      <c r="C616" s="62"/>
      <c r="D616" s="62"/>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c r="AE616" s="58"/>
      <c r="AF616" s="58"/>
      <c r="AG616" s="58"/>
      <c r="AH616" s="58"/>
      <c r="AI616" s="58"/>
      <c r="AJ616" s="58"/>
      <c r="AK616" s="58"/>
      <c r="AL616" s="58"/>
      <c r="AM616" s="58"/>
      <c r="AN616" s="58"/>
      <c r="AO616" s="58"/>
      <c r="AP616" s="58"/>
      <c r="AQ616" s="58"/>
      <c r="AR616" s="58"/>
    </row>
    <row r="617" spans="1:44" ht="15.75" customHeight="1" x14ac:dyDescent="0.25">
      <c r="A617" s="64"/>
      <c r="B617" s="62"/>
      <c r="C617" s="62"/>
      <c r="D617" s="62"/>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c r="AE617" s="58"/>
      <c r="AF617" s="58"/>
      <c r="AG617" s="58"/>
      <c r="AH617" s="58"/>
      <c r="AI617" s="58"/>
      <c r="AJ617" s="58"/>
      <c r="AK617" s="58"/>
      <c r="AL617" s="58"/>
      <c r="AM617" s="58"/>
      <c r="AN617" s="58"/>
      <c r="AO617" s="58"/>
      <c r="AP617" s="58"/>
      <c r="AQ617" s="58"/>
      <c r="AR617" s="58"/>
    </row>
    <row r="618" spans="1:44" ht="15.75" customHeight="1" x14ac:dyDescent="0.25">
      <c r="A618" s="64"/>
      <c r="B618" s="62"/>
      <c r="C618" s="62"/>
      <c r="D618" s="62"/>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c r="AG618" s="58"/>
      <c r="AH618" s="58"/>
      <c r="AI618" s="58"/>
      <c r="AJ618" s="58"/>
      <c r="AK618" s="58"/>
      <c r="AL618" s="58"/>
      <c r="AM618" s="58"/>
      <c r="AN618" s="58"/>
      <c r="AO618" s="58"/>
      <c r="AP618" s="58"/>
      <c r="AQ618" s="58"/>
      <c r="AR618" s="58"/>
    </row>
    <row r="619" spans="1:44" ht="15.75" customHeight="1" x14ac:dyDescent="0.25">
      <c r="A619" s="64"/>
      <c r="B619" s="62"/>
      <c r="C619" s="62"/>
      <c r="D619" s="62"/>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c r="AE619" s="58"/>
      <c r="AF619" s="58"/>
      <c r="AG619" s="58"/>
      <c r="AH619" s="58"/>
      <c r="AI619" s="58"/>
      <c r="AJ619" s="58"/>
      <c r="AK619" s="58"/>
      <c r="AL619" s="58"/>
      <c r="AM619" s="58"/>
      <c r="AN619" s="58"/>
      <c r="AO619" s="58"/>
      <c r="AP619" s="58"/>
      <c r="AQ619" s="58"/>
      <c r="AR619" s="58"/>
    </row>
    <row r="620" spans="1:44" ht="15.75" customHeight="1" x14ac:dyDescent="0.25">
      <c r="A620" s="64"/>
      <c r="B620" s="62"/>
      <c r="C620" s="62"/>
      <c r="D620" s="62"/>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c r="AE620" s="58"/>
      <c r="AF620" s="58"/>
      <c r="AG620" s="58"/>
      <c r="AH620" s="58"/>
      <c r="AI620" s="58"/>
      <c r="AJ620" s="58"/>
      <c r="AK620" s="58"/>
      <c r="AL620" s="58"/>
      <c r="AM620" s="58"/>
      <c r="AN620" s="58"/>
      <c r="AO620" s="58"/>
      <c r="AP620" s="58"/>
      <c r="AQ620" s="58"/>
      <c r="AR620" s="58"/>
    </row>
    <row r="621" spans="1:44" ht="15.75" customHeight="1" x14ac:dyDescent="0.25">
      <c r="A621" s="64"/>
      <c r="B621" s="62"/>
      <c r="C621" s="62"/>
      <c r="D621" s="62"/>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c r="AE621" s="58"/>
      <c r="AF621" s="58"/>
      <c r="AG621" s="58"/>
      <c r="AH621" s="58"/>
      <c r="AI621" s="58"/>
      <c r="AJ621" s="58"/>
      <c r="AK621" s="58"/>
      <c r="AL621" s="58"/>
      <c r="AM621" s="58"/>
      <c r="AN621" s="58"/>
      <c r="AO621" s="58"/>
      <c r="AP621" s="58"/>
      <c r="AQ621" s="58"/>
      <c r="AR621" s="58"/>
    </row>
    <row r="622" spans="1:44" ht="15.75" customHeight="1" x14ac:dyDescent="0.25">
      <c r="A622" s="64"/>
      <c r="B622" s="62"/>
      <c r="C622" s="62"/>
      <c r="D622" s="62"/>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c r="AE622" s="58"/>
      <c r="AF622" s="58"/>
      <c r="AG622" s="58"/>
      <c r="AH622" s="58"/>
      <c r="AI622" s="58"/>
      <c r="AJ622" s="58"/>
      <c r="AK622" s="58"/>
      <c r="AL622" s="58"/>
      <c r="AM622" s="58"/>
      <c r="AN622" s="58"/>
      <c r="AO622" s="58"/>
      <c r="AP622" s="58"/>
      <c r="AQ622" s="58"/>
      <c r="AR622" s="58"/>
    </row>
    <row r="623" spans="1:44" ht="15.75" customHeight="1" x14ac:dyDescent="0.25">
      <c r="A623" s="64"/>
      <c r="B623" s="62"/>
      <c r="C623" s="62"/>
      <c r="D623" s="62"/>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c r="AE623" s="58"/>
      <c r="AF623" s="58"/>
      <c r="AG623" s="58"/>
      <c r="AH623" s="58"/>
      <c r="AI623" s="58"/>
      <c r="AJ623" s="58"/>
      <c r="AK623" s="58"/>
      <c r="AL623" s="58"/>
      <c r="AM623" s="58"/>
      <c r="AN623" s="58"/>
      <c r="AO623" s="58"/>
      <c r="AP623" s="58"/>
      <c r="AQ623" s="58"/>
      <c r="AR623" s="58"/>
    </row>
    <row r="624" spans="1:44" ht="15.75" customHeight="1" x14ac:dyDescent="0.25">
      <c r="A624" s="64"/>
      <c r="B624" s="62"/>
      <c r="C624" s="62"/>
      <c r="D624" s="62"/>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c r="AE624" s="58"/>
      <c r="AF624" s="58"/>
      <c r="AG624" s="58"/>
      <c r="AH624" s="58"/>
      <c r="AI624" s="58"/>
      <c r="AJ624" s="58"/>
      <c r="AK624" s="58"/>
      <c r="AL624" s="58"/>
      <c r="AM624" s="58"/>
      <c r="AN624" s="58"/>
      <c r="AO624" s="58"/>
      <c r="AP624" s="58"/>
      <c r="AQ624" s="58"/>
      <c r="AR624" s="58"/>
    </row>
    <row r="625" spans="1:44" ht="15.75" customHeight="1" x14ac:dyDescent="0.25">
      <c r="A625" s="64"/>
      <c r="B625" s="62"/>
      <c r="C625" s="62"/>
      <c r="D625" s="62"/>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c r="AE625" s="58"/>
      <c r="AF625" s="58"/>
      <c r="AG625" s="58"/>
      <c r="AH625" s="58"/>
      <c r="AI625" s="58"/>
      <c r="AJ625" s="58"/>
      <c r="AK625" s="58"/>
      <c r="AL625" s="58"/>
      <c r="AM625" s="58"/>
      <c r="AN625" s="58"/>
      <c r="AO625" s="58"/>
      <c r="AP625" s="58"/>
      <c r="AQ625" s="58"/>
      <c r="AR625" s="58"/>
    </row>
    <row r="626" spans="1:44" ht="15.75" customHeight="1" x14ac:dyDescent="0.25">
      <c r="A626" s="64"/>
      <c r="B626" s="62"/>
      <c r="C626" s="62"/>
      <c r="D626" s="62"/>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c r="AE626" s="58"/>
      <c r="AF626" s="58"/>
      <c r="AG626" s="58"/>
      <c r="AH626" s="58"/>
      <c r="AI626" s="58"/>
      <c r="AJ626" s="58"/>
      <c r="AK626" s="58"/>
      <c r="AL626" s="58"/>
      <c r="AM626" s="58"/>
      <c r="AN626" s="58"/>
      <c r="AO626" s="58"/>
      <c r="AP626" s="58"/>
      <c r="AQ626" s="58"/>
      <c r="AR626" s="58"/>
    </row>
    <row r="627" spans="1:44" ht="15.75" customHeight="1" x14ac:dyDescent="0.25">
      <c r="A627" s="64"/>
      <c r="B627" s="62"/>
      <c r="C627" s="62"/>
      <c r="D627" s="62"/>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c r="AE627" s="58"/>
      <c r="AF627" s="58"/>
      <c r="AG627" s="58"/>
      <c r="AH627" s="58"/>
      <c r="AI627" s="58"/>
      <c r="AJ627" s="58"/>
      <c r="AK627" s="58"/>
      <c r="AL627" s="58"/>
      <c r="AM627" s="58"/>
      <c r="AN627" s="58"/>
      <c r="AO627" s="58"/>
      <c r="AP627" s="58"/>
      <c r="AQ627" s="58"/>
      <c r="AR627" s="58"/>
    </row>
    <row r="628" spans="1:44" ht="15.75" customHeight="1" x14ac:dyDescent="0.25">
      <c r="A628" s="64"/>
      <c r="B628" s="62"/>
      <c r="C628" s="62"/>
      <c r="D628" s="62"/>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c r="AE628" s="58"/>
      <c r="AF628" s="58"/>
      <c r="AG628" s="58"/>
      <c r="AH628" s="58"/>
      <c r="AI628" s="58"/>
      <c r="AJ628" s="58"/>
      <c r="AK628" s="58"/>
      <c r="AL628" s="58"/>
      <c r="AM628" s="58"/>
      <c r="AN628" s="58"/>
      <c r="AO628" s="58"/>
      <c r="AP628" s="58"/>
      <c r="AQ628" s="58"/>
      <c r="AR628" s="58"/>
    </row>
    <row r="629" spans="1:44" ht="15.75" customHeight="1" x14ac:dyDescent="0.25">
      <c r="A629" s="64"/>
      <c r="B629" s="62"/>
      <c r="C629" s="62"/>
      <c r="D629" s="62"/>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c r="AE629" s="58"/>
      <c r="AF629" s="58"/>
      <c r="AG629" s="58"/>
      <c r="AH629" s="58"/>
      <c r="AI629" s="58"/>
      <c r="AJ629" s="58"/>
      <c r="AK629" s="58"/>
      <c r="AL629" s="58"/>
      <c r="AM629" s="58"/>
      <c r="AN629" s="58"/>
      <c r="AO629" s="58"/>
      <c r="AP629" s="58"/>
      <c r="AQ629" s="58"/>
      <c r="AR629" s="58"/>
    </row>
    <row r="630" spans="1:44" ht="15.75" customHeight="1" x14ac:dyDescent="0.25">
      <c r="A630" s="64"/>
      <c r="B630" s="62"/>
      <c r="C630" s="62"/>
      <c r="D630" s="62"/>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c r="AE630" s="58"/>
      <c r="AF630" s="58"/>
      <c r="AG630" s="58"/>
      <c r="AH630" s="58"/>
      <c r="AI630" s="58"/>
      <c r="AJ630" s="58"/>
      <c r="AK630" s="58"/>
      <c r="AL630" s="58"/>
      <c r="AM630" s="58"/>
      <c r="AN630" s="58"/>
      <c r="AO630" s="58"/>
      <c r="AP630" s="58"/>
      <c r="AQ630" s="58"/>
      <c r="AR630" s="58"/>
    </row>
    <row r="631" spans="1:44" ht="15.75" customHeight="1" x14ac:dyDescent="0.25">
      <c r="A631" s="64"/>
      <c r="B631" s="62"/>
      <c r="C631" s="62"/>
      <c r="D631" s="62"/>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c r="AE631" s="58"/>
      <c r="AF631" s="58"/>
      <c r="AG631" s="58"/>
      <c r="AH631" s="58"/>
      <c r="AI631" s="58"/>
      <c r="AJ631" s="58"/>
      <c r="AK631" s="58"/>
      <c r="AL631" s="58"/>
      <c r="AM631" s="58"/>
      <c r="AN631" s="58"/>
      <c r="AO631" s="58"/>
      <c r="AP631" s="58"/>
      <c r="AQ631" s="58"/>
      <c r="AR631" s="58"/>
    </row>
    <row r="632" spans="1:44" ht="15.75" customHeight="1" x14ac:dyDescent="0.25">
      <c r="A632" s="64"/>
      <c r="B632" s="62"/>
      <c r="C632" s="62"/>
      <c r="D632" s="62"/>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c r="AE632" s="58"/>
      <c r="AF632" s="58"/>
      <c r="AG632" s="58"/>
      <c r="AH632" s="58"/>
      <c r="AI632" s="58"/>
      <c r="AJ632" s="58"/>
      <c r="AK632" s="58"/>
      <c r="AL632" s="58"/>
      <c r="AM632" s="58"/>
      <c r="AN632" s="58"/>
      <c r="AO632" s="58"/>
      <c r="AP632" s="58"/>
      <c r="AQ632" s="58"/>
      <c r="AR632" s="58"/>
    </row>
    <row r="633" spans="1:44" ht="15.75" customHeight="1" x14ac:dyDescent="0.25">
      <c r="A633" s="64"/>
      <c r="B633" s="62"/>
      <c r="C633" s="62"/>
      <c r="D633" s="62"/>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c r="AE633" s="58"/>
      <c r="AF633" s="58"/>
      <c r="AG633" s="58"/>
      <c r="AH633" s="58"/>
      <c r="AI633" s="58"/>
      <c r="AJ633" s="58"/>
      <c r="AK633" s="58"/>
      <c r="AL633" s="58"/>
      <c r="AM633" s="58"/>
      <c r="AN633" s="58"/>
      <c r="AO633" s="58"/>
      <c r="AP633" s="58"/>
      <c r="AQ633" s="58"/>
      <c r="AR633" s="58"/>
    </row>
    <row r="634" spans="1:44" ht="15.75" customHeight="1" x14ac:dyDescent="0.25">
      <c r="A634" s="64"/>
      <c r="B634" s="62"/>
      <c r="C634" s="62"/>
      <c r="D634" s="62"/>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c r="AE634" s="58"/>
      <c r="AF634" s="58"/>
      <c r="AG634" s="58"/>
      <c r="AH634" s="58"/>
      <c r="AI634" s="58"/>
      <c r="AJ634" s="58"/>
      <c r="AK634" s="58"/>
      <c r="AL634" s="58"/>
      <c r="AM634" s="58"/>
      <c r="AN634" s="58"/>
      <c r="AO634" s="58"/>
      <c r="AP634" s="58"/>
      <c r="AQ634" s="58"/>
      <c r="AR634" s="58"/>
    </row>
    <row r="635" spans="1:44" ht="15.75" customHeight="1" x14ac:dyDescent="0.25">
      <c r="A635" s="64"/>
      <c r="B635" s="62"/>
      <c r="C635" s="62"/>
      <c r="D635" s="62"/>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c r="AE635" s="58"/>
      <c r="AF635" s="58"/>
      <c r="AG635" s="58"/>
      <c r="AH635" s="58"/>
      <c r="AI635" s="58"/>
      <c r="AJ635" s="58"/>
      <c r="AK635" s="58"/>
      <c r="AL635" s="58"/>
      <c r="AM635" s="58"/>
      <c r="AN635" s="58"/>
      <c r="AO635" s="58"/>
      <c r="AP635" s="58"/>
      <c r="AQ635" s="58"/>
      <c r="AR635" s="58"/>
    </row>
    <row r="636" spans="1:44" ht="15.75" customHeight="1" x14ac:dyDescent="0.25">
      <c r="A636" s="64"/>
      <c r="B636" s="62"/>
      <c r="C636" s="62"/>
      <c r="D636" s="62"/>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c r="AE636" s="58"/>
      <c r="AF636" s="58"/>
      <c r="AG636" s="58"/>
      <c r="AH636" s="58"/>
      <c r="AI636" s="58"/>
      <c r="AJ636" s="58"/>
      <c r="AK636" s="58"/>
      <c r="AL636" s="58"/>
      <c r="AM636" s="58"/>
      <c r="AN636" s="58"/>
      <c r="AO636" s="58"/>
      <c r="AP636" s="58"/>
      <c r="AQ636" s="58"/>
      <c r="AR636" s="58"/>
    </row>
    <row r="637" spans="1:44" ht="15.75" customHeight="1" x14ac:dyDescent="0.25">
      <c r="A637" s="64"/>
      <c r="B637" s="62"/>
      <c r="C637" s="62"/>
      <c r="D637" s="62"/>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c r="AE637" s="58"/>
      <c r="AF637" s="58"/>
      <c r="AG637" s="58"/>
      <c r="AH637" s="58"/>
      <c r="AI637" s="58"/>
      <c r="AJ637" s="58"/>
      <c r="AK637" s="58"/>
      <c r="AL637" s="58"/>
      <c r="AM637" s="58"/>
      <c r="AN637" s="58"/>
      <c r="AO637" s="58"/>
      <c r="AP637" s="58"/>
      <c r="AQ637" s="58"/>
      <c r="AR637" s="58"/>
    </row>
    <row r="638" spans="1:44" ht="15.75" customHeight="1" x14ac:dyDescent="0.25">
      <c r="A638" s="64"/>
      <c r="B638" s="62"/>
      <c r="C638" s="62"/>
      <c r="D638" s="62"/>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8"/>
      <c r="AI638" s="58"/>
      <c r="AJ638" s="58"/>
      <c r="AK638" s="58"/>
      <c r="AL638" s="58"/>
      <c r="AM638" s="58"/>
      <c r="AN638" s="58"/>
      <c r="AO638" s="58"/>
      <c r="AP638" s="58"/>
      <c r="AQ638" s="58"/>
      <c r="AR638" s="58"/>
    </row>
    <row r="639" spans="1:44" ht="15.75" customHeight="1" x14ac:dyDescent="0.25">
      <c r="A639" s="64"/>
      <c r="B639" s="62"/>
      <c r="C639" s="62"/>
      <c r="D639" s="62"/>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c r="AE639" s="58"/>
      <c r="AF639" s="58"/>
      <c r="AG639" s="58"/>
      <c r="AH639" s="58"/>
      <c r="AI639" s="58"/>
      <c r="AJ639" s="58"/>
      <c r="AK639" s="58"/>
      <c r="AL639" s="58"/>
      <c r="AM639" s="58"/>
      <c r="AN639" s="58"/>
      <c r="AO639" s="58"/>
      <c r="AP639" s="58"/>
      <c r="AQ639" s="58"/>
      <c r="AR639" s="58"/>
    </row>
    <row r="640" spans="1:44" ht="15.75" customHeight="1" x14ac:dyDescent="0.25">
      <c r="A640" s="64"/>
      <c r="B640" s="62"/>
      <c r="C640" s="62"/>
      <c r="D640" s="62"/>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c r="AE640" s="58"/>
      <c r="AF640" s="58"/>
      <c r="AG640" s="58"/>
      <c r="AH640" s="58"/>
      <c r="AI640" s="58"/>
      <c r="AJ640" s="58"/>
      <c r="AK640" s="58"/>
      <c r="AL640" s="58"/>
      <c r="AM640" s="58"/>
      <c r="AN640" s="58"/>
      <c r="AO640" s="58"/>
      <c r="AP640" s="58"/>
      <c r="AQ640" s="58"/>
      <c r="AR640" s="58"/>
    </row>
    <row r="641" spans="1:44" ht="15.75" customHeight="1" x14ac:dyDescent="0.25">
      <c r="A641" s="64"/>
      <c r="B641" s="62"/>
      <c r="C641" s="62"/>
      <c r="D641" s="62"/>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c r="AE641" s="58"/>
      <c r="AF641" s="58"/>
      <c r="AG641" s="58"/>
      <c r="AH641" s="58"/>
      <c r="AI641" s="58"/>
      <c r="AJ641" s="58"/>
      <c r="AK641" s="58"/>
      <c r="AL641" s="58"/>
      <c r="AM641" s="58"/>
      <c r="AN641" s="58"/>
      <c r="AO641" s="58"/>
      <c r="AP641" s="58"/>
      <c r="AQ641" s="58"/>
      <c r="AR641" s="58"/>
    </row>
    <row r="642" spans="1:44" ht="15.75" customHeight="1" x14ac:dyDescent="0.25">
      <c r="A642" s="64"/>
      <c r="B642" s="62"/>
      <c r="C642" s="62"/>
      <c r="D642" s="62"/>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c r="AE642" s="58"/>
      <c r="AF642" s="58"/>
      <c r="AG642" s="58"/>
      <c r="AH642" s="58"/>
      <c r="AI642" s="58"/>
      <c r="AJ642" s="58"/>
      <c r="AK642" s="58"/>
      <c r="AL642" s="58"/>
      <c r="AM642" s="58"/>
      <c r="AN642" s="58"/>
      <c r="AO642" s="58"/>
      <c r="AP642" s="58"/>
      <c r="AQ642" s="58"/>
      <c r="AR642" s="58"/>
    </row>
    <row r="643" spans="1:44" ht="15.75" customHeight="1" x14ac:dyDescent="0.25">
      <c r="A643" s="64"/>
      <c r="B643" s="62"/>
      <c r="C643" s="62"/>
      <c r="D643" s="62"/>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c r="AE643" s="58"/>
      <c r="AF643" s="58"/>
      <c r="AG643" s="58"/>
      <c r="AH643" s="58"/>
      <c r="AI643" s="58"/>
      <c r="AJ643" s="58"/>
      <c r="AK643" s="58"/>
      <c r="AL643" s="58"/>
      <c r="AM643" s="58"/>
      <c r="AN643" s="58"/>
      <c r="AO643" s="58"/>
      <c r="AP643" s="58"/>
      <c r="AQ643" s="58"/>
      <c r="AR643" s="58"/>
    </row>
    <row r="644" spans="1:44" ht="15.75" customHeight="1" x14ac:dyDescent="0.25">
      <c r="A644" s="64"/>
      <c r="B644" s="62"/>
      <c r="C644" s="62"/>
      <c r="D644" s="62"/>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c r="AE644" s="58"/>
      <c r="AF644" s="58"/>
      <c r="AG644" s="58"/>
      <c r="AH644" s="58"/>
      <c r="AI644" s="58"/>
      <c r="AJ644" s="58"/>
      <c r="AK644" s="58"/>
      <c r="AL644" s="58"/>
      <c r="AM644" s="58"/>
      <c r="AN644" s="58"/>
      <c r="AO644" s="58"/>
      <c r="AP644" s="58"/>
      <c r="AQ644" s="58"/>
      <c r="AR644" s="58"/>
    </row>
    <row r="645" spans="1:44" ht="15.75" customHeight="1" x14ac:dyDescent="0.25">
      <c r="A645" s="64"/>
      <c r="B645" s="62"/>
      <c r="C645" s="62"/>
      <c r="D645" s="62"/>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c r="AE645" s="58"/>
      <c r="AF645" s="58"/>
      <c r="AG645" s="58"/>
      <c r="AH645" s="58"/>
      <c r="AI645" s="58"/>
      <c r="AJ645" s="58"/>
      <c r="AK645" s="58"/>
      <c r="AL645" s="58"/>
      <c r="AM645" s="58"/>
      <c r="AN645" s="58"/>
      <c r="AO645" s="58"/>
      <c r="AP645" s="58"/>
      <c r="AQ645" s="58"/>
      <c r="AR645" s="58"/>
    </row>
    <row r="646" spans="1:44" ht="15.75" customHeight="1" x14ac:dyDescent="0.25">
      <c r="A646" s="64"/>
      <c r="B646" s="62"/>
      <c r="C646" s="62"/>
      <c r="D646" s="62"/>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c r="AE646" s="58"/>
      <c r="AF646" s="58"/>
      <c r="AG646" s="58"/>
      <c r="AH646" s="58"/>
      <c r="AI646" s="58"/>
      <c r="AJ646" s="58"/>
      <c r="AK646" s="58"/>
      <c r="AL646" s="58"/>
      <c r="AM646" s="58"/>
      <c r="AN646" s="58"/>
      <c r="AO646" s="58"/>
      <c r="AP646" s="58"/>
      <c r="AQ646" s="58"/>
      <c r="AR646" s="58"/>
    </row>
    <row r="647" spans="1:44" ht="15.75" customHeight="1" x14ac:dyDescent="0.25">
      <c r="A647" s="64"/>
      <c r="B647" s="62"/>
      <c r="C647" s="62"/>
      <c r="D647" s="62"/>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c r="AE647" s="58"/>
      <c r="AF647" s="58"/>
      <c r="AG647" s="58"/>
      <c r="AH647" s="58"/>
      <c r="AI647" s="58"/>
      <c r="AJ647" s="58"/>
      <c r="AK647" s="58"/>
      <c r="AL647" s="58"/>
      <c r="AM647" s="58"/>
      <c r="AN647" s="58"/>
      <c r="AO647" s="58"/>
      <c r="AP647" s="58"/>
      <c r="AQ647" s="58"/>
      <c r="AR647" s="58"/>
    </row>
    <row r="648" spans="1:44" ht="15.75" customHeight="1" x14ac:dyDescent="0.25">
      <c r="A648" s="64"/>
      <c r="B648" s="62"/>
      <c r="C648" s="62"/>
      <c r="D648" s="62"/>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c r="AE648" s="58"/>
      <c r="AF648" s="58"/>
      <c r="AG648" s="58"/>
      <c r="AH648" s="58"/>
      <c r="AI648" s="58"/>
      <c r="AJ648" s="58"/>
      <c r="AK648" s="58"/>
      <c r="AL648" s="58"/>
      <c r="AM648" s="58"/>
      <c r="AN648" s="58"/>
      <c r="AO648" s="58"/>
      <c r="AP648" s="58"/>
      <c r="AQ648" s="58"/>
      <c r="AR648" s="58"/>
    </row>
    <row r="649" spans="1:44" ht="15.75" customHeight="1" x14ac:dyDescent="0.25">
      <c r="A649" s="64"/>
      <c r="B649" s="62"/>
      <c r="C649" s="62"/>
      <c r="D649" s="62"/>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c r="AE649" s="58"/>
      <c r="AF649" s="58"/>
      <c r="AG649" s="58"/>
      <c r="AH649" s="58"/>
      <c r="AI649" s="58"/>
      <c r="AJ649" s="58"/>
      <c r="AK649" s="58"/>
      <c r="AL649" s="58"/>
      <c r="AM649" s="58"/>
      <c r="AN649" s="58"/>
      <c r="AO649" s="58"/>
      <c r="AP649" s="58"/>
      <c r="AQ649" s="58"/>
      <c r="AR649" s="58"/>
    </row>
    <row r="650" spans="1:44" ht="15.75" customHeight="1" x14ac:dyDescent="0.25">
      <c r="A650" s="64"/>
      <c r="B650" s="62"/>
      <c r="C650" s="62"/>
      <c r="D650" s="62"/>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c r="AE650" s="58"/>
      <c r="AF650" s="58"/>
      <c r="AG650" s="58"/>
      <c r="AH650" s="58"/>
      <c r="AI650" s="58"/>
      <c r="AJ650" s="58"/>
      <c r="AK650" s="58"/>
      <c r="AL650" s="58"/>
      <c r="AM650" s="58"/>
      <c r="AN650" s="58"/>
      <c r="AO650" s="58"/>
      <c r="AP650" s="58"/>
      <c r="AQ650" s="58"/>
      <c r="AR650" s="58"/>
    </row>
    <row r="651" spans="1:44" ht="15.75" customHeight="1" x14ac:dyDescent="0.25">
      <c r="A651" s="64"/>
      <c r="B651" s="62"/>
      <c r="C651" s="62"/>
      <c r="D651" s="62"/>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c r="AE651" s="58"/>
      <c r="AF651" s="58"/>
      <c r="AG651" s="58"/>
      <c r="AH651" s="58"/>
      <c r="AI651" s="58"/>
      <c r="AJ651" s="58"/>
      <c r="AK651" s="58"/>
      <c r="AL651" s="58"/>
      <c r="AM651" s="58"/>
      <c r="AN651" s="58"/>
      <c r="AO651" s="58"/>
      <c r="AP651" s="58"/>
      <c r="AQ651" s="58"/>
      <c r="AR651" s="58"/>
    </row>
    <row r="652" spans="1:44" ht="15.75" customHeight="1" x14ac:dyDescent="0.25">
      <c r="A652" s="64"/>
      <c r="B652" s="62"/>
      <c r="C652" s="62"/>
      <c r="D652" s="62"/>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c r="AE652" s="58"/>
      <c r="AF652" s="58"/>
      <c r="AG652" s="58"/>
      <c r="AH652" s="58"/>
      <c r="AI652" s="58"/>
      <c r="AJ652" s="58"/>
      <c r="AK652" s="58"/>
      <c r="AL652" s="58"/>
      <c r="AM652" s="58"/>
      <c r="AN652" s="58"/>
      <c r="AO652" s="58"/>
      <c r="AP652" s="58"/>
      <c r="AQ652" s="58"/>
      <c r="AR652" s="58"/>
    </row>
    <row r="653" spans="1:44" ht="15.75" customHeight="1" x14ac:dyDescent="0.25">
      <c r="A653" s="64"/>
      <c r="B653" s="62"/>
      <c r="C653" s="62"/>
      <c r="D653" s="62"/>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c r="AE653" s="58"/>
      <c r="AF653" s="58"/>
      <c r="AG653" s="58"/>
      <c r="AH653" s="58"/>
      <c r="AI653" s="58"/>
      <c r="AJ653" s="58"/>
      <c r="AK653" s="58"/>
      <c r="AL653" s="58"/>
      <c r="AM653" s="58"/>
      <c r="AN653" s="58"/>
      <c r="AO653" s="58"/>
      <c r="AP653" s="58"/>
      <c r="AQ653" s="58"/>
      <c r="AR653" s="58"/>
    </row>
    <row r="654" spans="1:44" ht="15.75" customHeight="1" x14ac:dyDescent="0.25">
      <c r="A654" s="64"/>
      <c r="B654" s="62"/>
      <c r="C654" s="62"/>
      <c r="D654" s="62"/>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c r="AE654" s="58"/>
      <c r="AF654" s="58"/>
      <c r="AG654" s="58"/>
      <c r="AH654" s="58"/>
      <c r="AI654" s="58"/>
      <c r="AJ654" s="58"/>
      <c r="AK654" s="58"/>
      <c r="AL654" s="58"/>
      <c r="AM654" s="58"/>
      <c r="AN654" s="58"/>
      <c r="AO654" s="58"/>
      <c r="AP654" s="58"/>
      <c r="AQ654" s="58"/>
      <c r="AR654" s="58"/>
    </row>
    <row r="655" spans="1:44" ht="15.75" customHeight="1" x14ac:dyDescent="0.25">
      <c r="A655" s="64"/>
      <c r="B655" s="62"/>
      <c r="C655" s="62"/>
      <c r="D655" s="62"/>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c r="AE655" s="58"/>
      <c r="AF655" s="58"/>
      <c r="AG655" s="58"/>
      <c r="AH655" s="58"/>
      <c r="AI655" s="58"/>
      <c r="AJ655" s="58"/>
      <c r="AK655" s="58"/>
      <c r="AL655" s="58"/>
      <c r="AM655" s="58"/>
      <c r="AN655" s="58"/>
      <c r="AO655" s="58"/>
      <c r="AP655" s="58"/>
      <c r="AQ655" s="58"/>
      <c r="AR655" s="58"/>
    </row>
    <row r="656" spans="1:44" ht="15.75" customHeight="1" x14ac:dyDescent="0.25">
      <c r="A656" s="64"/>
      <c r="B656" s="62"/>
      <c r="C656" s="62"/>
      <c r="D656" s="62"/>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c r="AE656" s="58"/>
      <c r="AF656" s="58"/>
      <c r="AG656" s="58"/>
      <c r="AH656" s="58"/>
      <c r="AI656" s="58"/>
      <c r="AJ656" s="58"/>
      <c r="AK656" s="58"/>
      <c r="AL656" s="58"/>
      <c r="AM656" s="58"/>
      <c r="AN656" s="58"/>
      <c r="AO656" s="58"/>
      <c r="AP656" s="58"/>
      <c r="AQ656" s="58"/>
      <c r="AR656" s="58"/>
    </row>
    <row r="657" spans="1:44" ht="15.75" customHeight="1" x14ac:dyDescent="0.25">
      <c r="A657" s="64"/>
      <c r="B657" s="62"/>
      <c r="C657" s="62"/>
      <c r="D657" s="62"/>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c r="AE657" s="58"/>
      <c r="AF657" s="58"/>
      <c r="AG657" s="58"/>
      <c r="AH657" s="58"/>
      <c r="AI657" s="58"/>
      <c r="AJ657" s="58"/>
      <c r="AK657" s="58"/>
      <c r="AL657" s="58"/>
      <c r="AM657" s="58"/>
      <c r="AN657" s="58"/>
      <c r="AO657" s="58"/>
      <c r="AP657" s="58"/>
      <c r="AQ657" s="58"/>
      <c r="AR657" s="58"/>
    </row>
    <row r="658" spans="1:44" ht="15.75" customHeight="1" x14ac:dyDescent="0.25">
      <c r="A658" s="64"/>
      <c r="B658" s="62"/>
      <c r="C658" s="62"/>
      <c r="D658" s="62"/>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c r="AE658" s="58"/>
      <c r="AF658" s="58"/>
      <c r="AG658" s="58"/>
      <c r="AH658" s="58"/>
      <c r="AI658" s="58"/>
      <c r="AJ658" s="58"/>
      <c r="AK658" s="58"/>
      <c r="AL658" s="58"/>
      <c r="AM658" s="58"/>
      <c r="AN658" s="58"/>
      <c r="AO658" s="58"/>
      <c r="AP658" s="58"/>
      <c r="AQ658" s="58"/>
      <c r="AR658" s="58"/>
    </row>
    <row r="659" spans="1:44" ht="15.75" customHeight="1" x14ac:dyDescent="0.25">
      <c r="A659" s="64"/>
      <c r="B659" s="62"/>
      <c r="C659" s="62"/>
      <c r="D659" s="62"/>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c r="AE659" s="58"/>
      <c r="AF659" s="58"/>
      <c r="AG659" s="58"/>
      <c r="AH659" s="58"/>
      <c r="AI659" s="58"/>
      <c r="AJ659" s="58"/>
      <c r="AK659" s="58"/>
      <c r="AL659" s="58"/>
      <c r="AM659" s="58"/>
      <c r="AN659" s="58"/>
      <c r="AO659" s="58"/>
      <c r="AP659" s="58"/>
      <c r="AQ659" s="58"/>
      <c r="AR659" s="58"/>
    </row>
    <row r="660" spans="1:44" ht="15.75" customHeight="1" x14ac:dyDescent="0.25">
      <c r="A660" s="64"/>
      <c r="B660" s="62"/>
      <c r="C660" s="62"/>
      <c r="D660" s="62"/>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c r="AE660" s="58"/>
      <c r="AF660" s="58"/>
      <c r="AG660" s="58"/>
      <c r="AH660" s="58"/>
      <c r="AI660" s="58"/>
      <c r="AJ660" s="58"/>
      <c r="AK660" s="58"/>
      <c r="AL660" s="58"/>
      <c r="AM660" s="58"/>
      <c r="AN660" s="58"/>
      <c r="AO660" s="58"/>
      <c r="AP660" s="58"/>
      <c r="AQ660" s="58"/>
      <c r="AR660" s="58"/>
    </row>
    <row r="661" spans="1:44" ht="15.75" customHeight="1" x14ac:dyDescent="0.25">
      <c r="A661" s="64"/>
      <c r="B661" s="62"/>
      <c r="C661" s="62"/>
      <c r="D661" s="62"/>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c r="AE661" s="58"/>
      <c r="AF661" s="58"/>
      <c r="AG661" s="58"/>
      <c r="AH661" s="58"/>
      <c r="AI661" s="58"/>
      <c r="AJ661" s="58"/>
      <c r="AK661" s="58"/>
      <c r="AL661" s="58"/>
      <c r="AM661" s="58"/>
      <c r="AN661" s="58"/>
      <c r="AO661" s="58"/>
      <c r="AP661" s="58"/>
      <c r="AQ661" s="58"/>
      <c r="AR661" s="58"/>
    </row>
    <row r="662" spans="1:44" ht="15.75" customHeight="1" x14ac:dyDescent="0.25">
      <c r="A662" s="64"/>
      <c r="B662" s="62"/>
      <c r="C662" s="62"/>
      <c r="D662" s="62"/>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c r="AE662" s="58"/>
      <c r="AF662" s="58"/>
      <c r="AG662" s="58"/>
      <c r="AH662" s="58"/>
      <c r="AI662" s="58"/>
      <c r="AJ662" s="58"/>
      <c r="AK662" s="58"/>
      <c r="AL662" s="58"/>
      <c r="AM662" s="58"/>
      <c r="AN662" s="58"/>
      <c r="AO662" s="58"/>
      <c r="AP662" s="58"/>
      <c r="AQ662" s="58"/>
      <c r="AR662" s="58"/>
    </row>
    <row r="663" spans="1:44" ht="15.75" customHeight="1" x14ac:dyDescent="0.25">
      <c r="A663" s="64"/>
      <c r="B663" s="62"/>
      <c r="C663" s="62"/>
      <c r="D663" s="62"/>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c r="AE663" s="58"/>
      <c r="AF663" s="58"/>
      <c r="AG663" s="58"/>
      <c r="AH663" s="58"/>
      <c r="AI663" s="58"/>
      <c r="AJ663" s="58"/>
      <c r="AK663" s="58"/>
      <c r="AL663" s="58"/>
      <c r="AM663" s="58"/>
      <c r="AN663" s="58"/>
      <c r="AO663" s="58"/>
      <c r="AP663" s="58"/>
      <c r="AQ663" s="58"/>
      <c r="AR663" s="58"/>
    </row>
    <row r="664" spans="1:44" ht="15.75" customHeight="1" x14ac:dyDescent="0.25">
      <c r="A664" s="64"/>
      <c r="B664" s="62"/>
      <c r="C664" s="62"/>
      <c r="D664" s="62"/>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c r="AE664" s="58"/>
      <c r="AF664" s="58"/>
      <c r="AG664" s="58"/>
      <c r="AH664" s="58"/>
      <c r="AI664" s="58"/>
      <c r="AJ664" s="58"/>
      <c r="AK664" s="58"/>
      <c r="AL664" s="58"/>
      <c r="AM664" s="58"/>
      <c r="AN664" s="58"/>
      <c r="AO664" s="58"/>
      <c r="AP664" s="58"/>
      <c r="AQ664" s="58"/>
      <c r="AR664" s="58"/>
    </row>
    <row r="665" spans="1:44" ht="15.75" customHeight="1" x14ac:dyDescent="0.25">
      <c r="A665" s="64"/>
      <c r="B665" s="62"/>
      <c r="C665" s="62"/>
      <c r="D665" s="62"/>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c r="AE665" s="58"/>
      <c r="AF665" s="58"/>
      <c r="AG665" s="58"/>
      <c r="AH665" s="58"/>
      <c r="AI665" s="58"/>
      <c r="AJ665" s="58"/>
      <c r="AK665" s="58"/>
      <c r="AL665" s="58"/>
      <c r="AM665" s="58"/>
      <c r="AN665" s="58"/>
      <c r="AO665" s="58"/>
      <c r="AP665" s="58"/>
      <c r="AQ665" s="58"/>
      <c r="AR665" s="58"/>
    </row>
    <row r="666" spans="1:44" ht="15.75" customHeight="1" x14ac:dyDescent="0.25">
      <c r="A666" s="64"/>
      <c r="B666" s="62"/>
      <c r="C666" s="62"/>
      <c r="D666" s="62"/>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c r="AE666" s="58"/>
      <c r="AF666" s="58"/>
      <c r="AG666" s="58"/>
      <c r="AH666" s="58"/>
      <c r="AI666" s="58"/>
      <c r="AJ666" s="58"/>
      <c r="AK666" s="58"/>
      <c r="AL666" s="58"/>
      <c r="AM666" s="58"/>
      <c r="AN666" s="58"/>
      <c r="AO666" s="58"/>
      <c r="AP666" s="58"/>
      <c r="AQ666" s="58"/>
      <c r="AR666" s="58"/>
    </row>
    <row r="667" spans="1:44" ht="15.75" customHeight="1" x14ac:dyDescent="0.25">
      <c r="A667" s="64"/>
      <c r="B667" s="62"/>
      <c r="C667" s="62"/>
      <c r="D667" s="62"/>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c r="AE667" s="58"/>
      <c r="AF667" s="58"/>
      <c r="AG667" s="58"/>
      <c r="AH667" s="58"/>
      <c r="AI667" s="58"/>
      <c r="AJ667" s="58"/>
      <c r="AK667" s="58"/>
      <c r="AL667" s="58"/>
      <c r="AM667" s="58"/>
      <c r="AN667" s="58"/>
      <c r="AO667" s="58"/>
      <c r="AP667" s="58"/>
      <c r="AQ667" s="58"/>
      <c r="AR667" s="58"/>
    </row>
    <row r="668" spans="1:44" ht="15.75" customHeight="1" x14ac:dyDescent="0.25">
      <c r="A668" s="64"/>
      <c r="B668" s="62"/>
      <c r="C668" s="62"/>
      <c r="D668" s="62"/>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c r="AE668" s="58"/>
      <c r="AF668" s="58"/>
      <c r="AG668" s="58"/>
      <c r="AH668" s="58"/>
      <c r="AI668" s="58"/>
      <c r="AJ668" s="58"/>
      <c r="AK668" s="58"/>
      <c r="AL668" s="58"/>
      <c r="AM668" s="58"/>
      <c r="AN668" s="58"/>
      <c r="AO668" s="58"/>
      <c r="AP668" s="58"/>
      <c r="AQ668" s="58"/>
      <c r="AR668" s="58"/>
    </row>
    <row r="669" spans="1:44" ht="15.75" customHeight="1" x14ac:dyDescent="0.25">
      <c r="A669" s="64"/>
      <c r="B669" s="62"/>
      <c r="C669" s="62"/>
      <c r="D669" s="62"/>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c r="AE669" s="58"/>
      <c r="AF669" s="58"/>
      <c r="AG669" s="58"/>
      <c r="AH669" s="58"/>
      <c r="AI669" s="58"/>
      <c r="AJ669" s="58"/>
      <c r="AK669" s="58"/>
      <c r="AL669" s="58"/>
      <c r="AM669" s="58"/>
      <c r="AN669" s="58"/>
      <c r="AO669" s="58"/>
      <c r="AP669" s="58"/>
      <c r="AQ669" s="58"/>
      <c r="AR669" s="58"/>
    </row>
    <row r="670" spans="1:44" ht="15.75" customHeight="1" x14ac:dyDescent="0.25">
      <c r="A670" s="64"/>
      <c r="B670" s="62"/>
      <c r="C670" s="62"/>
      <c r="D670" s="62"/>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c r="AE670" s="58"/>
      <c r="AF670" s="58"/>
      <c r="AG670" s="58"/>
      <c r="AH670" s="58"/>
      <c r="AI670" s="58"/>
      <c r="AJ670" s="58"/>
      <c r="AK670" s="58"/>
      <c r="AL670" s="58"/>
      <c r="AM670" s="58"/>
      <c r="AN670" s="58"/>
      <c r="AO670" s="58"/>
      <c r="AP670" s="58"/>
      <c r="AQ670" s="58"/>
      <c r="AR670" s="58"/>
    </row>
    <row r="671" spans="1:44" ht="15.75" customHeight="1" x14ac:dyDescent="0.25">
      <c r="A671" s="64"/>
      <c r="B671" s="62"/>
      <c r="C671" s="62"/>
      <c r="D671" s="62"/>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c r="AE671" s="58"/>
      <c r="AF671" s="58"/>
      <c r="AG671" s="58"/>
      <c r="AH671" s="58"/>
      <c r="AI671" s="58"/>
      <c r="AJ671" s="58"/>
      <c r="AK671" s="58"/>
      <c r="AL671" s="58"/>
      <c r="AM671" s="58"/>
      <c r="AN671" s="58"/>
      <c r="AO671" s="58"/>
      <c r="AP671" s="58"/>
      <c r="AQ671" s="58"/>
      <c r="AR671" s="58"/>
    </row>
    <row r="672" spans="1:44" ht="15.75" customHeight="1" x14ac:dyDescent="0.25">
      <c r="A672" s="64"/>
      <c r="B672" s="62"/>
      <c r="C672" s="62"/>
      <c r="D672" s="62"/>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c r="AE672" s="58"/>
      <c r="AF672" s="58"/>
      <c r="AG672" s="58"/>
      <c r="AH672" s="58"/>
      <c r="AI672" s="58"/>
      <c r="AJ672" s="58"/>
      <c r="AK672" s="58"/>
      <c r="AL672" s="58"/>
      <c r="AM672" s="58"/>
      <c r="AN672" s="58"/>
      <c r="AO672" s="58"/>
      <c r="AP672" s="58"/>
      <c r="AQ672" s="58"/>
      <c r="AR672" s="58"/>
    </row>
    <row r="673" spans="1:44" ht="15.75" customHeight="1" x14ac:dyDescent="0.25">
      <c r="A673" s="64"/>
      <c r="B673" s="62"/>
      <c r="C673" s="62"/>
      <c r="D673" s="62"/>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c r="AE673" s="58"/>
      <c r="AF673" s="58"/>
      <c r="AG673" s="58"/>
      <c r="AH673" s="58"/>
      <c r="AI673" s="58"/>
      <c r="AJ673" s="58"/>
      <c r="AK673" s="58"/>
      <c r="AL673" s="58"/>
      <c r="AM673" s="58"/>
      <c r="AN673" s="58"/>
      <c r="AO673" s="58"/>
      <c r="AP673" s="58"/>
      <c r="AQ673" s="58"/>
      <c r="AR673" s="58"/>
    </row>
    <row r="674" spans="1:44" ht="15.75" customHeight="1" x14ac:dyDescent="0.25">
      <c r="A674" s="64"/>
      <c r="B674" s="62"/>
      <c r="C674" s="62"/>
      <c r="D674" s="62"/>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c r="AE674" s="58"/>
      <c r="AF674" s="58"/>
      <c r="AG674" s="58"/>
      <c r="AH674" s="58"/>
      <c r="AI674" s="58"/>
      <c r="AJ674" s="58"/>
      <c r="AK674" s="58"/>
      <c r="AL674" s="58"/>
      <c r="AM674" s="58"/>
      <c r="AN674" s="58"/>
      <c r="AO674" s="58"/>
      <c r="AP674" s="58"/>
      <c r="AQ674" s="58"/>
      <c r="AR674" s="58"/>
    </row>
    <row r="675" spans="1:44" ht="15.75" customHeight="1" x14ac:dyDescent="0.25">
      <c r="A675" s="64"/>
      <c r="B675" s="62"/>
      <c r="C675" s="62"/>
      <c r="D675" s="62"/>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c r="AE675" s="58"/>
      <c r="AF675" s="58"/>
      <c r="AG675" s="58"/>
      <c r="AH675" s="58"/>
      <c r="AI675" s="58"/>
      <c r="AJ675" s="58"/>
      <c r="AK675" s="58"/>
      <c r="AL675" s="58"/>
      <c r="AM675" s="58"/>
      <c r="AN675" s="58"/>
      <c r="AO675" s="58"/>
      <c r="AP675" s="58"/>
      <c r="AQ675" s="58"/>
      <c r="AR675" s="58"/>
    </row>
    <row r="676" spans="1:44" ht="15.75" customHeight="1" x14ac:dyDescent="0.25">
      <c r="A676" s="64"/>
      <c r="B676" s="62"/>
      <c r="C676" s="62"/>
      <c r="D676" s="62"/>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c r="AE676" s="58"/>
      <c r="AF676" s="58"/>
      <c r="AG676" s="58"/>
      <c r="AH676" s="58"/>
      <c r="AI676" s="58"/>
      <c r="AJ676" s="58"/>
      <c r="AK676" s="58"/>
      <c r="AL676" s="58"/>
      <c r="AM676" s="58"/>
      <c r="AN676" s="58"/>
      <c r="AO676" s="58"/>
      <c r="AP676" s="58"/>
      <c r="AQ676" s="58"/>
      <c r="AR676" s="58"/>
    </row>
    <row r="677" spans="1:44" ht="15.75" customHeight="1" x14ac:dyDescent="0.25">
      <c r="A677" s="64"/>
      <c r="B677" s="62"/>
      <c r="C677" s="62"/>
      <c r="D677" s="62"/>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c r="AE677" s="58"/>
      <c r="AF677" s="58"/>
      <c r="AG677" s="58"/>
      <c r="AH677" s="58"/>
      <c r="AI677" s="58"/>
      <c r="AJ677" s="58"/>
      <c r="AK677" s="58"/>
      <c r="AL677" s="58"/>
      <c r="AM677" s="58"/>
      <c r="AN677" s="58"/>
      <c r="AO677" s="58"/>
      <c r="AP677" s="58"/>
      <c r="AQ677" s="58"/>
      <c r="AR677" s="58"/>
    </row>
    <row r="678" spans="1:44" ht="15.75" customHeight="1" x14ac:dyDescent="0.25">
      <c r="A678" s="64"/>
      <c r="B678" s="62"/>
      <c r="C678" s="62"/>
      <c r="D678" s="62"/>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c r="AE678" s="58"/>
      <c r="AF678" s="58"/>
      <c r="AG678" s="58"/>
      <c r="AH678" s="58"/>
      <c r="AI678" s="58"/>
      <c r="AJ678" s="58"/>
      <c r="AK678" s="58"/>
      <c r="AL678" s="58"/>
      <c r="AM678" s="58"/>
      <c r="AN678" s="58"/>
      <c r="AO678" s="58"/>
      <c r="AP678" s="58"/>
      <c r="AQ678" s="58"/>
      <c r="AR678" s="58"/>
    </row>
    <row r="679" spans="1:44" ht="15.75" customHeight="1" x14ac:dyDescent="0.25">
      <c r="A679" s="64"/>
      <c r="B679" s="62"/>
      <c r="C679" s="62"/>
      <c r="D679" s="62"/>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c r="AE679" s="58"/>
      <c r="AF679" s="58"/>
      <c r="AG679" s="58"/>
      <c r="AH679" s="58"/>
      <c r="AI679" s="58"/>
      <c r="AJ679" s="58"/>
      <c r="AK679" s="58"/>
      <c r="AL679" s="58"/>
      <c r="AM679" s="58"/>
      <c r="AN679" s="58"/>
      <c r="AO679" s="58"/>
      <c r="AP679" s="58"/>
      <c r="AQ679" s="58"/>
      <c r="AR679" s="58"/>
    </row>
    <row r="680" spans="1:44" ht="15.75" customHeight="1" x14ac:dyDescent="0.25">
      <c r="A680" s="64"/>
      <c r="B680" s="62"/>
      <c r="C680" s="62"/>
      <c r="D680" s="62"/>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c r="AE680" s="58"/>
      <c r="AF680" s="58"/>
      <c r="AG680" s="58"/>
      <c r="AH680" s="58"/>
      <c r="AI680" s="58"/>
      <c r="AJ680" s="58"/>
      <c r="AK680" s="58"/>
      <c r="AL680" s="58"/>
      <c r="AM680" s="58"/>
      <c r="AN680" s="58"/>
      <c r="AO680" s="58"/>
      <c r="AP680" s="58"/>
      <c r="AQ680" s="58"/>
      <c r="AR680" s="58"/>
    </row>
    <row r="681" spans="1:44" ht="15.75" customHeight="1" x14ac:dyDescent="0.25">
      <c r="A681" s="64"/>
      <c r="B681" s="62"/>
      <c r="C681" s="62"/>
      <c r="D681" s="62"/>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c r="AE681" s="58"/>
      <c r="AF681" s="58"/>
      <c r="AG681" s="58"/>
      <c r="AH681" s="58"/>
      <c r="AI681" s="58"/>
      <c r="AJ681" s="58"/>
      <c r="AK681" s="58"/>
      <c r="AL681" s="58"/>
      <c r="AM681" s="58"/>
      <c r="AN681" s="58"/>
      <c r="AO681" s="58"/>
      <c r="AP681" s="58"/>
      <c r="AQ681" s="58"/>
      <c r="AR681" s="58"/>
    </row>
    <row r="682" spans="1:44" ht="15.75" customHeight="1" x14ac:dyDescent="0.25">
      <c r="A682" s="64"/>
      <c r="B682" s="62"/>
      <c r="C682" s="62"/>
      <c r="D682" s="62"/>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c r="AE682" s="58"/>
      <c r="AF682" s="58"/>
      <c r="AG682" s="58"/>
      <c r="AH682" s="58"/>
      <c r="AI682" s="58"/>
      <c r="AJ682" s="58"/>
      <c r="AK682" s="58"/>
      <c r="AL682" s="58"/>
      <c r="AM682" s="58"/>
      <c r="AN682" s="58"/>
      <c r="AO682" s="58"/>
      <c r="AP682" s="58"/>
      <c r="AQ682" s="58"/>
      <c r="AR682" s="58"/>
    </row>
    <row r="683" spans="1:44" ht="15.75" customHeight="1" x14ac:dyDescent="0.25">
      <c r="A683" s="64"/>
      <c r="B683" s="62"/>
      <c r="C683" s="62"/>
      <c r="D683" s="62"/>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c r="AE683" s="58"/>
      <c r="AF683" s="58"/>
      <c r="AG683" s="58"/>
      <c r="AH683" s="58"/>
      <c r="AI683" s="58"/>
      <c r="AJ683" s="58"/>
      <c r="AK683" s="58"/>
      <c r="AL683" s="58"/>
      <c r="AM683" s="58"/>
      <c r="AN683" s="58"/>
      <c r="AO683" s="58"/>
      <c r="AP683" s="58"/>
      <c r="AQ683" s="58"/>
      <c r="AR683" s="58"/>
    </row>
    <row r="684" spans="1:44" ht="15.75" customHeight="1" x14ac:dyDescent="0.25">
      <c r="A684" s="64"/>
      <c r="B684" s="62"/>
      <c r="C684" s="62"/>
      <c r="D684" s="62"/>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c r="AE684" s="58"/>
      <c r="AF684" s="58"/>
      <c r="AG684" s="58"/>
      <c r="AH684" s="58"/>
      <c r="AI684" s="58"/>
      <c r="AJ684" s="58"/>
      <c r="AK684" s="58"/>
      <c r="AL684" s="58"/>
      <c r="AM684" s="58"/>
      <c r="AN684" s="58"/>
      <c r="AO684" s="58"/>
      <c r="AP684" s="58"/>
      <c r="AQ684" s="58"/>
      <c r="AR684" s="58"/>
    </row>
    <row r="685" spans="1:44" ht="15.75" customHeight="1" x14ac:dyDescent="0.25">
      <c r="A685" s="64"/>
      <c r="B685" s="62"/>
      <c r="C685" s="62"/>
      <c r="D685" s="62"/>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c r="AE685" s="58"/>
      <c r="AF685" s="58"/>
      <c r="AG685" s="58"/>
      <c r="AH685" s="58"/>
      <c r="AI685" s="58"/>
      <c r="AJ685" s="58"/>
      <c r="AK685" s="58"/>
      <c r="AL685" s="58"/>
      <c r="AM685" s="58"/>
      <c r="AN685" s="58"/>
      <c r="AO685" s="58"/>
      <c r="AP685" s="58"/>
      <c r="AQ685" s="58"/>
      <c r="AR685" s="58"/>
    </row>
    <row r="686" spans="1:44" ht="15.75" customHeight="1" x14ac:dyDescent="0.25">
      <c r="A686" s="64"/>
      <c r="B686" s="62"/>
      <c r="C686" s="62"/>
      <c r="D686" s="62"/>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c r="AE686" s="58"/>
      <c r="AF686" s="58"/>
      <c r="AG686" s="58"/>
      <c r="AH686" s="58"/>
      <c r="AI686" s="58"/>
      <c r="AJ686" s="58"/>
      <c r="AK686" s="58"/>
      <c r="AL686" s="58"/>
      <c r="AM686" s="58"/>
      <c r="AN686" s="58"/>
      <c r="AO686" s="58"/>
      <c r="AP686" s="58"/>
      <c r="AQ686" s="58"/>
      <c r="AR686" s="58"/>
    </row>
    <row r="687" spans="1:44" ht="15.75" customHeight="1" x14ac:dyDescent="0.25">
      <c r="A687" s="64"/>
      <c r="B687" s="62"/>
      <c r="C687" s="62"/>
      <c r="D687" s="62"/>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c r="AE687" s="58"/>
      <c r="AF687" s="58"/>
      <c r="AG687" s="58"/>
      <c r="AH687" s="58"/>
      <c r="AI687" s="58"/>
      <c r="AJ687" s="58"/>
      <c r="AK687" s="58"/>
      <c r="AL687" s="58"/>
      <c r="AM687" s="58"/>
      <c r="AN687" s="58"/>
      <c r="AO687" s="58"/>
      <c r="AP687" s="58"/>
      <c r="AQ687" s="58"/>
      <c r="AR687" s="58"/>
    </row>
    <row r="688" spans="1:44" ht="15.75" customHeight="1" x14ac:dyDescent="0.25">
      <c r="A688" s="64"/>
      <c r="B688" s="62"/>
      <c r="C688" s="62"/>
      <c r="D688" s="62"/>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c r="AE688" s="58"/>
      <c r="AF688" s="58"/>
      <c r="AG688" s="58"/>
      <c r="AH688" s="58"/>
      <c r="AI688" s="58"/>
      <c r="AJ688" s="58"/>
      <c r="AK688" s="58"/>
      <c r="AL688" s="58"/>
      <c r="AM688" s="58"/>
      <c r="AN688" s="58"/>
      <c r="AO688" s="58"/>
      <c r="AP688" s="58"/>
      <c r="AQ688" s="58"/>
      <c r="AR688" s="58"/>
    </row>
    <row r="689" spans="1:44" ht="15.75" customHeight="1" x14ac:dyDescent="0.25">
      <c r="A689" s="64"/>
      <c r="B689" s="62"/>
      <c r="C689" s="62"/>
      <c r="D689" s="62"/>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c r="AE689" s="58"/>
      <c r="AF689" s="58"/>
      <c r="AG689" s="58"/>
      <c r="AH689" s="58"/>
      <c r="AI689" s="58"/>
      <c r="AJ689" s="58"/>
      <c r="AK689" s="58"/>
      <c r="AL689" s="58"/>
      <c r="AM689" s="58"/>
      <c r="AN689" s="58"/>
      <c r="AO689" s="58"/>
      <c r="AP689" s="58"/>
      <c r="AQ689" s="58"/>
      <c r="AR689" s="58"/>
    </row>
    <row r="690" spans="1:44" ht="15.75" customHeight="1" x14ac:dyDescent="0.25">
      <c r="A690" s="64"/>
      <c r="B690" s="62"/>
      <c r="C690" s="62"/>
      <c r="D690" s="62"/>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c r="AE690" s="58"/>
      <c r="AF690" s="58"/>
      <c r="AG690" s="58"/>
      <c r="AH690" s="58"/>
      <c r="AI690" s="58"/>
      <c r="AJ690" s="58"/>
      <c r="AK690" s="58"/>
      <c r="AL690" s="58"/>
      <c r="AM690" s="58"/>
      <c r="AN690" s="58"/>
      <c r="AO690" s="58"/>
      <c r="AP690" s="58"/>
      <c r="AQ690" s="58"/>
      <c r="AR690" s="58"/>
    </row>
    <row r="691" spans="1:44" ht="15.75" customHeight="1" x14ac:dyDescent="0.25">
      <c r="A691" s="64"/>
      <c r="B691" s="62"/>
      <c r="C691" s="62"/>
      <c r="D691" s="62"/>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c r="AE691" s="58"/>
      <c r="AF691" s="58"/>
      <c r="AG691" s="58"/>
      <c r="AH691" s="58"/>
      <c r="AI691" s="58"/>
      <c r="AJ691" s="58"/>
      <c r="AK691" s="58"/>
      <c r="AL691" s="58"/>
      <c r="AM691" s="58"/>
      <c r="AN691" s="58"/>
      <c r="AO691" s="58"/>
      <c r="AP691" s="58"/>
      <c r="AQ691" s="58"/>
      <c r="AR691" s="58"/>
    </row>
    <row r="692" spans="1:44" ht="15.75" customHeight="1" x14ac:dyDescent="0.25">
      <c r="A692" s="64"/>
      <c r="B692" s="62"/>
      <c r="C692" s="62"/>
      <c r="D692" s="62"/>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c r="AE692" s="58"/>
      <c r="AF692" s="58"/>
      <c r="AG692" s="58"/>
      <c r="AH692" s="58"/>
      <c r="AI692" s="58"/>
      <c r="AJ692" s="58"/>
      <c r="AK692" s="58"/>
      <c r="AL692" s="58"/>
      <c r="AM692" s="58"/>
      <c r="AN692" s="58"/>
      <c r="AO692" s="58"/>
      <c r="AP692" s="58"/>
      <c r="AQ692" s="58"/>
      <c r="AR692" s="58"/>
    </row>
    <row r="693" spans="1:44" ht="15.75" customHeight="1" x14ac:dyDescent="0.25">
      <c r="A693" s="64"/>
      <c r="B693" s="62"/>
      <c r="C693" s="62"/>
      <c r="D693" s="62"/>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c r="AE693" s="58"/>
      <c r="AF693" s="58"/>
      <c r="AG693" s="58"/>
      <c r="AH693" s="58"/>
      <c r="AI693" s="58"/>
      <c r="AJ693" s="58"/>
      <c r="AK693" s="58"/>
      <c r="AL693" s="58"/>
      <c r="AM693" s="58"/>
      <c r="AN693" s="58"/>
      <c r="AO693" s="58"/>
      <c r="AP693" s="58"/>
      <c r="AQ693" s="58"/>
      <c r="AR693" s="58"/>
    </row>
    <row r="694" spans="1:44" ht="15.75" customHeight="1" x14ac:dyDescent="0.25">
      <c r="A694" s="64"/>
      <c r="B694" s="62"/>
      <c r="C694" s="62"/>
      <c r="D694" s="62"/>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c r="AE694" s="58"/>
      <c r="AF694" s="58"/>
      <c r="AG694" s="58"/>
      <c r="AH694" s="58"/>
      <c r="AI694" s="58"/>
      <c r="AJ694" s="58"/>
      <c r="AK694" s="58"/>
      <c r="AL694" s="58"/>
      <c r="AM694" s="58"/>
      <c r="AN694" s="58"/>
      <c r="AO694" s="58"/>
      <c r="AP694" s="58"/>
      <c r="AQ694" s="58"/>
      <c r="AR694" s="58"/>
    </row>
    <row r="695" spans="1:44" ht="15.75" customHeight="1" x14ac:dyDescent="0.25">
      <c r="A695" s="64"/>
      <c r="B695" s="62"/>
      <c r="C695" s="62"/>
      <c r="D695" s="62"/>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c r="AE695" s="58"/>
      <c r="AF695" s="58"/>
      <c r="AG695" s="58"/>
      <c r="AH695" s="58"/>
      <c r="AI695" s="58"/>
      <c r="AJ695" s="58"/>
      <c r="AK695" s="58"/>
      <c r="AL695" s="58"/>
      <c r="AM695" s="58"/>
      <c r="AN695" s="58"/>
      <c r="AO695" s="58"/>
      <c r="AP695" s="58"/>
      <c r="AQ695" s="58"/>
      <c r="AR695" s="58"/>
    </row>
    <row r="696" spans="1:44" ht="15.75" customHeight="1" x14ac:dyDescent="0.25">
      <c r="A696" s="64"/>
      <c r="B696" s="62"/>
      <c r="C696" s="62"/>
      <c r="D696" s="62"/>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c r="AE696" s="58"/>
      <c r="AF696" s="58"/>
      <c r="AG696" s="58"/>
      <c r="AH696" s="58"/>
      <c r="AI696" s="58"/>
      <c r="AJ696" s="58"/>
      <c r="AK696" s="58"/>
      <c r="AL696" s="58"/>
      <c r="AM696" s="58"/>
      <c r="AN696" s="58"/>
      <c r="AO696" s="58"/>
      <c r="AP696" s="58"/>
      <c r="AQ696" s="58"/>
      <c r="AR696" s="58"/>
    </row>
    <row r="697" spans="1:44" ht="15.75" customHeight="1" x14ac:dyDescent="0.25">
      <c r="A697" s="64"/>
      <c r="B697" s="62"/>
      <c r="C697" s="62"/>
      <c r="D697" s="62"/>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c r="AE697" s="58"/>
      <c r="AF697" s="58"/>
      <c r="AG697" s="58"/>
      <c r="AH697" s="58"/>
      <c r="AI697" s="58"/>
      <c r="AJ697" s="58"/>
      <c r="AK697" s="58"/>
      <c r="AL697" s="58"/>
      <c r="AM697" s="58"/>
      <c r="AN697" s="58"/>
      <c r="AO697" s="58"/>
      <c r="AP697" s="58"/>
      <c r="AQ697" s="58"/>
      <c r="AR697" s="58"/>
    </row>
    <row r="698" spans="1:44" ht="15.75" customHeight="1" x14ac:dyDescent="0.25">
      <c r="A698" s="64"/>
      <c r="B698" s="62"/>
      <c r="C698" s="62"/>
      <c r="D698" s="62"/>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c r="AE698" s="58"/>
      <c r="AF698" s="58"/>
      <c r="AG698" s="58"/>
      <c r="AH698" s="58"/>
      <c r="AI698" s="58"/>
      <c r="AJ698" s="58"/>
      <c r="AK698" s="58"/>
      <c r="AL698" s="58"/>
      <c r="AM698" s="58"/>
      <c r="AN698" s="58"/>
      <c r="AO698" s="58"/>
      <c r="AP698" s="58"/>
      <c r="AQ698" s="58"/>
      <c r="AR698" s="58"/>
    </row>
    <row r="699" spans="1:44" ht="15.75" customHeight="1" x14ac:dyDescent="0.25">
      <c r="A699" s="64"/>
      <c r="B699" s="62"/>
      <c r="C699" s="62"/>
      <c r="D699" s="62"/>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c r="AE699" s="58"/>
      <c r="AF699" s="58"/>
      <c r="AG699" s="58"/>
      <c r="AH699" s="58"/>
      <c r="AI699" s="58"/>
      <c r="AJ699" s="58"/>
      <c r="AK699" s="58"/>
      <c r="AL699" s="58"/>
      <c r="AM699" s="58"/>
      <c r="AN699" s="58"/>
      <c r="AO699" s="58"/>
      <c r="AP699" s="58"/>
      <c r="AQ699" s="58"/>
      <c r="AR699" s="58"/>
    </row>
    <row r="700" spans="1:44" ht="15.75" customHeight="1" x14ac:dyDescent="0.25">
      <c r="A700" s="64"/>
      <c r="B700" s="62"/>
      <c r="C700" s="62"/>
      <c r="D700" s="62"/>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c r="AE700" s="58"/>
      <c r="AF700" s="58"/>
      <c r="AG700" s="58"/>
      <c r="AH700" s="58"/>
      <c r="AI700" s="58"/>
      <c r="AJ700" s="58"/>
      <c r="AK700" s="58"/>
      <c r="AL700" s="58"/>
      <c r="AM700" s="58"/>
      <c r="AN700" s="58"/>
      <c r="AO700" s="58"/>
      <c r="AP700" s="58"/>
      <c r="AQ700" s="58"/>
      <c r="AR700" s="58"/>
    </row>
    <row r="701" spans="1:44" ht="15.75" customHeight="1" x14ac:dyDescent="0.25">
      <c r="A701" s="64"/>
      <c r="B701" s="62"/>
      <c r="C701" s="62"/>
      <c r="D701" s="62"/>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c r="AE701" s="58"/>
      <c r="AF701" s="58"/>
      <c r="AG701" s="58"/>
      <c r="AH701" s="58"/>
      <c r="AI701" s="58"/>
      <c r="AJ701" s="58"/>
      <c r="AK701" s="58"/>
      <c r="AL701" s="58"/>
      <c r="AM701" s="58"/>
      <c r="AN701" s="58"/>
      <c r="AO701" s="58"/>
      <c r="AP701" s="58"/>
      <c r="AQ701" s="58"/>
      <c r="AR701" s="58"/>
    </row>
    <row r="702" spans="1:44" ht="15.75" customHeight="1" x14ac:dyDescent="0.25">
      <c r="A702" s="64"/>
      <c r="B702" s="62"/>
      <c r="C702" s="62"/>
      <c r="D702" s="62"/>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c r="AE702" s="58"/>
      <c r="AF702" s="58"/>
      <c r="AG702" s="58"/>
      <c r="AH702" s="58"/>
      <c r="AI702" s="58"/>
      <c r="AJ702" s="58"/>
      <c r="AK702" s="58"/>
      <c r="AL702" s="58"/>
      <c r="AM702" s="58"/>
      <c r="AN702" s="58"/>
      <c r="AO702" s="58"/>
      <c r="AP702" s="58"/>
      <c r="AQ702" s="58"/>
      <c r="AR702" s="58"/>
    </row>
    <row r="703" spans="1:44" ht="15.75" customHeight="1" x14ac:dyDescent="0.25">
      <c r="A703" s="64"/>
      <c r="B703" s="62"/>
      <c r="C703" s="62"/>
      <c r="D703" s="62"/>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c r="AE703" s="58"/>
      <c r="AF703" s="58"/>
      <c r="AG703" s="58"/>
      <c r="AH703" s="58"/>
      <c r="AI703" s="58"/>
      <c r="AJ703" s="58"/>
      <c r="AK703" s="58"/>
      <c r="AL703" s="58"/>
      <c r="AM703" s="58"/>
      <c r="AN703" s="58"/>
      <c r="AO703" s="58"/>
      <c r="AP703" s="58"/>
      <c r="AQ703" s="58"/>
      <c r="AR703" s="58"/>
    </row>
    <row r="704" spans="1:44" ht="15.75" customHeight="1" x14ac:dyDescent="0.25">
      <c r="A704" s="64"/>
      <c r="B704" s="62"/>
      <c r="C704" s="62"/>
      <c r="D704" s="62"/>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c r="AE704" s="58"/>
      <c r="AF704" s="58"/>
      <c r="AG704" s="58"/>
      <c r="AH704" s="58"/>
      <c r="AI704" s="58"/>
      <c r="AJ704" s="58"/>
      <c r="AK704" s="58"/>
      <c r="AL704" s="58"/>
      <c r="AM704" s="58"/>
      <c r="AN704" s="58"/>
      <c r="AO704" s="58"/>
      <c r="AP704" s="58"/>
      <c r="AQ704" s="58"/>
      <c r="AR704" s="58"/>
    </row>
    <row r="705" spans="1:44" ht="15.75" customHeight="1" x14ac:dyDescent="0.25">
      <c r="A705" s="64"/>
      <c r="B705" s="62"/>
      <c r="C705" s="62"/>
      <c r="D705" s="62"/>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c r="AE705" s="58"/>
      <c r="AF705" s="58"/>
      <c r="AG705" s="58"/>
      <c r="AH705" s="58"/>
      <c r="AI705" s="58"/>
      <c r="AJ705" s="58"/>
      <c r="AK705" s="58"/>
      <c r="AL705" s="58"/>
      <c r="AM705" s="58"/>
      <c r="AN705" s="58"/>
      <c r="AO705" s="58"/>
      <c r="AP705" s="58"/>
      <c r="AQ705" s="58"/>
      <c r="AR705" s="58"/>
    </row>
    <row r="706" spans="1:44" ht="15.75" customHeight="1" x14ac:dyDescent="0.25">
      <c r="A706" s="64"/>
      <c r="B706" s="62"/>
      <c r="C706" s="62"/>
      <c r="D706" s="62"/>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c r="AE706" s="58"/>
      <c r="AF706" s="58"/>
      <c r="AG706" s="58"/>
      <c r="AH706" s="58"/>
      <c r="AI706" s="58"/>
      <c r="AJ706" s="58"/>
      <c r="AK706" s="58"/>
      <c r="AL706" s="58"/>
      <c r="AM706" s="58"/>
      <c r="AN706" s="58"/>
      <c r="AO706" s="58"/>
      <c r="AP706" s="58"/>
      <c r="AQ706" s="58"/>
      <c r="AR706" s="58"/>
    </row>
    <row r="707" spans="1:44" ht="15.75" customHeight="1" x14ac:dyDescent="0.25">
      <c r="A707" s="64"/>
      <c r="B707" s="62"/>
      <c r="C707" s="62"/>
      <c r="D707" s="62"/>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c r="AE707" s="58"/>
      <c r="AF707" s="58"/>
      <c r="AG707" s="58"/>
      <c r="AH707" s="58"/>
      <c r="AI707" s="58"/>
      <c r="AJ707" s="58"/>
      <c r="AK707" s="58"/>
      <c r="AL707" s="58"/>
      <c r="AM707" s="58"/>
      <c r="AN707" s="58"/>
      <c r="AO707" s="58"/>
      <c r="AP707" s="58"/>
      <c r="AQ707" s="58"/>
      <c r="AR707" s="58"/>
    </row>
    <row r="708" spans="1:44" ht="15.75" customHeight="1" x14ac:dyDescent="0.25">
      <c r="A708" s="64"/>
      <c r="B708" s="62"/>
      <c r="C708" s="62"/>
      <c r="D708" s="62"/>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c r="AE708" s="58"/>
      <c r="AF708" s="58"/>
      <c r="AG708" s="58"/>
      <c r="AH708" s="58"/>
      <c r="AI708" s="58"/>
      <c r="AJ708" s="58"/>
      <c r="AK708" s="58"/>
      <c r="AL708" s="58"/>
      <c r="AM708" s="58"/>
      <c r="AN708" s="58"/>
      <c r="AO708" s="58"/>
      <c r="AP708" s="58"/>
      <c r="AQ708" s="58"/>
      <c r="AR708" s="58"/>
    </row>
    <row r="709" spans="1:44" ht="15.75" customHeight="1" x14ac:dyDescent="0.25">
      <c r="A709" s="64"/>
      <c r="B709" s="62"/>
      <c r="C709" s="62"/>
      <c r="D709" s="62"/>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c r="AE709" s="58"/>
      <c r="AF709" s="58"/>
      <c r="AG709" s="58"/>
      <c r="AH709" s="58"/>
      <c r="AI709" s="58"/>
      <c r="AJ709" s="58"/>
      <c r="AK709" s="58"/>
      <c r="AL709" s="58"/>
      <c r="AM709" s="58"/>
      <c r="AN709" s="58"/>
      <c r="AO709" s="58"/>
      <c r="AP709" s="58"/>
      <c r="AQ709" s="58"/>
      <c r="AR709" s="58"/>
    </row>
    <row r="710" spans="1:44" ht="15.75" customHeight="1" x14ac:dyDescent="0.25">
      <c r="A710" s="64"/>
      <c r="B710" s="62"/>
      <c r="C710" s="62"/>
      <c r="D710" s="62"/>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c r="AE710" s="58"/>
      <c r="AF710" s="58"/>
      <c r="AG710" s="58"/>
      <c r="AH710" s="58"/>
      <c r="AI710" s="58"/>
      <c r="AJ710" s="58"/>
      <c r="AK710" s="58"/>
      <c r="AL710" s="58"/>
      <c r="AM710" s="58"/>
      <c r="AN710" s="58"/>
      <c r="AO710" s="58"/>
      <c r="AP710" s="58"/>
      <c r="AQ710" s="58"/>
      <c r="AR710" s="58"/>
    </row>
    <row r="711" spans="1:44" ht="15.75" customHeight="1" x14ac:dyDescent="0.25">
      <c r="A711" s="64"/>
      <c r="B711" s="62"/>
      <c r="C711" s="62"/>
      <c r="D711" s="62"/>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c r="AE711" s="58"/>
      <c r="AF711" s="58"/>
      <c r="AG711" s="58"/>
      <c r="AH711" s="58"/>
      <c r="AI711" s="58"/>
      <c r="AJ711" s="58"/>
      <c r="AK711" s="58"/>
      <c r="AL711" s="58"/>
      <c r="AM711" s="58"/>
      <c r="AN711" s="58"/>
      <c r="AO711" s="58"/>
      <c r="AP711" s="58"/>
      <c r="AQ711" s="58"/>
      <c r="AR711" s="58"/>
    </row>
    <row r="712" spans="1:44" ht="15.75" customHeight="1" x14ac:dyDescent="0.25">
      <c r="A712" s="64"/>
      <c r="B712" s="62"/>
      <c r="C712" s="62"/>
      <c r="D712" s="62"/>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c r="AE712" s="58"/>
      <c r="AF712" s="58"/>
      <c r="AG712" s="58"/>
      <c r="AH712" s="58"/>
      <c r="AI712" s="58"/>
      <c r="AJ712" s="58"/>
      <c r="AK712" s="58"/>
      <c r="AL712" s="58"/>
      <c r="AM712" s="58"/>
      <c r="AN712" s="58"/>
      <c r="AO712" s="58"/>
      <c r="AP712" s="58"/>
      <c r="AQ712" s="58"/>
      <c r="AR712" s="58"/>
    </row>
    <row r="713" spans="1:44" ht="15.75" customHeight="1" x14ac:dyDescent="0.25">
      <c r="A713" s="64"/>
      <c r="B713" s="62"/>
      <c r="C713" s="62"/>
      <c r="D713" s="62"/>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c r="AE713" s="58"/>
      <c r="AF713" s="58"/>
      <c r="AG713" s="58"/>
      <c r="AH713" s="58"/>
      <c r="AI713" s="58"/>
      <c r="AJ713" s="58"/>
      <c r="AK713" s="58"/>
      <c r="AL713" s="58"/>
      <c r="AM713" s="58"/>
      <c r="AN713" s="58"/>
      <c r="AO713" s="58"/>
      <c r="AP713" s="58"/>
      <c r="AQ713" s="58"/>
      <c r="AR713" s="58"/>
    </row>
    <row r="714" spans="1:44" ht="15.75" customHeight="1" x14ac:dyDescent="0.25">
      <c r="A714" s="64"/>
      <c r="B714" s="62"/>
      <c r="C714" s="62"/>
      <c r="D714" s="62"/>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c r="AE714" s="58"/>
      <c r="AF714" s="58"/>
      <c r="AG714" s="58"/>
      <c r="AH714" s="58"/>
      <c r="AI714" s="58"/>
      <c r="AJ714" s="58"/>
      <c r="AK714" s="58"/>
      <c r="AL714" s="58"/>
      <c r="AM714" s="58"/>
      <c r="AN714" s="58"/>
      <c r="AO714" s="58"/>
      <c r="AP714" s="58"/>
      <c r="AQ714" s="58"/>
      <c r="AR714" s="58"/>
    </row>
    <row r="715" spans="1:44" ht="15.75" customHeight="1" x14ac:dyDescent="0.25">
      <c r="A715" s="64"/>
      <c r="B715" s="62"/>
      <c r="C715" s="62"/>
      <c r="D715" s="62"/>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c r="AE715" s="58"/>
      <c r="AF715" s="58"/>
      <c r="AG715" s="58"/>
      <c r="AH715" s="58"/>
      <c r="AI715" s="58"/>
      <c r="AJ715" s="58"/>
      <c r="AK715" s="58"/>
      <c r="AL715" s="58"/>
      <c r="AM715" s="58"/>
      <c r="AN715" s="58"/>
      <c r="AO715" s="58"/>
      <c r="AP715" s="58"/>
      <c r="AQ715" s="58"/>
      <c r="AR715" s="58"/>
    </row>
    <row r="716" spans="1:44" ht="15.75" customHeight="1" x14ac:dyDescent="0.25">
      <c r="A716" s="64"/>
      <c r="B716" s="62"/>
      <c r="C716" s="62"/>
      <c r="D716" s="62"/>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c r="AE716" s="58"/>
      <c r="AF716" s="58"/>
      <c r="AG716" s="58"/>
      <c r="AH716" s="58"/>
      <c r="AI716" s="58"/>
      <c r="AJ716" s="58"/>
      <c r="AK716" s="58"/>
      <c r="AL716" s="58"/>
      <c r="AM716" s="58"/>
      <c r="AN716" s="58"/>
      <c r="AO716" s="58"/>
      <c r="AP716" s="58"/>
      <c r="AQ716" s="58"/>
      <c r="AR716" s="58"/>
    </row>
    <row r="717" spans="1:44" ht="15.75" customHeight="1" x14ac:dyDescent="0.25">
      <c r="A717" s="64"/>
      <c r="B717" s="62"/>
      <c r="C717" s="62"/>
      <c r="D717" s="62"/>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c r="AE717" s="58"/>
      <c r="AF717" s="58"/>
      <c r="AG717" s="58"/>
      <c r="AH717" s="58"/>
      <c r="AI717" s="58"/>
      <c r="AJ717" s="58"/>
      <c r="AK717" s="58"/>
      <c r="AL717" s="58"/>
      <c r="AM717" s="58"/>
      <c r="AN717" s="58"/>
      <c r="AO717" s="58"/>
      <c r="AP717" s="58"/>
      <c r="AQ717" s="58"/>
      <c r="AR717" s="58"/>
    </row>
    <row r="718" spans="1:44" ht="15.75" customHeight="1" x14ac:dyDescent="0.25">
      <c r="A718" s="64"/>
      <c r="B718" s="62"/>
      <c r="C718" s="62"/>
      <c r="D718" s="62"/>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c r="AE718" s="58"/>
      <c r="AF718" s="58"/>
      <c r="AG718" s="58"/>
      <c r="AH718" s="58"/>
      <c r="AI718" s="58"/>
      <c r="AJ718" s="58"/>
      <c r="AK718" s="58"/>
      <c r="AL718" s="58"/>
      <c r="AM718" s="58"/>
      <c r="AN718" s="58"/>
      <c r="AO718" s="58"/>
      <c r="AP718" s="58"/>
      <c r="AQ718" s="58"/>
      <c r="AR718" s="58"/>
    </row>
    <row r="719" spans="1:44" ht="15.75" customHeight="1" x14ac:dyDescent="0.25">
      <c r="A719" s="64"/>
      <c r="B719" s="62"/>
      <c r="C719" s="62"/>
      <c r="D719" s="62"/>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c r="AE719" s="58"/>
      <c r="AF719" s="58"/>
      <c r="AG719" s="58"/>
      <c r="AH719" s="58"/>
      <c r="AI719" s="58"/>
      <c r="AJ719" s="58"/>
      <c r="AK719" s="58"/>
      <c r="AL719" s="58"/>
      <c r="AM719" s="58"/>
      <c r="AN719" s="58"/>
      <c r="AO719" s="58"/>
      <c r="AP719" s="58"/>
      <c r="AQ719" s="58"/>
      <c r="AR719" s="58"/>
    </row>
    <row r="720" spans="1:44" ht="15.75" customHeight="1" x14ac:dyDescent="0.25">
      <c r="A720" s="64"/>
      <c r="B720" s="62"/>
      <c r="C720" s="62"/>
      <c r="D720" s="62"/>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c r="AE720" s="58"/>
      <c r="AF720" s="58"/>
      <c r="AG720" s="58"/>
      <c r="AH720" s="58"/>
      <c r="AI720" s="58"/>
      <c r="AJ720" s="58"/>
      <c r="AK720" s="58"/>
      <c r="AL720" s="58"/>
      <c r="AM720" s="58"/>
      <c r="AN720" s="58"/>
      <c r="AO720" s="58"/>
      <c r="AP720" s="58"/>
      <c r="AQ720" s="58"/>
      <c r="AR720" s="58"/>
    </row>
    <row r="721" spans="1:44" ht="15.75" customHeight="1" x14ac:dyDescent="0.25">
      <c r="A721" s="64"/>
      <c r="B721" s="62"/>
      <c r="C721" s="62"/>
      <c r="D721" s="62"/>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c r="AE721" s="58"/>
      <c r="AF721" s="58"/>
      <c r="AG721" s="58"/>
      <c r="AH721" s="58"/>
      <c r="AI721" s="58"/>
      <c r="AJ721" s="58"/>
      <c r="AK721" s="58"/>
      <c r="AL721" s="58"/>
      <c r="AM721" s="58"/>
      <c r="AN721" s="58"/>
      <c r="AO721" s="58"/>
      <c r="AP721" s="58"/>
      <c r="AQ721" s="58"/>
      <c r="AR721" s="58"/>
    </row>
    <row r="722" spans="1:44" ht="15.75" customHeight="1" x14ac:dyDescent="0.25">
      <c r="A722" s="64"/>
      <c r="B722" s="62"/>
      <c r="C722" s="62"/>
      <c r="D722" s="62"/>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c r="AE722" s="58"/>
      <c r="AF722" s="58"/>
      <c r="AG722" s="58"/>
      <c r="AH722" s="58"/>
      <c r="AI722" s="58"/>
      <c r="AJ722" s="58"/>
      <c r="AK722" s="58"/>
      <c r="AL722" s="58"/>
      <c r="AM722" s="58"/>
      <c r="AN722" s="58"/>
      <c r="AO722" s="58"/>
      <c r="AP722" s="58"/>
      <c r="AQ722" s="58"/>
      <c r="AR722" s="58"/>
    </row>
    <row r="723" spans="1:44" ht="15.75" customHeight="1" x14ac:dyDescent="0.25">
      <c r="A723" s="64"/>
      <c r="B723" s="62"/>
      <c r="C723" s="62"/>
      <c r="D723" s="62"/>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c r="AE723" s="58"/>
      <c r="AF723" s="58"/>
      <c r="AG723" s="58"/>
      <c r="AH723" s="58"/>
      <c r="AI723" s="58"/>
      <c r="AJ723" s="58"/>
      <c r="AK723" s="58"/>
      <c r="AL723" s="58"/>
      <c r="AM723" s="58"/>
      <c r="AN723" s="58"/>
      <c r="AO723" s="58"/>
      <c r="AP723" s="58"/>
      <c r="AQ723" s="58"/>
      <c r="AR723" s="58"/>
    </row>
    <row r="724" spans="1:44" ht="15.75" customHeight="1" x14ac:dyDescent="0.25">
      <c r="A724" s="64"/>
      <c r="B724" s="62"/>
      <c r="C724" s="62"/>
      <c r="D724" s="62"/>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c r="AE724" s="58"/>
      <c r="AF724" s="58"/>
      <c r="AG724" s="58"/>
      <c r="AH724" s="58"/>
      <c r="AI724" s="58"/>
      <c r="AJ724" s="58"/>
      <c r="AK724" s="58"/>
      <c r="AL724" s="58"/>
      <c r="AM724" s="58"/>
      <c r="AN724" s="58"/>
      <c r="AO724" s="58"/>
      <c r="AP724" s="58"/>
      <c r="AQ724" s="58"/>
      <c r="AR724" s="58"/>
    </row>
    <row r="725" spans="1:44" ht="15.75" customHeight="1" x14ac:dyDescent="0.25">
      <c r="A725" s="64"/>
      <c r="B725" s="62"/>
      <c r="C725" s="62"/>
      <c r="D725" s="62"/>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c r="AE725" s="58"/>
      <c r="AF725" s="58"/>
      <c r="AG725" s="58"/>
      <c r="AH725" s="58"/>
      <c r="AI725" s="58"/>
      <c r="AJ725" s="58"/>
      <c r="AK725" s="58"/>
      <c r="AL725" s="58"/>
      <c r="AM725" s="58"/>
      <c r="AN725" s="58"/>
      <c r="AO725" s="58"/>
      <c r="AP725" s="58"/>
      <c r="AQ725" s="58"/>
      <c r="AR725" s="58"/>
    </row>
    <row r="726" spans="1:44" ht="15.75" customHeight="1" x14ac:dyDescent="0.25">
      <c r="A726" s="64"/>
      <c r="B726" s="62"/>
      <c r="C726" s="62"/>
      <c r="D726" s="62"/>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c r="AE726" s="58"/>
      <c r="AF726" s="58"/>
      <c r="AG726" s="58"/>
      <c r="AH726" s="58"/>
      <c r="AI726" s="58"/>
      <c r="AJ726" s="58"/>
      <c r="AK726" s="58"/>
      <c r="AL726" s="58"/>
      <c r="AM726" s="58"/>
      <c r="AN726" s="58"/>
      <c r="AO726" s="58"/>
      <c r="AP726" s="58"/>
      <c r="AQ726" s="58"/>
      <c r="AR726" s="58"/>
    </row>
    <row r="727" spans="1:44" ht="15.75" customHeight="1" x14ac:dyDescent="0.25">
      <c r="A727" s="64"/>
      <c r="B727" s="62"/>
      <c r="C727" s="62"/>
      <c r="D727" s="62"/>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c r="AE727" s="58"/>
      <c r="AF727" s="58"/>
      <c r="AG727" s="58"/>
      <c r="AH727" s="58"/>
      <c r="AI727" s="58"/>
      <c r="AJ727" s="58"/>
      <c r="AK727" s="58"/>
      <c r="AL727" s="58"/>
      <c r="AM727" s="58"/>
      <c r="AN727" s="58"/>
      <c r="AO727" s="58"/>
      <c r="AP727" s="58"/>
      <c r="AQ727" s="58"/>
      <c r="AR727" s="58"/>
    </row>
    <row r="728" spans="1:44" ht="15.75" customHeight="1" x14ac:dyDescent="0.25">
      <c r="A728" s="64"/>
      <c r="B728" s="62"/>
      <c r="C728" s="62"/>
      <c r="D728" s="62"/>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c r="AE728" s="58"/>
      <c r="AF728" s="58"/>
      <c r="AG728" s="58"/>
      <c r="AH728" s="58"/>
      <c r="AI728" s="58"/>
      <c r="AJ728" s="58"/>
      <c r="AK728" s="58"/>
      <c r="AL728" s="58"/>
      <c r="AM728" s="58"/>
      <c r="AN728" s="58"/>
      <c r="AO728" s="58"/>
      <c r="AP728" s="58"/>
      <c r="AQ728" s="58"/>
      <c r="AR728" s="58"/>
    </row>
    <row r="729" spans="1:44" ht="15.75" customHeight="1" x14ac:dyDescent="0.25">
      <c r="A729" s="64"/>
      <c r="B729" s="62"/>
      <c r="C729" s="62"/>
      <c r="D729" s="62"/>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c r="AE729" s="58"/>
      <c r="AF729" s="58"/>
      <c r="AG729" s="58"/>
      <c r="AH729" s="58"/>
      <c r="AI729" s="58"/>
      <c r="AJ729" s="58"/>
      <c r="AK729" s="58"/>
      <c r="AL729" s="58"/>
      <c r="AM729" s="58"/>
      <c r="AN729" s="58"/>
      <c r="AO729" s="58"/>
      <c r="AP729" s="58"/>
      <c r="AQ729" s="58"/>
      <c r="AR729" s="58"/>
    </row>
    <row r="730" spans="1:44" ht="15.75" customHeight="1" x14ac:dyDescent="0.25">
      <c r="A730" s="64"/>
      <c r="B730" s="62"/>
      <c r="C730" s="62"/>
      <c r="D730" s="62"/>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c r="AE730" s="58"/>
      <c r="AF730" s="58"/>
      <c r="AG730" s="58"/>
      <c r="AH730" s="58"/>
      <c r="AI730" s="58"/>
      <c r="AJ730" s="58"/>
      <c r="AK730" s="58"/>
      <c r="AL730" s="58"/>
      <c r="AM730" s="58"/>
      <c r="AN730" s="58"/>
      <c r="AO730" s="58"/>
      <c r="AP730" s="58"/>
      <c r="AQ730" s="58"/>
      <c r="AR730" s="58"/>
    </row>
    <row r="731" spans="1:44" ht="15.75" customHeight="1" x14ac:dyDescent="0.25">
      <c r="A731" s="64"/>
      <c r="B731" s="62"/>
      <c r="C731" s="62"/>
      <c r="D731" s="62"/>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c r="AE731" s="58"/>
      <c r="AF731" s="58"/>
      <c r="AG731" s="58"/>
      <c r="AH731" s="58"/>
      <c r="AI731" s="58"/>
      <c r="AJ731" s="58"/>
      <c r="AK731" s="58"/>
      <c r="AL731" s="58"/>
      <c r="AM731" s="58"/>
      <c r="AN731" s="58"/>
      <c r="AO731" s="58"/>
      <c r="AP731" s="58"/>
      <c r="AQ731" s="58"/>
      <c r="AR731" s="58"/>
    </row>
    <row r="732" spans="1:44" ht="15.75" customHeight="1" x14ac:dyDescent="0.25">
      <c r="A732" s="64"/>
      <c r="B732" s="62"/>
      <c r="C732" s="62"/>
      <c r="D732" s="62"/>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c r="AE732" s="58"/>
      <c r="AF732" s="58"/>
      <c r="AG732" s="58"/>
      <c r="AH732" s="58"/>
      <c r="AI732" s="58"/>
      <c r="AJ732" s="58"/>
      <c r="AK732" s="58"/>
      <c r="AL732" s="58"/>
      <c r="AM732" s="58"/>
      <c r="AN732" s="58"/>
      <c r="AO732" s="58"/>
      <c r="AP732" s="58"/>
      <c r="AQ732" s="58"/>
      <c r="AR732" s="58"/>
    </row>
    <row r="733" spans="1:44" ht="15.75" customHeight="1" x14ac:dyDescent="0.25">
      <c r="A733" s="64"/>
      <c r="B733" s="62"/>
      <c r="C733" s="62"/>
      <c r="D733" s="62"/>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c r="AE733" s="58"/>
      <c r="AF733" s="58"/>
      <c r="AG733" s="58"/>
      <c r="AH733" s="58"/>
      <c r="AI733" s="58"/>
      <c r="AJ733" s="58"/>
      <c r="AK733" s="58"/>
      <c r="AL733" s="58"/>
      <c r="AM733" s="58"/>
      <c r="AN733" s="58"/>
      <c r="AO733" s="58"/>
      <c r="AP733" s="58"/>
      <c r="AQ733" s="58"/>
      <c r="AR733" s="58"/>
    </row>
    <row r="734" spans="1:44" ht="15.75" customHeight="1" x14ac:dyDescent="0.25">
      <c r="A734" s="64"/>
      <c r="B734" s="62"/>
      <c r="C734" s="62"/>
      <c r="D734" s="62"/>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c r="AE734" s="58"/>
      <c r="AF734" s="58"/>
      <c r="AG734" s="58"/>
      <c r="AH734" s="58"/>
      <c r="AI734" s="58"/>
      <c r="AJ734" s="58"/>
      <c r="AK734" s="58"/>
      <c r="AL734" s="58"/>
      <c r="AM734" s="58"/>
      <c r="AN734" s="58"/>
      <c r="AO734" s="58"/>
      <c r="AP734" s="58"/>
      <c r="AQ734" s="58"/>
      <c r="AR734" s="58"/>
    </row>
    <row r="735" spans="1:44" ht="15.75" customHeight="1" x14ac:dyDescent="0.25">
      <c r="A735" s="64"/>
      <c r="B735" s="62"/>
      <c r="C735" s="62"/>
      <c r="D735" s="62"/>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c r="AE735" s="58"/>
      <c r="AF735" s="58"/>
      <c r="AG735" s="58"/>
      <c r="AH735" s="58"/>
      <c r="AI735" s="58"/>
      <c r="AJ735" s="58"/>
      <c r="AK735" s="58"/>
      <c r="AL735" s="58"/>
      <c r="AM735" s="58"/>
      <c r="AN735" s="58"/>
      <c r="AO735" s="58"/>
      <c r="AP735" s="58"/>
      <c r="AQ735" s="58"/>
      <c r="AR735" s="58"/>
    </row>
    <row r="736" spans="1:44" ht="15.75" customHeight="1" x14ac:dyDescent="0.25">
      <c r="A736" s="64"/>
      <c r="B736" s="62"/>
      <c r="C736" s="62"/>
      <c r="D736" s="62"/>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c r="AE736" s="58"/>
      <c r="AF736" s="58"/>
      <c r="AG736" s="58"/>
      <c r="AH736" s="58"/>
      <c r="AI736" s="58"/>
      <c r="AJ736" s="58"/>
      <c r="AK736" s="58"/>
      <c r="AL736" s="58"/>
      <c r="AM736" s="58"/>
      <c r="AN736" s="58"/>
      <c r="AO736" s="58"/>
      <c r="AP736" s="58"/>
      <c r="AQ736" s="58"/>
      <c r="AR736" s="58"/>
    </row>
    <row r="737" spans="1:44" ht="15.75" customHeight="1" x14ac:dyDescent="0.25">
      <c r="A737" s="64"/>
      <c r="B737" s="62"/>
      <c r="C737" s="62"/>
      <c r="D737" s="62"/>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c r="AE737" s="58"/>
      <c r="AF737" s="58"/>
      <c r="AG737" s="58"/>
      <c r="AH737" s="58"/>
      <c r="AI737" s="58"/>
      <c r="AJ737" s="58"/>
      <c r="AK737" s="58"/>
      <c r="AL737" s="58"/>
      <c r="AM737" s="58"/>
      <c r="AN737" s="58"/>
      <c r="AO737" s="58"/>
      <c r="AP737" s="58"/>
      <c r="AQ737" s="58"/>
      <c r="AR737" s="58"/>
    </row>
    <row r="738" spans="1:44" ht="15.75" customHeight="1" x14ac:dyDescent="0.25">
      <c r="A738" s="64"/>
      <c r="B738" s="62"/>
      <c r="C738" s="62"/>
      <c r="D738" s="62"/>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c r="AE738" s="58"/>
      <c r="AF738" s="58"/>
      <c r="AG738" s="58"/>
      <c r="AH738" s="58"/>
      <c r="AI738" s="58"/>
      <c r="AJ738" s="58"/>
      <c r="AK738" s="58"/>
      <c r="AL738" s="58"/>
      <c r="AM738" s="58"/>
      <c r="AN738" s="58"/>
      <c r="AO738" s="58"/>
      <c r="AP738" s="58"/>
      <c r="AQ738" s="58"/>
      <c r="AR738" s="58"/>
    </row>
    <row r="739" spans="1:44" ht="15.75" customHeight="1" x14ac:dyDescent="0.25">
      <c r="A739" s="64"/>
      <c r="B739" s="62"/>
      <c r="C739" s="62"/>
      <c r="D739" s="62"/>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c r="AE739" s="58"/>
      <c r="AF739" s="58"/>
      <c r="AG739" s="58"/>
      <c r="AH739" s="58"/>
      <c r="AI739" s="58"/>
      <c r="AJ739" s="58"/>
      <c r="AK739" s="58"/>
      <c r="AL739" s="58"/>
      <c r="AM739" s="58"/>
      <c r="AN739" s="58"/>
      <c r="AO739" s="58"/>
      <c r="AP739" s="58"/>
      <c r="AQ739" s="58"/>
      <c r="AR739" s="58"/>
    </row>
    <row r="740" spans="1:44" ht="15.75" customHeight="1" x14ac:dyDescent="0.25">
      <c r="A740" s="64"/>
      <c r="B740" s="62"/>
      <c r="C740" s="62"/>
      <c r="D740" s="62"/>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c r="AE740" s="58"/>
      <c r="AF740" s="58"/>
      <c r="AG740" s="58"/>
      <c r="AH740" s="58"/>
      <c r="AI740" s="58"/>
      <c r="AJ740" s="58"/>
      <c r="AK740" s="58"/>
      <c r="AL740" s="58"/>
      <c r="AM740" s="58"/>
      <c r="AN740" s="58"/>
      <c r="AO740" s="58"/>
      <c r="AP740" s="58"/>
      <c r="AQ740" s="58"/>
      <c r="AR740" s="58"/>
    </row>
    <row r="741" spans="1:44" ht="15.75" customHeight="1" x14ac:dyDescent="0.25">
      <c r="A741" s="64"/>
      <c r="B741" s="62"/>
      <c r="C741" s="62"/>
      <c r="D741" s="62"/>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c r="AE741" s="58"/>
      <c r="AF741" s="58"/>
      <c r="AG741" s="58"/>
      <c r="AH741" s="58"/>
      <c r="AI741" s="58"/>
      <c r="AJ741" s="58"/>
      <c r="AK741" s="58"/>
      <c r="AL741" s="58"/>
      <c r="AM741" s="58"/>
      <c r="AN741" s="58"/>
      <c r="AO741" s="58"/>
      <c r="AP741" s="58"/>
      <c r="AQ741" s="58"/>
      <c r="AR741" s="58"/>
    </row>
    <row r="742" spans="1:44" ht="15.75" customHeight="1" x14ac:dyDescent="0.25">
      <c r="A742" s="64"/>
      <c r="B742" s="62"/>
      <c r="C742" s="62"/>
      <c r="D742" s="62"/>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c r="AE742" s="58"/>
      <c r="AF742" s="58"/>
      <c r="AG742" s="58"/>
      <c r="AH742" s="58"/>
      <c r="AI742" s="58"/>
      <c r="AJ742" s="58"/>
      <c r="AK742" s="58"/>
      <c r="AL742" s="58"/>
      <c r="AM742" s="58"/>
      <c r="AN742" s="58"/>
      <c r="AO742" s="58"/>
      <c r="AP742" s="58"/>
      <c r="AQ742" s="58"/>
      <c r="AR742" s="58"/>
    </row>
    <row r="743" spans="1:44" ht="15.75" customHeight="1" x14ac:dyDescent="0.25">
      <c r="A743" s="64"/>
      <c r="B743" s="62"/>
      <c r="C743" s="62"/>
      <c r="D743" s="62"/>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c r="AE743" s="58"/>
      <c r="AF743" s="58"/>
      <c r="AG743" s="58"/>
      <c r="AH743" s="58"/>
      <c r="AI743" s="58"/>
      <c r="AJ743" s="58"/>
      <c r="AK743" s="58"/>
      <c r="AL743" s="58"/>
      <c r="AM743" s="58"/>
      <c r="AN743" s="58"/>
      <c r="AO743" s="58"/>
      <c r="AP743" s="58"/>
      <c r="AQ743" s="58"/>
      <c r="AR743" s="58"/>
    </row>
    <row r="744" spans="1:44" ht="15.75" customHeight="1" x14ac:dyDescent="0.25">
      <c r="A744" s="64"/>
      <c r="B744" s="62"/>
      <c r="C744" s="62"/>
      <c r="D744" s="62"/>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c r="AE744" s="58"/>
      <c r="AF744" s="58"/>
      <c r="AG744" s="58"/>
      <c r="AH744" s="58"/>
      <c r="AI744" s="58"/>
      <c r="AJ744" s="58"/>
      <c r="AK744" s="58"/>
      <c r="AL744" s="58"/>
      <c r="AM744" s="58"/>
      <c r="AN744" s="58"/>
      <c r="AO744" s="58"/>
      <c r="AP744" s="58"/>
      <c r="AQ744" s="58"/>
      <c r="AR744" s="58"/>
    </row>
    <row r="745" spans="1:44" ht="15.75" customHeight="1" x14ac:dyDescent="0.25">
      <c r="A745" s="64"/>
      <c r="B745" s="62"/>
      <c r="C745" s="62"/>
      <c r="D745" s="62"/>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c r="AE745" s="58"/>
      <c r="AF745" s="58"/>
      <c r="AG745" s="58"/>
      <c r="AH745" s="58"/>
      <c r="AI745" s="58"/>
      <c r="AJ745" s="58"/>
      <c r="AK745" s="58"/>
      <c r="AL745" s="58"/>
      <c r="AM745" s="58"/>
      <c r="AN745" s="58"/>
      <c r="AO745" s="58"/>
      <c r="AP745" s="58"/>
      <c r="AQ745" s="58"/>
      <c r="AR745" s="58"/>
    </row>
    <row r="746" spans="1:44" ht="15.75" customHeight="1" x14ac:dyDescent="0.25">
      <c r="A746" s="64"/>
      <c r="B746" s="62"/>
      <c r="C746" s="62"/>
      <c r="D746" s="62"/>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c r="AE746" s="58"/>
      <c r="AF746" s="58"/>
      <c r="AG746" s="58"/>
      <c r="AH746" s="58"/>
      <c r="AI746" s="58"/>
      <c r="AJ746" s="58"/>
      <c r="AK746" s="58"/>
      <c r="AL746" s="58"/>
      <c r="AM746" s="58"/>
      <c r="AN746" s="58"/>
      <c r="AO746" s="58"/>
      <c r="AP746" s="58"/>
      <c r="AQ746" s="58"/>
      <c r="AR746" s="58"/>
    </row>
    <row r="747" spans="1:44" ht="15.75" customHeight="1" x14ac:dyDescent="0.25">
      <c r="A747" s="64"/>
      <c r="B747" s="62"/>
      <c r="C747" s="62"/>
      <c r="D747" s="62"/>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c r="AE747" s="58"/>
      <c r="AF747" s="58"/>
      <c r="AG747" s="58"/>
      <c r="AH747" s="58"/>
      <c r="AI747" s="58"/>
      <c r="AJ747" s="58"/>
      <c r="AK747" s="58"/>
      <c r="AL747" s="58"/>
      <c r="AM747" s="58"/>
      <c r="AN747" s="58"/>
      <c r="AO747" s="58"/>
      <c r="AP747" s="58"/>
      <c r="AQ747" s="58"/>
      <c r="AR747" s="58"/>
    </row>
    <row r="748" spans="1:44" ht="15.75" customHeight="1" x14ac:dyDescent="0.25">
      <c r="A748" s="64"/>
      <c r="B748" s="62"/>
      <c r="C748" s="62"/>
      <c r="D748" s="62"/>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c r="AE748" s="58"/>
      <c r="AF748" s="58"/>
      <c r="AG748" s="58"/>
      <c r="AH748" s="58"/>
      <c r="AI748" s="58"/>
      <c r="AJ748" s="58"/>
      <c r="AK748" s="58"/>
      <c r="AL748" s="58"/>
      <c r="AM748" s="58"/>
      <c r="AN748" s="58"/>
      <c r="AO748" s="58"/>
      <c r="AP748" s="58"/>
      <c r="AQ748" s="58"/>
      <c r="AR748" s="58"/>
    </row>
    <row r="749" spans="1:44" ht="15.75" customHeight="1" x14ac:dyDescent="0.25">
      <c r="A749" s="64"/>
      <c r="B749" s="62"/>
      <c r="C749" s="62"/>
      <c r="D749" s="62"/>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c r="AE749" s="58"/>
      <c r="AF749" s="58"/>
      <c r="AG749" s="58"/>
      <c r="AH749" s="58"/>
      <c r="AI749" s="58"/>
      <c r="AJ749" s="58"/>
      <c r="AK749" s="58"/>
      <c r="AL749" s="58"/>
      <c r="AM749" s="58"/>
      <c r="AN749" s="58"/>
      <c r="AO749" s="58"/>
      <c r="AP749" s="58"/>
      <c r="AQ749" s="58"/>
      <c r="AR749" s="58"/>
    </row>
    <row r="750" spans="1:44" ht="15.75" customHeight="1" x14ac:dyDescent="0.25">
      <c r="A750" s="64"/>
      <c r="B750" s="62"/>
      <c r="C750" s="62"/>
      <c r="D750" s="62"/>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c r="AE750" s="58"/>
      <c r="AF750" s="58"/>
      <c r="AG750" s="58"/>
      <c r="AH750" s="58"/>
      <c r="AI750" s="58"/>
      <c r="AJ750" s="58"/>
      <c r="AK750" s="58"/>
      <c r="AL750" s="58"/>
      <c r="AM750" s="58"/>
      <c r="AN750" s="58"/>
      <c r="AO750" s="58"/>
      <c r="AP750" s="58"/>
      <c r="AQ750" s="58"/>
      <c r="AR750" s="58"/>
    </row>
    <row r="751" spans="1:44" ht="15.75" customHeight="1" x14ac:dyDescent="0.25">
      <c r="A751" s="64"/>
      <c r="B751" s="62"/>
      <c r="C751" s="62"/>
      <c r="D751" s="62"/>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c r="AE751" s="58"/>
      <c r="AF751" s="58"/>
      <c r="AG751" s="58"/>
      <c r="AH751" s="58"/>
      <c r="AI751" s="58"/>
      <c r="AJ751" s="58"/>
      <c r="AK751" s="58"/>
      <c r="AL751" s="58"/>
      <c r="AM751" s="58"/>
      <c r="AN751" s="58"/>
      <c r="AO751" s="58"/>
      <c r="AP751" s="58"/>
      <c r="AQ751" s="58"/>
      <c r="AR751" s="58"/>
    </row>
    <row r="752" spans="1:44" ht="15.75" customHeight="1" x14ac:dyDescent="0.25">
      <c r="A752" s="64"/>
      <c r="B752" s="62"/>
      <c r="C752" s="62"/>
      <c r="D752" s="62"/>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c r="AE752" s="58"/>
      <c r="AF752" s="58"/>
      <c r="AG752" s="58"/>
      <c r="AH752" s="58"/>
      <c r="AI752" s="58"/>
      <c r="AJ752" s="58"/>
      <c r="AK752" s="58"/>
      <c r="AL752" s="58"/>
      <c r="AM752" s="58"/>
      <c r="AN752" s="58"/>
      <c r="AO752" s="58"/>
      <c r="AP752" s="58"/>
      <c r="AQ752" s="58"/>
      <c r="AR752" s="58"/>
    </row>
    <row r="753" spans="1:44" ht="15.75" customHeight="1" x14ac:dyDescent="0.25">
      <c r="A753" s="64"/>
      <c r="B753" s="62"/>
      <c r="C753" s="62"/>
      <c r="D753" s="62"/>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c r="AE753" s="58"/>
      <c r="AF753" s="58"/>
      <c r="AG753" s="58"/>
      <c r="AH753" s="58"/>
      <c r="AI753" s="58"/>
      <c r="AJ753" s="58"/>
      <c r="AK753" s="58"/>
      <c r="AL753" s="58"/>
      <c r="AM753" s="58"/>
      <c r="AN753" s="58"/>
      <c r="AO753" s="58"/>
      <c r="AP753" s="58"/>
      <c r="AQ753" s="58"/>
      <c r="AR753" s="58"/>
    </row>
    <row r="754" spans="1:44" ht="15.75" customHeight="1" x14ac:dyDescent="0.25">
      <c r="A754" s="64"/>
      <c r="B754" s="62"/>
      <c r="C754" s="62"/>
      <c r="D754" s="62"/>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c r="AE754" s="58"/>
      <c r="AF754" s="58"/>
      <c r="AG754" s="58"/>
      <c r="AH754" s="58"/>
      <c r="AI754" s="58"/>
      <c r="AJ754" s="58"/>
      <c r="AK754" s="58"/>
      <c r="AL754" s="58"/>
      <c r="AM754" s="58"/>
      <c r="AN754" s="58"/>
      <c r="AO754" s="58"/>
      <c r="AP754" s="58"/>
      <c r="AQ754" s="58"/>
      <c r="AR754" s="58"/>
    </row>
    <row r="755" spans="1:44" ht="15.75" customHeight="1" x14ac:dyDescent="0.25">
      <c r="A755" s="64"/>
      <c r="B755" s="62"/>
      <c r="C755" s="62"/>
      <c r="D755" s="62"/>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c r="AE755" s="58"/>
      <c r="AF755" s="58"/>
      <c r="AG755" s="58"/>
      <c r="AH755" s="58"/>
      <c r="AI755" s="58"/>
      <c r="AJ755" s="58"/>
      <c r="AK755" s="58"/>
      <c r="AL755" s="58"/>
      <c r="AM755" s="58"/>
      <c r="AN755" s="58"/>
      <c r="AO755" s="58"/>
      <c r="AP755" s="58"/>
      <c r="AQ755" s="58"/>
      <c r="AR755" s="58"/>
    </row>
    <row r="756" spans="1:44" ht="15.75" customHeight="1" x14ac:dyDescent="0.25">
      <c r="A756" s="64"/>
      <c r="B756" s="62"/>
      <c r="C756" s="62"/>
      <c r="D756" s="62"/>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c r="AE756" s="58"/>
      <c r="AF756" s="58"/>
      <c r="AG756" s="58"/>
      <c r="AH756" s="58"/>
      <c r="AI756" s="58"/>
      <c r="AJ756" s="58"/>
      <c r="AK756" s="58"/>
      <c r="AL756" s="58"/>
      <c r="AM756" s="58"/>
      <c r="AN756" s="58"/>
      <c r="AO756" s="58"/>
      <c r="AP756" s="58"/>
      <c r="AQ756" s="58"/>
      <c r="AR756" s="58"/>
    </row>
    <row r="757" spans="1:44" ht="15.75" customHeight="1" x14ac:dyDescent="0.25">
      <c r="A757" s="64"/>
      <c r="B757" s="62"/>
      <c r="C757" s="62"/>
      <c r="D757" s="62"/>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c r="AG757" s="58"/>
      <c r="AH757" s="58"/>
      <c r="AI757" s="58"/>
      <c r="AJ757" s="58"/>
      <c r="AK757" s="58"/>
      <c r="AL757" s="58"/>
      <c r="AM757" s="58"/>
      <c r="AN757" s="58"/>
      <c r="AO757" s="58"/>
      <c r="AP757" s="58"/>
      <c r="AQ757" s="58"/>
      <c r="AR757" s="58"/>
    </row>
    <row r="758" spans="1:44" ht="15.75" customHeight="1" x14ac:dyDescent="0.25">
      <c r="A758" s="64"/>
      <c r="B758" s="62"/>
      <c r="C758" s="62"/>
      <c r="D758" s="62"/>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c r="AE758" s="58"/>
      <c r="AF758" s="58"/>
      <c r="AG758" s="58"/>
      <c r="AH758" s="58"/>
      <c r="AI758" s="58"/>
      <c r="AJ758" s="58"/>
      <c r="AK758" s="58"/>
      <c r="AL758" s="58"/>
      <c r="AM758" s="58"/>
      <c r="AN758" s="58"/>
      <c r="AO758" s="58"/>
      <c r="AP758" s="58"/>
      <c r="AQ758" s="58"/>
      <c r="AR758" s="58"/>
    </row>
    <row r="759" spans="1:44" ht="15.75" customHeight="1" x14ac:dyDescent="0.25">
      <c r="A759" s="64"/>
      <c r="B759" s="62"/>
      <c r="C759" s="62"/>
      <c r="D759" s="62"/>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c r="AE759" s="58"/>
      <c r="AF759" s="58"/>
      <c r="AG759" s="58"/>
      <c r="AH759" s="58"/>
      <c r="AI759" s="58"/>
      <c r="AJ759" s="58"/>
      <c r="AK759" s="58"/>
      <c r="AL759" s="58"/>
      <c r="AM759" s="58"/>
      <c r="AN759" s="58"/>
      <c r="AO759" s="58"/>
      <c r="AP759" s="58"/>
      <c r="AQ759" s="58"/>
      <c r="AR759" s="58"/>
    </row>
    <row r="760" spans="1:44" ht="15.75" customHeight="1" x14ac:dyDescent="0.25">
      <c r="A760" s="64"/>
      <c r="B760" s="62"/>
      <c r="C760" s="62"/>
      <c r="D760" s="62"/>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c r="AE760" s="58"/>
      <c r="AF760" s="58"/>
      <c r="AG760" s="58"/>
      <c r="AH760" s="58"/>
      <c r="AI760" s="58"/>
      <c r="AJ760" s="58"/>
      <c r="AK760" s="58"/>
      <c r="AL760" s="58"/>
      <c r="AM760" s="58"/>
      <c r="AN760" s="58"/>
      <c r="AO760" s="58"/>
      <c r="AP760" s="58"/>
      <c r="AQ760" s="58"/>
      <c r="AR760" s="58"/>
    </row>
    <row r="761" spans="1:44" ht="15.75" customHeight="1" x14ac:dyDescent="0.25">
      <c r="A761" s="64"/>
      <c r="B761" s="62"/>
      <c r="C761" s="62"/>
      <c r="D761" s="62"/>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c r="AE761" s="58"/>
      <c r="AF761" s="58"/>
      <c r="AG761" s="58"/>
      <c r="AH761" s="58"/>
      <c r="AI761" s="58"/>
      <c r="AJ761" s="58"/>
      <c r="AK761" s="58"/>
      <c r="AL761" s="58"/>
      <c r="AM761" s="58"/>
      <c r="AN761" s="58"/>
      <c r="AO761" s="58"/>
      <c r="AP761" s="58"/>
      <c r="AQ761" s="58"/>
      <c r="AR761" s="58"/>
    </row>
    <row r="762" spans="1:44" ht="15.75" customHeight="1" x14ac:dyDescent="0.25">
      <c r="A762" s="64"/>
      <c r="B762" s="62"/>
      <c r="C762" s="62"/>
      <c r="D762" s="62"/>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c r="AE762" s="58"/>
      <c r="AF762" s="58"/>
      <c r="AG762" s="58"/>
      <c r="AH762" s="58"/>
      <c r="AI762" s="58"/>
      <c r="AJ762" s="58"/>
      <c r="AK762" s="58"/>
      <c r="AL762" s="58"/>
      <c r="AM762" s="58"/>
      <c r="AN762" s="58"/>
      <c r="AO762" s="58"/>
      <c r="AP762" s="58"/>
      <c r="AQ762" s="58"/>
      <c r="AR762" s="58"/>
    </row>
    <row r="763" spans="1:44" ht="15.75" customHeight="1" x14ac:dyDescent="0.25">
      <c r="A763" s="64"/>
      <c r="B763" s="62"/>
      <c r="C763" s="62"/>
      <c r="D763" s="62"/>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c r="AE763" s="58"/>
      <c r="AF763" s="58"/>
      <c r="AG763" s="58"/>
      <c r="AH763" s="58"/>
      <c r="AI763" s="58"/>
      <c r="AJ763" s="58"/>
      <c r="AK763" s="58"/>
      <c r="AL763" s="58"/>
      <c r="AM763" s="58"/>
      <c r="AN763" s="58"/>
      <c r="AO763" s="58"/>
      <c r="AP763" s="58"/>
      <c r="AQ763" s="58"/>
      <c r="AR763" s="58"/>
    </row>
    <row r="764" spans="1:44" ht="15.75" customHeight="1" x14ac:dyDescent="0.25">
      <c r="A764" s="64"/>
      <c r="B764" s="62"/>
      <c r="C764" s="62"/>
      <c r="D764" s="62"/>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c r="AE764" s="58"/>
      <c r="AF764" s="58"/>
      <c r="AG764" s="58"/>
      <c r="AH764" s="58"/>
      <c r="AI764" s="58"/>
      <c r="AJ764" s="58"/>
      <c r="AK764" s="58"/>
      <c r="AL764" s="58"/>
      <c r="AM764" s="58"/>
      <c r="AN764" s="58"/>
      <c r="AO764" s="58"/>
      <c r="AP764" s="58"/>
      <c r="AQ764" s="58"/>
      <c r="AR764" s="58"/>
    </row>
    <row r="765" spans="1:44" ht="15.75" customHeight="1" x14ac:dyDescent="0.25">
      <c r="A765" s="64"/>
      <c r="B765" s="62"/>
      <c r="C765" s="62"/>
      <c r="D765" s="62"/>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c r="AE765" s="58"/>
      <c r="AF765" s="58"/>
      <c r="AG765" s="58"/>
      <c r="AH765" s="58"/>
      <c r="AI765" s="58"/>
      <c r="AJ765" s="58"/>
      <c r="AK765" s="58"/>
      <c r="AL765" s="58"/>
      <c r="AM765" s="58"/>
      <c r="AN765" s="58"/>
      <c r="AO765" s="58"/>
      <c r="AP765" s="58"/>
      <c r="AQ765" s="58"/>
      <c r="AR765" s="58"/>
    </row>
    <row r="766" spans="1:44" ht="15.75" customHeight="1" x14ac:dyDescent="0.25">
      <c r="A766" s="64"/>
      <c r="B766" s="62"/>
      <c r="C766" s="62"/>
      <c r="D766" s="62"/>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c r="AE766" s="58"/>
      <c r="AF766" s="58"/>
      <c r="AG766" s="58"/>
      <c r="AH766" s="58"/>
      <c r="AI766" s="58"/>
      <c r="AJ766" s="58"/>
      <c r="AK766" s="58"/>
      <c r="AL766" s="58"/>
      <c r="AM766" s="58"/>
      <c r="AN766" s="58"/>
      <c r="AO766" s="58"/>
      <c r="AP766" s="58"/>
      <c r="AQ766" s="58"/>
      <c r="AR766" s="58"/>
    </row>
    <row r="767" spans="1:44" ht="15.75" customHeight="1" x14ac:dyDescent="0.25">
      <c r="A767" s="64"/>
      <c r="B767" s="62"/>
      <c r="C767" s="62"/>
      <c r="D767" s="62"/>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c r="AE767" s="58"/>
      <c r="AF767" s="58"/>
      <c r="AG767" s="58"/>
      <c r="AH767" s="58"/>
      <c r="AI767" s="58"/>
      <c r="AJ767" s="58"/>
      <c r="AK767" s="58"/>
      <c r="AL767" s="58"/>
      <c r="AM767" s="58"/>
      <c r="AN767" s="58"/>
      <c r="AO767" s="58"/>
      <c r="AP767" s="58"/>
      <c r="AQ767" s="58"/>
      <c r="AR767" s="58"/>
    </row>
    <row r="768" spans="1:44" ht="15.75" customHeight="1" x14ac:dyDescent="0.25">
      <c r="A768" s="64"/>
      <c r="B768" s="62"/>
      <c r="C768" s="62"/>
      <c r="D768" s="62"/>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c r="AE768" s="58"/>
      <c r="AF768" s="58"/>
      <c r="AG768" s="58"/>
      <c r="AH768" s="58"/>
      <c r="AI768" s="58"/>
      <c r="AJ768" s="58"/>
      <c r="AK768" s="58"/>
      <c r="AL768" s="58"/>
      <c r="AM768" s="58"/>
      <c r="AN768" s="58"/>
      <c r="AO768" s="58"/>
      <c r="AP768" s="58"/>
      <c r="AQ768" s="58"/>
      <c r="AR768" s="58"/>
    </row>
    <row r="769" spans="1:44" ht="15.75" customHeight="1" x14ac:dyDescent="0.25">
      <c r="A769" s="64"/>
      <c r="B769" s="62"/>
      <c r="C769" s="62"/>
      <c r="D769" s="62"/>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c r="AE769" s="58"/>
      <c r="AF769" s="58"/>
      <c r="AG769" s="58"/>
      <c r="AH769" s="58"/>
      <c r="AI769" s="58"/>
      <c r="AJ769" s="58"/>
      <c r="AK769" s="58"/>
      <c r="AL769" s="58"/>
      <c r="AM769" s="58"/>
      <c r="AN769" s="58"/>
      <c r="AO769" s="58"/>
      <c r="AP769" s="58"/>
      <c r="AQ769" s="58"/>
      <c r="AR769" s="58"/>
    </row>
    <row r="770" spans="1:44" ht="15.75" customHeight="1" x14ac:dyDescent="0.25">
      <c r="A770" s="64"/>
      <c r="B770" s="62"/>
      <c r="C770" s="62"/>
      <c r="D770" s="62"/>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c r="AE770" s="58"/>
      <c r="AF770" s="58"/>
      <c r="AG770" s="58"/>
      <c r="AH770" s="58"/>
      <c r="AI770" s="58"/>
      <c r="AJ770" s="58"/>
      <c r="AK770" s="58"/>
      <c r="AL770" s="58"/>
      <c r="AM770" s="58"/>
      <c r="AN770" s="58"/>
      <c r="AO770" s="58"/>
      <c r="AP770" s="58"/>
      <c r="AQ770" s="58"/>
      <c r="AR770" s="58"/>
    </row>
    <row r="771" spans="1:44" ht="15.75" customHeight="1" x14ac:dyDescent="0.25">
      <c r="A771" s="64"/>
      <c r="B771" s="62"/>
      <c r="C771" s="62"/>
      <c r="D771" s="62"/>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c r="AE771" s="58"/>
      <c r="AF771" s="58"/>
      <c r="AG771" s="58"/>
      <c r="AH771" s="58"/>
      <c r="AI771" s="58"/>
      <c r="AJ771" s="58"/>
      <c r="AK771" s="58"/>
      <c r="AL771" s="58"/>
      <c r="AM771" s="58"/>
      <c r="AN771" s="58"/>
      <c r="AO771" s="58"/>
      <c r="AP771" s="58"/>
      <c r="AQ771" s="58"/>
      <c r="AR771" s="58"/>
    </row>
    <row r="772" spans="1:44" ht="15.75" customHeight="1" x14ac:dyDescent="0.25">
      <c r="A772" s="64"/>
      <c r="B772" s="62"/>
      <c r="C772" s="62"/>
      <c r="D772" s="62"/>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c r="AE772" s="58"/>
      <c r="AF772" s="58"/>
      <c r="AG772" s="58"/>
      <c r="AH772" s="58"/>
      <c r="AI772" s="58"/>
      <c r="AJ772" s="58"/>
      <c r="AK772" s="58"/>
      <c r="AL772" s="58"/>
      <c r="AM772" s="58"/>
      <c r="AN772" s="58"/>
      <c r="AO772" s="58"/>
      <c r="AP772" s="58"/>
      <c r="AQ772" s="58"/>
      <c r="AR772" s="58"/>
    </row>
    <row r="773" spans="1:44" ht="15.75" customHeight="1" x14ac:dyDescent="0.25">
      <c r="A773" s="64"/>
      <c r="B773" s="62"/>
      <c r="C773" s="62"/>
      <c r="D773" s="62"/>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c r="AE773" s="58"/>
      <c r="AF773" s="58"/>
      <c r="AG773" s="58"/>
      <c r="AH773" s="58"/>
      <c r="AI773" s="58"/>
      <c r="AJ773" s="58"/>
      <c r="AK773" s="58"/>
      <c r="AL773" s="58"/>
      <c r="AM773" s="58"/>
      <c r="AN773" s="58"/>
      <c r="AO773" s="58"/>
      <c r="AP773" s="58"/>
      <c r="AQ773" s="58"/>
      <c r="AR773" s="58"/>
    </row>
    <row r="774" spans="1:44" ht="15.75" customHeight="1" x14ac:dyDescent="0.25">
      <c r="A774" s="64"/>
      <c r="B774" s="62"/>
      <c r="C774" s="62"/>
      <c r="D774" s="62"/>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c r="AE774" s="58"/>
      <c r="AF774" s="58"/>
      <c r="AG774" s="58"/>
      <c r="AH774" s="58"/>
      <c r="AI774" s="58"/>
      <c r="AJ774" s="58"/>
      <c r="AK774" s="58"/>
      <c r="AL774" s="58"/>
      <c r="AM774" s="58"/>
      <c r="AN774" s="58"/>
      <c r="AO774" s="58"/>
      <c r="AP774" s="58"/>
      <c r="AQ774" s="58"/>
      <c r="AR774" s="58"/>
    </row>
    <row r="775" spans="1:44" ht="15.75" customHeight="1" x14ac:dyDescent="0.25">
      <c r="A775" s="64"/>
      <c r="B775" s="62"/>
      <c r="C775" s="62"/>
      <c r="D775" s="62"/>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c r="AE775" s="58"/>
      <c r="AF775" s="58"/>
      <c r="AG775" s="58"/>
      <c r="AH775" s="58"/>
      <c r="AI775" s="58"/>
      <c r="AJ775" s="58"/>
      <c r="AK775" s="58"/>
      <c r="AL775" s="58"/>
      <c r="AM775" s="58"/>
      <c r="AN775" s="58"/>
      <c r="AO775" s="58"/>
      <c r="AP775" s="58"/>
      <c r="AQ775" s="58"/>
      <c r="AR775" s="58"/>
    </row>
    <row r="776" spans="1:44" ht="15.75" customHeight="1" x14ac:dyDescent="0.25">
      <c r="A776" s="64"/>
      <c r="B776" s="62"/>
      <c r="C776" s="62"/>
      <c r="D776" s="62"/>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c r="AE776" s="58"/>
      <c r="AF776" s="58"/>
      <c r="AG776" s="58"/>
      <c r="AH776" s="58"/>
      <c r="AI776" s="58"/>
      <c r="AJ776" s="58"/>
      <c r="AK776" s="58"/>
      <c r="AL776" s="58"/>
      <c r="AM776" s="58"/>
      <c r="AN776" s="58"/>
      <c r="AO776" s="58"/>
      <c r="AP776" s="58"/>
      <c r="AQ776" s="58"/>
      <c r="AR776" s="58"/>
    </row>
    <row r="777" spans="1:44" ht="15.75" customHeight="1" x14ac:dyDescent="0.25">
      <c r="A777" s="64"/>
      <c r="B777" s="62"/>
      <c r="C777" s="62"/>
      <c r="D777" s="62"/>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c r="AE777" s="58"/>
      <c r="AF777" s="58"/>
      <c r="AG777" s="58"/>
      <c r="AH777" s="58"/>
      <c r="AI777" s="58"/>
      <c r="AJ777" s="58"/>
      <c r="AK777" s="58"/>
      <c r="AL777" s="58"/>
      <c r="AM777" s="58"/>
      <c r="AN777" s="58"/>
      <c r="AO777" s="58"/>
      <c r="AP777" s="58"/>
      <c r="AQ777" s="58"/>
      <c r="AR777" s="58"/>
    </row>
    <row r="778" spans="1:44" ht="15.75" customHeight="1" x14ac:dyDescent="0.25">
      <c r="A778" s="64"/>
      <c r="B778" s="62"/>
      <c r="C778" s="62"/>
      <c r="D778" s="62"/>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c r="AE778" s="58"/>
      <c r="AF778" s="58"/>
      <c r="AG778" s="58"/>
      <c r="AH778" s="58"/>
      <c r="AI778" s="58"/>
      <c r="AJ778" s="58"/>
      <c r="AK778" s="58"/>
      <c r="AL778" s="58"/>
      <c r="AM778" s="58"/>
      <c r="AN778" s="58"/>
      <c r="AO778" s="58"/>
      <c r="AP778" s="58"/>
      <c r="AQ778" s="58"/>
      <c r="AR778" s="58"/>
    </row>
    <row r="779" spans="1:44" ht="15.75" customHeight="1" x14ac:dyDescent="0.25">
      <c r="A779" s="64"/>
      <c r="B779" s="62"/>
      <c r="C779" s="62"/>
      <c r="D779" s="62"/>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c r="AE779" s="58"/>
      <c r="AF779" s="58"/>
      <c r="AG779" s="58"/>
      <c r="AH779" s="58"/>
      <c r="AI779" s="58"/>
      <c r="AJ779" s="58"/>
      <c r="AK779" s="58"/>
      <c r="AL779" s="58"/>
      <c r="AM779" s="58"/>
      <c r="AN779" s="58"/>
      <c r="AO779" s="58"/>
      <c r="AP779" s="58"/>
      <c r="AQ779" s="58"/>
      <c r="AR779" s="58"/>
    </row>
    <row r="780" spans="1:44" ht="15.75" customHeight="1" x14ac:dyDescent="0.25">
      <c r="A780" s="64"/>
      <c r="B780" s="62"/>
      <c r="C780" s="62"/>
      <c r="D780" s="62"/>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c r="AE780" s="58"/>
      <c r="AF780" s="58"/>
      <c r="AG780" s="58"/>
      <c r="AH780" s="58"/>
      <c r="AI780" s="58"/>
      <c r="AJ780" s="58"/>
      <c r="AK780" s="58"/>
      <c r="AL780" s="58"/>
      <c r="AM780" s="58"/>
      <c r="AN780" s="58"/>
      <c r="AO780" s="58"/>
      <c r="AP780" s="58"/>
      <c r="AQ780" s="58"/>
      <c r="AR780" s="58"/>
    </row>
    <row r="781" spans="1:44" ht="15.75" customHeight="1" x14ac:dyDescent="0.25">
      <c r="A781" s="64"/>
      <c r="B781" s="62"/>
      <c r="C781" s="62"/>
      <c r="D781" s="62"/>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c r="AE781" s="58"/>
      <c r="AF781" s="58"/>
      <c r="AG781" s="58"/>
      <c r="AH781" s="58"/>
      <c r="AI781" s="58"/>
      <c r="AJ781" s="58"/>
      <c r="AK781" s="58"/>
      <c r="AL781" s="58"/>
      <c r="AM781" s="58"/>
      <c r="AN781" s="58"/>
      <c r="AO781" s="58"/>
      <c r="AP781" s="58"/>
      <c r="AQ781" s="58"/>
      <c r="AR781" s="58"/>
    </row>
    <row r="782" spans="1:44" ht="15.75" customHeight="1" x14ac:dyDescent="0.25">
      <c r="A782" s="64"/>
      <c r="B782" s="62"/>
      <c r="C782" s="62"/>
      <c r="D782" s="62"/>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c r="AE782" s="58"/>
      <c r="AF782" s="58"/>
      <c r="AG782" s="58"/>
      <c r="AH782" s="58"/>
      <c r="AI782" s="58"/>
      <c r="AJ782" s="58"/>
      <c r="AK782" s="58"/>
      <c r="AL782" s="58"/>
      <c r="AM782" s="58"/>
      <c r="AN782" s="58"/>
      <c r="AO782" s="58"/>
      <c r="AP782" s="58"/>
      <c r="AQ782" s="58"/>
      <c r="AR782" s="58"/>
    </row>
    <row r="783" spans="1:44" ht="15.75" customHeight="1" x14ac:dyDescent="0.25">
      <c r="A783" s="64"/>
      <c r="B783" s="62"/>
      <c r="C783" s="62"/>
      <c r="D783" s="62"/>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c r="AE783" s="58"/>
      <c r="AF783" s="58"/>
      <c r="AG783" s="58"/>
      <c r="AH783" s="58"/>
      <c r="AI783" s="58"/>
      <c r="AJ783" s="58"/>
      <c r="AK783" s="58"/>
      <c r="AL783" s="58"/>
      <c r="AM783" s="58"/>
      <c r="AN783" s="58"/>
      <c r="AO783" s="58"/>
      <c r="AP783" s="58"/>
      <c r="AQ783" s="58"/>
      <c r="AR783" s="58"/>
    </row>
    <row r="784" spans="1:44" ht="15.75" customHeight="1" x14ac:dyDescent="0.25">
      <c r="A784" s="64"/>
      <c r="B784" s="62"/>
      <c r="C784" s="62"/>
      <c r="D784" s="62"/>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c r="AE784" s="58"/>
      <c r="AF784" s="58"/>
      <c r="AG784" s="58"/>
      <c r="AH784" s="58"/>
      <c r="AI784" s="58"/>
      <c r="AJ784" s="58"/>
      <c r="AK784" s="58"/>
      <c r="AL784" s="58"/>
      <c r="AM784" s="58"/>
      <c r="AN784" s="58"/>
      <c r="AO784" s="58"/>
      <c r="AP784" s="58"/>
      <c r="AQ784" s="58"/>
      <c r="AR784" s="58"/>
    </row>
    <row r="785" spans="1:44" ht="15.75" customHeight="1" x14ac:dyDescent="0.25">
      <c r="A785" s="64"/>
      <c r="B785" s="62"/>
      <c r="C785" s="62"/>
      <c r="D785" s="62"/>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c r="AE785" s="58"/>
      <c r="AF785" s="58"/>
      <c r="AG785" s="58"/>
      <c r="AH785" s="58"/>
      <c r="AI785" s="58"/>
      <c r="AJ785" s="58"/>
      <c r="AK785" s="58"/>
      <c r="AL785" s="58"/>
      <c r="AM785" s="58"/>
      <c r="AN785" s="58"/>
      <c r="AO785" s="58"/>
      <c r="AP785" s="58"/>
      <c r="AQ785" s="58"/>
      <c r="AR785" s="58"/>
    </row>
    <row r="786" spans="1:44" ht="15.75" customHeight="1" x14ac:dyDescent="0.25">
      <c r="A786" s="64"/>
      <c r="B786" s="62"/>
      <c r="C786" s="62"/>
      <c r="D786" s="62"/>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c r="AE786" s="58"/>
      <c r="AF786" s="58"/>
      <c r="AG786" s="58"/>
      <c r="AH786" s="58"/>
      <c r="AI786" s="58"/>
      <c r="AJ786" s="58"/>
      <c r="AK786" s="58"/>
      <c r="AL786" s="58"/>
      <c r="AM786" s="58"/>
      <c r="AN786" s="58"/>
      <c r="AO786" s="58"/>
      <c r="AP786" s="58"/>
      <c r="AQ786" s="58"/>
      <c r="AR786" s="58"/>
    </row>
    <row r="787" spans="1:44" ht="15.75" customHeight="1" x14ac:dyDescent="0.25">
      <c r="A787" s="64"/>
      <c r="B787" s="62"/>
      <c r="C787" s="62"/>
      <c r="D787" s="62"/>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c r="AE787" s="58"/>
      <c r="AF787" s="58"/>
      <c r="AG787" s="58"/>
      <c r="AH787" s="58"/>
      <c r="AI787" s="58"/>
      <c r="AJ787" s="58"/>
      <c r="AK787" s="58"/>
      <c r="AL787" s="58"/>
      <c r="AM787" s="58"/>
      <c r="AN787" s="58"/>
      <c r="AO787" s="58"/>
      <c r="AP787" s="58"/>
      <c r="AQ787" s="58"/>
      <c r="AR787" s="58"/>
    </row>
    <row r="788" spans="1:44" ht="15.75" customHeight="1" x14ac:dyDescent="0.25">
      <c r="A788" s="64"/>
      <c r="B788" s="62"/>
      <c r="C788" s="62"/>
      <c r="D788" s="62"/>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c r="AE788" s="58"/>
      <c r="AF788" s="58"/>
      <c r="AG788" s="58"/>
      <c r="AH788" s="58"/>
      <c r="AI788" s="58"/>
      <c r="AJ788" s="58"/>
      <c r="AK788" s="58"/>
      <c r="AL788" s="58"/>
      <c r="AM788" s="58"/>
      <c r="AN788" s="58"/>
      <c r="AO788" s="58"/>
      <c r="AP788" s="58"/>
      <c r="AQ788" s="58"/>
      <c r="AR788" s="58"/>
    </row>
    <row r="789" spans="1:44" ht="15.75" customHeight="1" x14ac:dyDescent="0.25">
      <c r="A789" s="64"/>
      <c r="B789" s="62"/>
      <c r="C789" s="62"/>
      <c r="D789" s="62"/>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c r="AE789" s="58"/>
      <c r="AF789" s="58"/>
      <c r="AG789" s="58"/>
      <c r="AH789" s="58"/>
      <c r="AI789" s="58"/>
      <c r="AJ789" s="58"/>
      <c r="AK789" s="58"/>
      <c r="AL789" s="58"/>
      <c r="AM789" s="58"/>
      <c r="AN789" s="58"/>
      <c r="AO789" s="58"/>
      <c r="AP789" s="58"/>
      <c r="AQ789" s="58"/>
      <c r="AR789" s="58"/>
    </row>
    <row r="790" spans="1:44" ht="15.75" customHeight="1" x14ac:dyDescent="0.25">
      <c r="A790" s="64"/>
      <c r="B790" s="62"/>
      <c r="C790" s="62"/>
      <c r="D790" s="62"/>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c r="AE790" s="58"/>
      <c r="AF790" s="58"/>
      <c r="AG790" s="58"/>
      <c r="AH790" s="58"/>
      <c r="AI790" s="58"/>
      <c r="AJ790" s="58"/>
      <c r="AK790" s="58"/>
      <c r="AL790" s="58"/>
      <c r="AM790" s="58"/>
      <c r="AN790" s="58"/>
      <c r="AO790" s="58"/>
      <c r="AP790" s="58"/>
      <c r="AQ790" s="58"/>
      <c r="AR790" s="58"/>
    </row>
    <row r="791" spans="1:44" ht="15.75" customHeight="1" x14ac:dyDescent="0.25">
      <c r="A791" s="64"/>
      <c r="B791" s="62"/>
      <c r="C791" s="62"/>
      <c r="D791" s="62"/>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c r="AE791" s="58"/>
      <c r="AF791" s="58"/>
      <c r="AG791" s="58"/>
      <c r="AH791" s="58"/>
      <c r="AI791" s="58"/>
      <c r="AJ791" s="58"/>
      <c r="AK791" s="58"/>
      <c r="AL791" s="58"/>
      <c r="AM791" s="58"/>
      <c r="AN791" s="58"/>
      <c r="AO791" s="58"/>
      <c r="AP791" s="58"/>
      <c r="AQ791" s="58"/>
      <c r="AR791" s="58"/>
    </row>
    <row r="792" spans="1:44" ht="15.75" customHeight="1" x14ac:dyDescent="0.25">
      <c r="A792" s="64"/>
      <c r="B792" s="62"/>
      <c r="C792" s="62"/>
      <c r="D792" s="62"/>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c r="AE792" s="58"/>
      <c r="AF792" s="58"/>
      <c r="AG792" s="58"/>
      <c r="AH792" s="58"/>
      <c r="AI792" s="58"/>
      <c r="AJ792" s="58"/>
      <c r="AK792" s="58"/>
      <c r="AL792" s="58"/>
      <c r="AM792" s="58"/>
      <c r="AN792" s="58"/>
      <c r="AO792" s="58"/>
      <c r="AP792" s="58"/>
      <c r="AQ792" s="58"/>
      <c r="AR792" s="58"/>
    </row>
    <row r="793" spans="1:44" ht="15.75" customHeight="1" x14ac:dyDescent="0.25">
      <c r="A793" s="64"/>
      <c r="B793" s="62"/>
      <c r="C793" s="62"/>
      <c r="D793" s="62"/>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c r="AE793" s="58"/>
      <c r="AF793" s="58"/>
      <c r="AG793" s="58"/>
      <c r="AH793" s="58"/>
      <c r="AI793" s="58"/>
      <c r="AJ793" s="58"/>
      <c r="AK793" s="58"/>
      <c r="AL793" s="58"/>
      <c r="AM793" s="58"/>
      <c r="AN793" s="58"/>
      <c r="AO793" s="58"/>
      <c r="AP793" s="58"/>
      <c r="AQ793" s="58"/>
      <c r="AR793" s="58"/>
    </row>
    <row r="794" spans="1:44" ht="15.75" customHeight="1" x14ac:dyDescent="0.25">
      <c r="A794" s="64"/>
      <c r="B794" s="62"/>
      <c r="C794" s="62"/>
      <c r="D794" s="62"/>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c r="AE794" s="58"/>
      <c r="AF794" s="58"/>
      <c r="AG794" s="58"/>
      <c r="AH794" s="58"/>
      <c r="AI794" s="58"/>
      <c r="AJ794" s="58"/>
      <c r="AK794" s="58"/>
      <c r="AL794" s="58"/>
      <c r="AM794" s="58"/>
      <c r="AN794" s="58"/>
      <c r="AO794" s="58"/>
      <c r="AP794" s="58"/>
      <c r="AQ794" s="58"/>
      <c r="AR794" s="58"/>
    </row>
    <row r="795" spans="1:44" ht="15.75" customHeight="1" x14ac:dyDescent="0.25">
      <c r="A795" s="64"/>
      <c r="B795" s="62"/>
      <c r="C795" s="62"/>
      <c r="D795" s="62"/>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c r="AE795" s="58"/>
      <c r="AF795" s="58"/>
      <c r="AG795" s="58"/>
      <c r="AH795" s="58"/>
      <c r="AI795" s="58"/>
      <c r="AJ795" s="58"/>
      <c r="AK795" s="58"/>
      <c r="AL795" s="58"/>
      <c r="AM795" s="58"/>
      <c r="AN795" s="58"/>
      <c r="AO795" s="58"/>
      <c r="AP795" s="58"/>
      <c r="AQ795" s="58"/>
      <c r="AR795" s="58"/>
    </row>
    <row r="796" spans="1:44" ht="15.75" customHeight="1" x14ac:dyDescent="0.25">
      <c r="A796" s="64"/>
      <c r="B796" s="62"/>
      <c r="C796" s="62"/>
      <c r="D796" s="62"/>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c r="AE796" s="58"/>
      <c r="AF796" s="58"/>
      <c r="AG796" s="58"/>
      <c r="AH796" s="58"/>
      <c r="AI796" s="58"/>
      <c r="AJ796" s="58"/>
      <c r="AK796" s="58"/>
      <c r="AL796" s="58"/>
      <c r="AM796" s="58"/>
      <c r="AN796" s="58"/>
      <c r="AO796" s="58"/>
      <c r="AP796" s="58"/>
      <c r="AQ796" s="58"/>
      <c r="AR796" s="58"/>
    </row>
    <row r="797" spans="1:44" ht="15.75" customHeight="1" x14ac:dyDescent="0.25">
      <c r="A797" s="64"/>
      <c r="B797" s="62"/>
      <c r="C797" s="62"/>
      <c r="D797" s="62"/>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c r="AE797" s="58"/>
      <c r="AF797" s="58"/>
      <c r="AG797" s="58"/>
      <c r="AH797" s="58"/>
      <c r="AI797" s="58"/>
      <c r="AJ797" s="58"/>
      <c r="AK797" s="58"/>
      <c r="AL797" s="58"/>
      <c r="AM797" s="58"/>
      <c r="AN797" s="58"/>
      <c r="AO797" s="58"/>
      <c r="AP797" s="58"/>
      <c r="AQ797" s="58"/>
      <c r="AR797" s="58"/>
    </row>
    <row r="798" spans="1:44" ht="15.75" customHeight="1" x14ac:dyDescent="0.25">
      <c r="A798" s="64"/>
      <c r="B798" s="62"/>
      <c r="C798" s="62"/>
      <c r="D798" s="62"/>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c r="AE798" s="58"/>
      <c r="AF798" s="58"/>
      <c r="AG798" s="58"/>
      <c r="AH798" s="58"/>
      <c r="AI798" s="58"/>
      <c r="AJ798" s="58"/>
      <c r="AK798" s="58"/>
      <c r="AL798" s="58"/>
      <c r="AM798" s="58"/>
      <c r="AN798" s="58"/>
      <c r="AO798" s="58"/>
      <c r="AP798" s="58"/>
      <c r="AQ798" s="58"/>
      <c r="AR798" s="58"/>
    </row>
    <row r="799" spans="1:44" ht="15.75" customHeight="1" x14ac:dyDescent="0.25">
      <c r="A799" s="64"/>
      <c r="B799" s="62"/>
      <c r="C799" s="62"/>
      <c r="D799" s="62"/>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c r="AE799" s="58"/>
      <c r="AF799" s="58"/>
      <c r="AG799" s="58"/>
      <c r="AH799" s="58"/>
      <c r="AI799" s="58"/>
      <c r="AJ799" s="58"/>
      <c r="AK799" s="58"/>
      <c r="AL799" s="58"/>
      <c r="AM799" s="58"/>
      <c r="AN799" s="58"/>
      <c r="AO799" s="58"/>
      <c r="AP799" s="58"/>
      <c r="AQ799" s="58"/>
      <c r="AR799" s="58"/>
    </row>
    <row r="800" spans="1:44" ht="15.75" customHeight="1" x14ac:dyDescent="0.25">
      <c r="A800" s="64"/>
      <c r="B800" s="62"/>
      <c r="C800" s="62"/>
      <c r="D800" s="62"/>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c r="AE800" s="58"/>
      <c r="AF800" s="58"/>
      <c r="AG800" s="58"/>
      <c r="AH800" s="58"/>
      <c r="AI800" s="58"/>
      <c r="AJ800" s="58"/>
      <c r="AK800" s="58"/>
      <c r="AL800" s="58"/>
      <c r="AM800" s="58"/>
      <c r="AN800" s="58"/>
      <c r="AO800" s="58"/>
      <c r="AP800" s="58"/>
      <c r="AQ800" s="58"/>
      <c r="AR800" s="58"/>
    </row>
    <row r="801" spans="1:44" ht="15.75" customHeight="1" x14ac:dyDescent="0.25">
      <c r="A801" s="64"/>
      <c r="B801" s="62"/>
      <c r="C801" s="62"/>
      <c r="D801" s="62"/>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c r="AG801" s="58"/>
      <c r="AH801" s="58"/>
      <c r="AI801" s="58"/>
      <c r="AJ801" s="58"/>
      <c r="AK801" s="58"/>
      <c r="AL801" s="58"/>
      <c r="AM801" s="58"/>
      <c r="AN801" s="58"/>
      <c r="AO801" s="58"/>
      <c r="AP801" s="58"/>
      <c r="AQ801" s="58"/>
      <c r="AR801" s="58"/>
    </row>
    <row r="802" spans="1:44" ht="15.75" customHeight="1" x14ac:dyDescent="0.25">
      <c r="A802" s="64"/>
      <c r="B802" s="62"/>
      <c r="C802" s="62"/>
      <c r="D802" s="62"/>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c r="AE802" s="58"/>
      <c r="AF802" s="58"/>
      <c r="AG802" s="58"/>
      <c r="AH802" s="58"/>
      <c r="AI802" s="58"/>
      <c r="AJ802" s="58"/>
      <c r="AK802" s="58"/>
      <c r="AL802" s="58"/>
      <c r="AM802" s="58"/>
      <c r="AN802" s="58"/>
      <c r="AO802" s="58"/>
      <c r="AP802" s="58"/>
      <c r="AQ802" s="58"/>
      <c r="AR802" s="58"/>
    </row>
    <row r="803" spans="1:44" ht="15.75" customHeight="1" x14ac:dyDescent="0.25">
      <c r="A803" s="64"/>
      <c r="B803" s="62"/>
      <c r="C803" s="62"/>
      <c r="D803" s="62"/>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c r="AE803" s="58"/>
      <c r="AF803" s="58"/>
      <c r="AG803" s="58"/>
      <c r="AH803" s="58"/>
      <c r="AI803" s="58"/>
      <c r="AJ803" s="58"/>
      <c r="AK803" s="58"/>
      <c r="AL803" s="58"/>
      <c r="AM803" s="58"/>
      <c r="AN803" s="58"/>
      <c r="AO803" s="58"/>
      <c r="AP803" s="58"/>
      <c r="AQ803" s="58"/>
      <c r="AR803" s="58"/>
    </row>
    <row r="804" spans="1:44" ht="15.75" customHeight="1" x14ac:dyDescent="0.25">
      <c r="A804" s="64"/>
      <c r="B804" s="62"/>
      <c r="C804" s="62"/>
      <c r="D804" s="62"/>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c r="AE804" s="58"/>
      <c r="AF804" s="58"/>
      <c r="AG804" s="58"/>
      <c r="AH804" s="58"/>
      <c r="AI804" s="58"/>
      <c r="AJ804" s="58"/>
      <c r="AK804" s="58"/>
      <c r="AL804" s="58"/>
      <c r="AM804" s="58"/>
      <c r="AN804" s="58"/>
      <c r="AO804" s="58"/>
      <c r="AP804" s="58"/>
      <c r="AQ804" s="58"/>
      <c r="AR804" s="58"/>
    </row>
    <row r="805" spans="1:44" ht="15.75" customHeight="1" x14ac:dyDescent="0.25">
      <c r="A805" s="64"/>
      <c r="B805" s="62"/>
      <c r="C805" s="62"/>
      <c r="D805" s="62"/>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c r="AE805" s="58"/>
      <c r="AF805" s="58"/>
      <c r="AG805" s="58"/>
      <c r="AH805" s="58"/>
      <c r="AI805" s="58"/>
      <c r="AJ805" s="58"/>
      <c r="AK805" s="58"/>
      <c r="AL805" s="58"/>
      <c r="AM805" s="58"/>
      <c r="AN805" s="58"/>
      <c r="AO805" s="58"/>
      <c r="AP805" s="58"/>
      <c r="AQ805" s="58"/>
      <c r="AR805" s="58"/>
    </row>
    <row r="806" spans="1:44" ht="15.75" customHeight="1" x14ac:dyDescent="0.25">
      <c r="A806" s="64"/>
      <c r="B806" s="62"/>
      <c r="C806" s="62"/>
      <c r="D806" s="62"/>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c r="AE806" s="58"/>
      <c r="AF806" s="58"/>
      <c r="AG806" s="58"/>
      <c r="AH806" s="58"/>
      <c r="AI806" s="58"/>
      <c r="AJ806" s="58"/>
      <c r="AK806" s="58"/>
      <c r="AL806" s="58"/>
      <c r="AM806" s="58"/>
      <c r="AN806" s="58"/>
      <c r="AO806" s="58"/>
      <c r="AP806" s="58"/>
      <c r="AQ806" s="58"/>
      <c r="AR806" s="58"/>
    </row>
    <row r="807" spans="1:44" ht="15.75" customHeight="1" x14ac:dyDescent="0.25">
      <c r="A807" s="64"/>
      <c r="B807" s="62"/>
      <c r="C807" s="62"/>
      <c r="D807" s="62"/>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c r="AE807" s="58"/>
      <c r="AF807" s="58"/>
      <c r="AG807" s="58"/>
      <c r="AH807" s="58"/>
      <c r="AI807" s="58"/>
      <c r="AJ807" s="58"/>
      <c r="AK807" s="58"/>
      <c r="AL807" s="58"/>
      <c r="AM807" s="58"/>
      <c r="AN807" s="58"/>
      <c r="AO807" s="58"/>
      <c r="AP807" s="58"/>
      <c r="AQ807" s="58"/>
      <c r="AR807" s="58"/>
    </row>
    <row r="808" spans="1:44" ht="15.75" customHeight="1" x14ac:dyDescent="0.25">
      <c r="A808" s="64"/>
      <c r="B808" s="62"/>
      <c r="C808" s="62"/>
      <c r="D808" s="62"/>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c r="AG808" s="58"/>
      <c r="AH808" s="58"/>
      <c r="AI808" s="58"/>
      <c r="AJ808" s="58"/>
      <c r="AK808" s="58"/>
      <c r="AL808" s="58"/>
      <c r="AM808" s="58"/>
      <c r="AN808" s="58"/>
      <c r="AO808" s="58"/>
      <c r="AP808" s="58"/>
      <c r="AQ808" s="58"/>
      <c r="AR808" s="58"/>
    </row>
    <row r="809" spans="1:44" ht="15.75" customHeight="1" x14ac:dyDescent="0.25">
      <c r="A809" s="64"/>
      <c r="B809" s="62"/>
      <c r="C809" s="62"/>
      <c r="D809" s="62"/>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c r="AE809" s="58"/>
      <c r="AF809" s="58"/>
      <c r="AG809" s="58"/>
      <c r="AH809" s="58"/>
      <c r="AI809" s="58"/>
      <c r="AJ809" s="58"/>
      <c r="AK809" s="58"/>
      <c r="AL809" s="58"/>
      <c r="AM809" s="58"/>
      <c r="AN809" s="58"/>
      <c r="AO809" s="58"/>
      <c r="AP809" s="58"/>
      <c r="AQ809" s="58"/>
      <c r="AR809" s="58"/>
    </row>
    <row r="810" spans="1:44" ht="15.75" customHeight="1" x14ac:dyDescent="0.25">
      <c r="A810" s="64"/>
      <c r="B810" s="62"/>
      <c r="C810" s="62"/>
      <c r="D810" s="62"/>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c r="AE810" s="58"/>
      <c r="AF810" s="58"/>
      <c r="AG810" s="58"/>
      <c r="AH810" s="58"/>
      <c r="AI810" s="58"/>
      <c r="AJ810" s="58"/>
      <c r="AK810" s="58"/>
      <c r="AL810" s="58"/>
      <c r="AM810" s="58"/>
      <c r="AN810" s="58"/>
      <c r="AO810" s="58"/>
      <c r="AP810" s="58"/>
      <c r="AQ810" s="58"/>
      <c r="AR810" s="58"/>
    </row>
    <row r="811" spans="1:44" ht="15.75" customHeight="1" x14ac:dyDescent="0.25">
      <c r="A811" s="64"/>
      <c r="B811" s="62"/>
      <c r="C811" s="62"/>
      <c r="D811" s="62"/>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c r="AE811" s="58"/>
      <c r="AF811" s="58"/>
      <c r="AG811" s="58"/>
      <c r="AH811" s="58"/>
      <c r="AI811" s="58"/>
      <c r="AJ811" s="58"/>
      <c r="AK811" s="58"/>
      <c r="AL811" s="58"/>
      <c r="AM811" s="58"/>
      <c r="AN811" s="58"/>
      <c r="AO811" s="58"/>
      <c r="AP811" s="58"/>
      <c r="AQ811" s="58"/>
      <c r="AR811" s="58"/>
    </row>
    <row r="812" spans="1:44" ht="15.75" customHeight="1" x14ac:dyDescent="0.25">
      <c r="A812" s="64"/>
      <c r="B812" s="62"/>
      <c r="C812" s="62"/>
      <c r="D812" s="62"/>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c r="AE812" s="58"/>
      <c r="AF812" s="58"/>
      <c r="AG812" s="58"/>
      <c r="AH812" s="58"/>
      <c r="AI812" s="58"/>
      <c r="AJ812" s="58"/>
      <c r="AK812" s="58"/>
      <c r="AL812" s="58"/>
      <c r="AM812" s="58"/>
      <c r="AN812" s="58"/>
      <c r="AO812" s="58"/>
      <c r="AP812" s="58"/>
      <c r="AQ812" s="58"/>
      <c r="AR812" s="58"/>
    </row>
    <row r="813" spans="1:44" ht="15.75" customHeight="1" x14ac:dyDescent="0.25">
      <c r="A813" s="64"/>
      <c r="B813" s="62"/>
      <c r="C813" s="62"/>
      <c r="D813" s="62"/>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c r="AE813" s="58"/>
      <c r="AF813" s="58"/>
      <c r="AG813" s="58"/>
      <c r="AH813" s="58"/>
      <c r="AI813" s="58"/>
      <c r="AJ813" s="58"/>
      <c r="AK813" s="58"/>
      <c r="AL813" s="58"/>
      <c r="AM813" s="58"/>
      <c r="AN813" s="58"/>
      <c r="AO813" s="58"/>
      <c r="AP813" s="58"/>
      <c r="AQ813" s="58"/>
      <c r="AR813" s="58"/>
    </row>
    <row r="814" spans="1:44" ht="15.75" customHeight="1" x14ac:dyDescent="0.25">
      <c r="A814" s="64"/>
      <c r="B814" s="62"/>
      <c r="C814" s="62"/>
      <c r="D814" s="62"/>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c r="AE814" s="58"/>
      <c r="AF814" s="58"/>
      <c r="AG814" s="58"/>
      <c r="AH814" s="58"/>
      <c r="AI814" s="58"/>
      <c r="AJ814" s="58"/>
      <c r="AK814" s="58"/>
      <c r="AL814" s="58"/>
      <c r="AM814" s="58"/>
      <c r="AN814" s="58"/>
      <c r="AO814" s="58"/>
      <c r="AP814" s="58"/>
      <c r="AQ814" s="58"/>
      <c r="AR814" s="58"/>
    </row>
    <row r="815" spans="1:44" ht="15.75" customHeight="1" x14ac:dyDescent="0.25">
      <c r="A815" s="64"/>
      <c r="B815" s="62"/>
      <c r="C815" s="62"/>
      <c r="D815" s="62"/>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c r="AG815" s="58"/>
      <c r="AH815" s="58"/>
      <c r="AI815" s="58"/>
      <c r="AJ815" s="58"/>
      <c r="AK815" s="58"/>
      <c r="AL815" s="58"/>
      <c r="AM815" s="58"/>
      <c r="AN815" s="58"/>
      <c r="AO815" s="58"/>
      <c r="AP815" s="58"/>
      <c r="AQ815" s="58"/>
      <c r="AR815" s="58"/>
    </row>
    <row r="816" spans="1:44" ht="15.75" customHeight="1" x14ac:dyDescent="0.25">
      <c r="A816" s="64"/>
      <c r="B816" s="62"/>
      <c r="C816" s="62"/>
      <c r="D816" s="62"/>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8"/>
      <c r="AI816" s="58"/>
      <c r="AJ816" s="58"/>
      <c r="AK816" s="58"/>
      <c r="AL816" s="58"/>
      <c r="AM816" s="58"/>
      <c r="AN816" s="58"/>
      <c r="AO816" s="58"/>
      <c r="AP816" s="58"/>
      <c r="AQ816" s="58"/>
      <c r="AR816" s="58"/>
    </row>
    <row r="817" spans="1:44" ht="15.75" customHeight="1" x14ac:dyDescent="0.25">
      <c r="A817" s="64"/>
      <c r="B817" s="62"/>
      <c r="C817" s="62"/>
      <c r="D817" s="62"/>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c r="AG817" s="58"/>
      <c r="AH817" s="58"/>
      <c r="AI817" s="58"/>
      <c r="AJ817" s="58"/>
      <c r="AK817" s="58"/>
      <c r="AL817" s="58"/>
      <c r="AM817" s="58"/>
      <c r="AN817" s="58"/>
      <c r="AO817" s="58"/>
      <c r="AP817" s="58"/>
      <c r="AQ817" s="58"/>
      <c r="AR817" s="58"/>
    </row>
    <row r="818" spans="1:44" ht="15.75" customHeight="1" x14ac:dyDescent="0.25">
      <c r="A818" s="64"/>
      <c r="B818" s="62"/>
      <c r="C818" s="62"/>
      <c r="D818" s="62"/>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c r="AG818" s="58"/>
      <c r="AH818" s="58"/>
      <c r="AI818" s="58"/>
      <c r="AJ818" s="58"/>
      <c r="AK818" s="58"/>
      <c r="AL818" s="58"/>
      <c r="AM818" s="58"/>
      <c r="AN818" s="58"/>
      <c r="AO818" s="58"/>
      <c r="AP818" s="58"/>
      <c r="AQ818" s="58"/>
      <c r="AR818" s="58"/>
    </row>
    <row r="819" spans="1:44" ht="15.75" customHeight="1" x14ac:dyDescent="0.25">
      <c r="A819" s="64"/>
      <c r="B819" s="62"/>
      <c r="C819" s="62"/>
      <c r="D819" s="62"/>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c r="AG819" s="58"/>
      <c r="AH819" s="58"/>
      <c r="AI819" s="58"/>
      <c r="AJ819" s="58"/>
      <c r="AK819" s="58"/>
      <c r="AL819" s="58"/>
      <c r="AM819" s="58"/>
      <c r="AN819" s="58"/>
      <c r="AO819" s="58"/>
      <c r="AP819" s="58"/>
      <c r="AQ819" s="58"/>
      <c r="AR819" s="58"/>
    </row>
    <row r="820" spans="1:44" ht="15.75" customHeight="1" x14ac:dyDescent="0.25">
      <c r="A820" s="64"/>
      <c r="B820" s="62"/>
      <c r="C820" s="62"/>
      <c r="D820" s="62"/>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c r="AE820" s="58"/>
      <c r="AF820" s="58"/>
      <c r="AG820" s="58"/>
      <c r="AH820" s="58"/>
      <c r="AI820" s="58"/>
      <c r="AJ820" s="58"/>
      <c r="AK820" s="58"/>
      <c r="AL820" s="58"/>
      <c r="AM820" s="58"/>
      <c r="AN820" s="58"/>
      <c r="AO820" s="58"/>
      <c r="AP820" s="58"/>
      <c r="AQ820" s="58"/>
      <c r="AR820" s="58"/>
    </row>
    <row r="821" spans="1:44" ht="15.75" customHeight="1" x14ac:dyDescent="0.25">
      <c r="A821" s="64"/>
      <c r="B821" s="62"/>
      <c r="C821" s="62"/>
      <c r="D821" s="62"/>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c r="AE821" s="58"/>
      <c r="AF821" s="58"/>
      <c r="AG821" s="58"/>
      <c r="AH821" s="58"/>
      <c r="AI821" s="58"/>
      <c r="AJ821" s="58"/>
      <c r="AK821" s="58"/>
      <c r="AL821" s="58"/>
      <c r="AM821" s="58"/>
      <c r="AN821" s="58"/>
      <c r="AO821" s="58"/>
      <c r="AP821" s="58"/>
      <c r="AQ821" s="58"/>
      <c r="AR821" s="58"/>
    </row>
    <row r="822" spans="1:44" ht="15.75" customHeight="1" x14ac:dyDescent="0.25">
      <c r="A822" s="64"/>
      <c r="B822" s="62"/>
      <c r="C822" s="62"/>
      <c r="D822" s="62"/>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c r="AE822" s="58"/>
      <c r="AF822" s="58"/>
      <c r="AG822" s="58"/>
      <c r="AH822" s="58"/>
      <c r="AI822" s="58"/>
      <c r="AJ822" s="58"/>
      <c r="AK822" s="58"/>
      <c r="AL822" s="58"/>
      <c r="AM822" s="58"/>
      <c r="AN822" s="58"/>
      <c r="AO822" s="58"/>
      <c r="AP822" s="58"/>
      <c r="AQ822" s="58"/>
      <c r="AR822" s="58"/>
    </row>
    <row r="823" spans="1:44" ht="15.75" customHeight="1" x14ac:dyDescent="0.25">
      <c r="A823" s="64"/>
      <c r="B823" s="62"/>
      <c r="C823" s="62"/>
      <c r="D823" s="62"/>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c r="AE823" s="58"/>
      <c r="AF823" s="58"/>
      <c r="AG823" s="58"/>
      <c r="AH823" s="58"/>
      <c r="AI823" s="58"/>
      <c r="AJ823" s="58"/>
      <c r="AK823" s="58"/>
      <c r="AL823" s="58"/>
      <c r="AM823" s="58"/>
      <c r="AN823" s="58"/>
      <c r="AO823" s="58"/>
      <c r="AP823" s="58"/>
      <c r="AQ823" s="58"/>
      <c r="AR823" s="58"/>
    </row>
    <row r="824" spans="1:44" ht="15.75" customHeight="1" x14ac:dyDescent="0.25">
      <c r="A824" s="64"/>
      <c r="B824" s="62"/>
      <c r="C824" s="62"/>
      <c r="D824" s="62"/>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c r="AE824" s="58"/>
      <c r="AF824" s="58"/>
      <c r="AG824" s="58"/>
      <c r="AH824" s="58"/>
      <c r="AI824" s="58"/>
      <c r="AJ824" s="58"/>
      <c r="AK824" s="58"/>
      <c r="AL824" s="58"/>
      <c r="AM824" s="58"/>
      <c r="AN824" s="58"/>
      <c r="AO824" s="58"/>
      <c r="AP824" s="58"/>
      <c r="AQ824" s="58"/>
      <c r="AR824" s="58"/>
    </row>
    <row r="825" spans="1:44" ht="15.75" customHeight="1" x14ac:dyDescent="0.25">
      <c r="A825" s="64"/>
      <c r="B825" s="62"/>
      <c r="C825" s="62"/>
      <c r="D825" s="62"/>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c r="AE825" s="58"/>
      <c r="AF825" s="58"/>
      <c r="AG825" s="58"/>
      <c r="AH825" s="58"/>
      <c r="AI825" s="58"/>
      <c r="AJ825" s="58"/>
      <c r="AK825" s="58"/>
      <c r="AL825" s="58"/>
      <c r="AM825" s="58"/>
      <c r="AN825" s="58"/>
      <c r="AO825" s="58"/>
      <c r="AP825" s="58"/>
      <c r="AQ825" s="58"/>
      <c r="AR825" s="58"/>
    </row>
    <row r="826" spans="1:44" ht="15.75" customHeight="1" x14ac:dyDescent="0.25">
      <c r="A826" s="64"/>
      <c r="B826" s="62"/>
      <c r="C826" s="62"/>
      <c r="D826" s="62"/>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c r="AE826" s="58"/>
      <c r="AF826" s="58"/>
      <c r="AG826" s="58"/>
      <c r="AH826" s="58"/>
      <c r="AI826" s="58"/>
      <c r="AJ826" s="58"/>
      <c r="AK826" s="58"/>
      <c r="AL826" s="58"/>
      <c r="AM826" s="58"/>
      <c r="AN826" s="58"/>
      <c r="AO826" s="58"/>
      <c r="AP826" s="58"/>
      <c r="AQ826" s="58"/>
      <c r="AR826" s="58"/>
    </row>
    <row r="827" spans="1:44" ht="15.75" customHeight="1" x14ac:dyDescent="0.25">
      <c r="A827" s="64"/>
      <c r="B827" s="62"/>
      <c r="C827" s="62"/>
      <c r="D827" s="62"/>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c r="AE827" s="58"/>
      <c r="AF827" s="58"/>
      <c r="AG827" s="58"/>
      <c r="AH827" s="58"/>
      <c r="AI827" s="58"/>
      <c r="AJ827" s="58"/>
      <c r="AK827" s="58"/>
      <c r="AL827" s="58"/>
      <c r="AM827" s="58"/>
      <c r="AN827" s="58"/>
      <c r="AO827" s="58"/>
      <c r="AP827" s="58"/>
      <c r="AQ827" s="58"/>
      <c r="AR827" s="58"/>
    </row>
    <row r="828" spans="1:44" ht="15.75" customHeight="1" x14ac:dyDescent="0.25">
      <c r="A828" s="64"/>
      <c r="B828" s="62"/>
      <c r="C828" s="62"/>
      <c r="D828" s="62"/>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c r="AE828" s="58"/>
      <c r="AF828" s="58"/>
      <c r="AG828" s="58"/>
      <c r="AH828" s="58"/>
      <c r="AI828" s="58"/>
      <c r="AJ828" s="58"/>
      <c r="AK828" s="58"/>
      <c r="AL828" s="58"/>
      <c r="AM828" s="58"/>
      <c r="AN828" s="58"/>
      <c r="AO828" s="58"/>
      <c r="AP828" s="58"/>
      <c r="AQ828" s="58"/>
      <c r="AR828" s="58"/>
    </row>
    <row r="829" spans="1:44" ht="15.75" customHeight="1" x14ac:dyDescent="0.25">
      <c r="A829" s="64"/>
      <c r="B829" s="62"/>
      <c r="C829" s="62"/>
      <c r="D829" s="62"/>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c r="AE829" s="58"/>
      <c r="AF829" s="58"/>
      <c r="AG829" s="58"/>
      <c r="AH829" s="58"/>
      <c r="AI829" s="58"/>
      <c r="AJ829" s="58"/>
      <c r="AK829" s="58"/>
      <c r="AL829" s="58"/>
      <c r="AM829" s="58"/>
      <c r="AN829" s="58"/>
      <c r="AO829" s="58"/>
      <c r="AP829" s="58"/>
      <c r="AQ829" s="58"/>
      <c r="AR829" s="58"/>
    </row>
    <row r="830" spans="1:44" ht="15.75" customHeight="1" x14ac:dyDescent="0.25">
      <c r="A830" s="64"/>
      <c r="B830" s="62"/>
      <c r="C830" s="62"/>
      <c r="D830" s="62"/>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c r="AE830" s="58"/>
      <c r="AF830" s="58"/>
      <c r="AG830" s="58"/>
      <c r="AH830" s="58"/>
      <c r="AI830" s="58"/>
      <c r="AJ830" s="58"/>
      <c r="AK830" s="58"/>
      <c r="AL830" s="58"/>
      <c r="AM830" s="58"/>
      <c r="AN830" s="58"/>
      <c r="AO830" s="58"/>
      <c r="AP830" s="58"/>
      <c r="AQ830" s="58"/>
      <c r="AR830" s="58"/>
    </row>
    <row r="831" spans="1:44" ht="15.75" customHeight="1" x14ac:dyDescent="0.25">
      <c r="A831" s="64"/>
      <c r="B831" s="62"/>
      <c r="C831" s="62"/>
      <c r="D831" s="62"/>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c r="AE831" s="58"/>
      <c r="AF831" s="58"/>
      <c r="AG831" s="58"/>
      <c r="AH831" s="58"/>
      <c r="AI831" s="58"/>
      <c r="AJ831" s="58"/>
      <c r="AK831" s="58"/>
      <c r="AL831" s="58"/>
      <c r="AM831" s="58"/>
      <c r="AN831" s="58"/>
      <c r="AO831" s="58"/>
      <c r="AP831" s="58"/>
      <c r="AQ831" s="58"/>
      <c r="AR831" s="58"/>
    </row>
    <row r="832" spans="1:44" ht="15.75" customHeight="1" x14ac:dyDescent="0.25">
      <c r="A832" s="64"/>
      <c r="B832" s="62"/>
      <c r="C832" s="62"/>
      <c r="D832" s="62"/>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c r="AE832" s="58"/>
      <c r="AF832" s="58"/>
      <c r="AG832" s="58"/>
      <c r="AH832" s="58"/>
      <c r="AI832" s="58"/>
      <c r="AJ832" s="58"/>
      <c r="AK832" s="58"/>
      <c r="AL832" s="58"/>
      <c r="AM832" s="58"/>
      <c r="AN832" s="58"/>
      <c r="AO832" s="58"/>
      <c r="AP832" s="58"/>
      <c r="AQ832" s="58"/>
      <c r="AR832" s="58"/>
    </row>
    <row r="833" spans="1:44" ht="15.75" customHeight="1" x14ac:dyDescent="0.25">
      <c r="A833" s="64"/>
      <c r="B833" s="62"/>
      <c r="C833" s="62"/>
      <c r="D833" s="62"/>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c r="AE833" s="58"/>
      <c r="AF833" s="58"/>
      <c r="AG833" s="58"/>
      <c r="AH833" s="58"/>
      <c r="AI833" s="58"/>
      <c r="AJ833" s="58"/>
      <c r="AK833" s="58"/>
      <c r="AL833" s="58"/>
      <c r="AM833" s="58"/>
      <c r="AN833" s="58"/>
      <c r="AO833" s="58"/>
      <c r="AP833" s="58"/>
      <c r="AQ833" s="58"/>
      <c r="AR833" s="58"/>
    </row>
    <row r="834" spans="1:44" ht="15.75" customHeight="1" x14ac:dyDescent="0.25">
      <c r="A834" s="64"/>
      <c r="B834" s="62"/>
      <c r="C834" s="62"/>
      <c r="D834" s="62"/>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c r="AE834" s="58"/>
      <c r="AF834" s="58"/>
      <c r="AG834" s="58"/>
      <c r="AH834" s="58"/>
      <c r="AI834" s="58"/>
      <c r="AJ834" s="58"/>
      <c r="AK834" s="58"/>
      <c r="AL834" s="58"/>
      <c r="AM834" s="58"/>
      <c r="AN834" s="58"/>
      <c r="AO834" s="58"/>
      <c r="AP834" s="58"/>
      <c r="AQ834" s="58"/>
      <c r="AR834" s="58"/>
    </row>
    <row r="835" spans="1:44" ht="15.75" customHeight="1" x14ac:dyDescent="0.25">
      <c r="A835" s="64"/>
      <c r="B835" s="62"/>
      <c r="C835" s="62"/>
      <c r="D835" s="62"/>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c r="AE835" s="58"/>
      <c r="AF835" s="58"/>
      <c r="AG835" s="58"/>
      <c r="AH835" s="58"/>
      <c r="AI835" s="58"/>
      <c r="AJ835" s="58"/>
      <c r="AK835" s="58"/>
      <c r="AL835" s="58"/>
      <c r="AM835" s="58"/>
      <c r="AN835" s="58"/>
      <c r="AO835" s="58"/>
      <c r="AP835" s="58"/>
      <c r="AQ835" s="58"/>
      <c r="AR835" s="58"/>
    </row>
    <row r="836" spans="1:44" ht="15.75" customHeight="1" x14ac:dyDescent="0.25">
      <c r="A836" s="64"/>
      <c r="B836" s="62"/>
      <c r="C836" s="62"/>
      <c r="D836" s="62"/>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c r="AE836" s="58"/>
      <c r="AF836" s="58"/>
      <c r="AG836" s="58"/>
      <c r="AH836" s="58"/>
      <c r="AI836" s="58"/>
      <c r="AJ836" s="58"/>
      <c r="AK836" s="58"/>
      <c r="AL836" s="58"/>
      <c r="AM836" s="58"/>
      <c r="AN836" s="58"/>
      <c r="AO836" s="58"/>
      <c r="AP836" s="58"/>
      <c r="AQ836" s="58"/>
      <c r="AR836" s="58"/>
    </row>
    <row r="837" spans="1:44" ht="15.75" customHeight="1" x14ac:dyDescent="0.25">
      <c r="A837" s="64"/>
      <c r="B837" s="62"/>
      <c r="C837" s="62"/>
      <c r="D837" s="62"/>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c r="AG837" s="58"/>
      <c r="AH837" s="58"/>
      <c r="AI837" s="58"/>
      <c r="AJ837" s="58"/>
      <c r="AK837" s="58"/>
      <c r="AL837" s="58"/>
      <c r="AM837" s="58"/>
      <c r="AN837" s="58"/>
      <c r="AO837" s="58"/>
      <c r="AP837" s="58"/>
      <c r="AQ837" s="58"/>
      <c r="AR837" s="58"/>
    </row>
    <row r="838" spans="1:44" ht="15.75" customHeight="1" x14ac:dyDescent="0.25">
      <c r="A838" s="64"/>
      <c r="B838" s="62"/>
      <c r="C838" s="62"/>
      <c r="D838" s="62"/>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c r="AE838" s="58"/>
      <c r="AF838" s="58"/>
      <c r="AG838" s="58"/>
      <c r="AH838" s="58"/>
      <c r="AI838" s="58"/>
      <c r="AJ838" s="58"/>
      <c r="AK838" s="58"/>
      <c r="AL838" s="58"/>
      <c r="AM838" s="58"/>
      <c r="AN838" s="58"/>
      <c r="AO838" s="58"/>
      <c r="AP838" s="58"/>
      <c r="AQ838" s="58"/>
      <c r="AR838" s="58"/>
    </row>
    <row r="839" spans="1:44" ht="15.75" customHeight="1" x14ac:dyDescent="0.25">
      <c r="A839" s="64"/>
      <c r="B839" s="62"/>
      <c r="C839" s="62"/>
      <c r="D839" s="62"/>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c r="AE839" s="58"/>
      <c r="AF839" s="58"/>
      <c r="AG839" s="58"/>
      <c r="AH839" s="58"/>
      <c r="AI839" s="58"/>
      <c r="AJ839" s="58"/>
      <c r="AK839" s="58"/>
      <c r="AL839" s="58"/>
      <c r="AM839" s="58"/>
      <c r="AN839" s="58"/>
      <c r="AO839" s="58"/>
      <c r="AP839" s="58"/>
      <c r="AQ839" s="58"/>
      <c r="AR839" s="58"/>
    </row>
    <row r="840" spans="1:44" ht="15.75" customHeight="1" x14ac:dyDescent="0.25">
      <c r="A840" s="64"/>
      <c r="B840" s="62"/>
      <c r="C840" s="62"/>
      <c r="D840" s="62"/>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c r="AE840" s="58"/>
      <c r="AF840" s="58"/>
      <c r="AG840" s="58"/>
      <c r="AH840" s="58"/>
      <c r="AI840" s="58"/>
      <c r="AJ840" s="58"/>
      <c r="AK840" s="58"/>
      <c r="AL840" s="58"/>
      <c r="AM840" s="58"/>
      <c r="AN840" s="58"/>
      <c r="AO840" s="58"/>
      <c r="AP840" s="58"/>
      <c r="AQ840" s="58"/>
      <c r="AR840" s="58"/>
    </row>
    <row r="841" spans="1:44" ht="15.75" customHeight="1" x14ac:dyDescent="0.25">
      <c r="A841" s="64"/>
      <c r="B841" s="62"/>
      <c r="C841" s="62"/>
      <c r="D841" s="62"/>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c r="AE841" s="58"/>
      <c r="AF841" s="58"/>
      <c r="AG841" s="58"/>
      <c r="AH841" s="58"/>
      <c r="AI841" s="58"/>
      <c r="AJ841" s="58"/>
      <c r="AK841" s="58"/>
      <c r="AL841" s="58"/>
      <c r="AM841" s="58"/>
      <c r="AN841" s="58"/>
      <c r="AO841" s="58"/>
      <c r="AP841" s="58"/>
      <c r="AQ841" s="58"/>
      <c r="AR841" s="58"/>
    </row>
    <row r="842" spans="1:44" ht="15.75" customHeight="1" x14ac:dyDescent="0.25">
      <c r="A842" s="64"/>
      <c r="B842" s="62"/>
      <c r="C842" s="62"/>
      <c r="D842" s="62"/>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c r="AE842" s="58"/>
      <c r="AF842" s="58"/>
      <c r="AG842" s="58"/>
      <c r="AH842" s="58"/>
      <c r="AI842" s="58"/>
      <c r="AJ842" s="58"/>
      <c r="AK842" s="58"/>
      <c r="AL842" s="58"/>
      <c r="AM842" s="58"/>
      <c r="AN842" s="58"/>
      <c r="AO842" s="58"/>
      <c r="AP842" s="58"/>
      <c r="AQ842" s="58"/>
      <c r="AR842" s="58"/>
    </row>
    <row r="843" spans="1:44" ht="15.75" customHeight="1" x14ac:dyDescent="0.25">
      <c r="A843" s="64"/>
      <c r="B843" s="62"/>
      <c r="C843" s="62"/>
      <c r="D843" s="62"/>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c r="AE843" s="58"/>
      <c r="AF843" s="58"/>
      <c r="AG843" s="58"/>
      <c r="AH843" s="58"/>
      <c r="AI843" s="58"/>
      <c r="AJ843" s="58"/>
      <c r="AK843" s="58"/>
      <c r="AL843" s="58"/>
      <c r="AM843" s="58"/>
      <c r="AN843" s="58"/>
      <c r="AO843" s="58"/>
      <c r="AP843" s="58"/>
      <c r="AQ843" s="58"/>
      <c r="AR843" s="58"/>
    </row>
    <row r="844" spans="1:44" ht="15.75" customHeight="1" x14ac:dyDescent="0.25">
      <c r="A844" s="64"/>
      <c r="B844" s="62"/>
      <c r="C844" s="62"/>
      <c r="D844" s="62"/>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c r="AE844" s="58"/>
      <c r="AF844" s="58"/>
      <c r="AG844" s="58"/>
      <c r="AH844" s="58"/>
      <c r="AI844" s="58"/>
      <c r="AJ844" s="58"/>
      <c r="AK844" s="58"/>
      <c r="AL844" s="58"/>
      <c r="AM844" s="58"/>
      <c r="AN844" s="58"/>
      <c r="AO844" s="58"/>
      <c r="AP844" s="58"/>
      <c r="AQ844" s="58"/>
      <c r="AR844" s="58"/>
    </row>
    <row r="845" spans="1:44" ht="15.75" customHeight="1" x14ac:dyDescent="0.25">
      <c r="A845" s="64"/>
      <c r="B845" s="62"/>
      <c r="C845" s="62"/>
      <c r="D845" s="62"/>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c r="AE845" s="58"/>
      <c r="AF845" s="58"/>
      <c r="AG845" s="58"/>
      <c r="AH845" s="58"/>
      <c r="AI845" s="58"/>
      <c r="AJ845" s="58"/>
      <c r="AK845" s="58"/>
      <c r="AL845" s="58"/>
      <c r="AM845" s="58"/>
      <c r="AN845" s="58"/>
      <c r="AO845" s="58"/>
      <c r="AP845" s="58"/>
      <c r="AQ845" s="58"/>
      <c r="AR845" s="58"/>
    </row>
    <row r="846" spans="1:44" ht="15.75" customHeight="1" x14ac:dyDescent="0.25">
      <c r="A846" s="64"/>
      <c r="B846" s="62"/>
      <c r="C846" s="62"/>
      <c r="D846" s="62"/>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c r="AE846" s="58"/>
      <c r="AF846" s="58"/>
      <c r="AG846" s="58"/>
      <c r="AH846" s="58"/>
      <c r="AI846" s="58"/>
      <c r="AJ846" s="58"/>
      <c r="AK846" s="58"/>
      <c r="AL846" s="58"/>
      <c r="AM846" s="58"/>
      <c r="AN846" s="58"/>
      <c r="AO846" s="58"/>
      <c r="AP846" s="58"/>
      <c r="AQ846" s="58"/>
      <c r="AR846" s="58"/>
    </row>
    <row r="847" spans="1:44" ht="15.75" customHeight="1" x14ac:dyDescent="0.25">
      <c r="A847" s="64"/>
      <c r="B847" s="62"/>
      <c r="C847" s="62"/>
      <c r="D847" s="62"/>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c r="AE847" s="58"/>
      <c r="AF847" s="58"/>
      <c r="AG847" s="58"/>
      <c r="AH847" s="58"/>
      <c r="AI847" s="58"/>
      <c r="AJ847" s="58"/>
      <c r="AK847" s="58"/>
      <c r="AL847" s="58"/>
      <c r="AM847" s="58"/>
      <c r="AN847" s="58"/>
      <c r="AO847" s="58"/>
      <c r="AP847" s="58"/>
      <c r="AQ847" s="58"/>
      <c r="AR847" s="58"/>
    </row>
    <row r="848" spans="1:44" ht="15.75" customHeight="1" x14ac:dyDescent="0.25">
      <c r="A848" s="64"/>
      <c r="B848" s="62"/>
      <c r="C848" s="62"/>
      <c r="D848" s="62"/>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c r="AE848" s="58"/>
      <c r="AF848" s="58"/>
      <c r="AG848" s="58"/>
      <c r="AH848" s="58"/>
      <c r="AI848" s="58"/>
      <c r="AJ848" s="58"/>
      <c r="AK848" s="58"/>
      <c r="AL848" s="58"/>
      <c r="AM848" s="58"/>
      <c r="AN848" s="58"/>
      <c r="AO848" s="58"/>
      <c r="AP848" s="58"/>
      <c r="AQ848" s="58"/>
      <c r="AR848" s="58"/>
    </row>
    <row r="849" spans="1:44" ht="15.75" customHeight="1" x14ac:dyDescent="0.25">
      <c r="A849" s="64"/>
      <c r="B849" s="62"/>
      <c r="C849" s="62"/>
      <c r="D849" s="62"/>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c r="AE849" s="58"/>
      <c r="AF849" s="58"/>
      <c r="AG849" s="58"/>
      <c r="AH849" s="58"/>
      <c r="AI849" s="58"/>
      <c r="AJ849" s="58"/>
      <c r="AK849" s="58"/>
      <c r="AL849" s="58"/>
      <c r="AM849" s="58"/>
      <c r="AN849" s="58"/>
      <c r="AO849" s="58"/>
      <c r="AP849" s="58"/>
      <c r="AQ849" s="58"/>
      <c r="AR849" s="58"/>
    </row>
    <row r="850" spans="1:44" ht="15.75" customHeight="1" x14ac:dyDescent="0.25">
      <c r="A850" s="64"/>
      <c r="B850" s="62"/>
      <c r="C850" s="62"/>
      <c r="D850" s="62"/>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c r="AE850" s="58"/>
      <c r="AF850" s="58"/>
      <c r="AG850" s="58"/>
      <c r="AH850" s="58"/>
      <c r="AI850" s="58"/>
      <c r="AJ850" s="58"/>
      <c r="AK850" s="58"/>
      <c r="AL850" s="58"/>
      <c r="AM850" s="58"/>
      <c r="AN850" s="58"/>
      <c r="AO850" s="58"/>
      <c r="AP850" s="58"/>
      <c r="AQ850" s="58"/>
      <c r="AR850" s="58"/>
    </row>
    <row r="851" spans="1:44" ht="15.75" customHeight="1" x14ac:dyDescent="0.25">
      <c r="A851" s="64"/>
      <c r="B851" s="62"/>
      <c r="C851" s="62"/>
      <c r="D851" s="62"/>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c r="AE851" s="58"/>
      <c r="AF851" s="58"/>
      <c r="AG851" s="58"/>
      <c r="AH851" s="58"/>
      <c r="AI851" s="58"/>
      <c r="AJ851" s="58"/>
      <c r="AK851" s="58"/>
      <c r="AL851" s="58"/>
      <c r="AM851" s="58"/>
      <c r="AN851" s="58"/>
      <c r="AO851" s="58"/>
      <c r="AP851" s="58"/>
      <c r="AQ851" s="58"/>
      <c r="AR851" s="58"/>
    </row>
    <row r="852" spans="1:44" ht="15.75" customHeight="1" x14ac:dyDescent="0.25">
      <c r="A852" s="64"/>
      <c r="B852" s="62"/>
      <c r="C852" s="62"/>
      <c r="D852" s="62"/>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c r="AE852" s="58"/>
      <c r="AF852" s="58"/>
      <c r="AG852" s="58"/>
      <c r="AH852" s="58"/>
      <c r="AI852" s="58"/>
      <c r="AJ852" s="58"/>
      <c r="AK852" s="58"/>
      <c r="AL852" s="58"/>
      <c r="AM852" s="58"/>
      <c r="AN852" s="58"/>
      <c r="AO852" s="58"/>
      <c r="AP852" s="58"/>
      <c r="AQ852" s="58"/>
      <c r="AR852" s="58"/>
    </row>
    <row r="853" spans="1:44" ht="15.75" customHeight="1" x14ac:dyDescent="0.25">
      <c r="A853" s="64"/>
      <c r="B853" s="62"/>
      <c r="C853" s="62"/>
      <c r="D853" s="62"/>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c r="AE853" s="58"/>
      <c r="AF853" s="58"/>
      <c r="AG853" s="58"/>
      <c r="AH853" s="58"/>
      <c r="AI853" s="58"/>
      <c r="AJ853" s="58"/>
      <c r="AK853" s="58"/>
      <c r="AL853" s="58"/>
      <c r="AM853" s="58"/>
      <c r="AN853" s="58"/>
      <c r="AO853" s="58"/>
      <c r="AP853" s="58"/>
      <c r="AQ853" s="58"/>
      <c r="AR853" s="58"/>
    </row>
    <row r="854" spans="1:44" ht="15.75" customHeight="1" x14ac:dyDescent="0.25">
      <c r="A854" s="64"/>
      <c r="B854" s="62"/>
      <c r="C854" s="62"/>
      <c r="D854" s="62"/>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c r="AE854" s="58"/>
      <c r="AF854" s="58"/>
      <c r="AG854" s="58"/>
      <c r="AH854" s="58"/>
      <c r="AI854" s="58"/>
      <c r="AJ854" s="58"/>
      <c r="AK854" s="58"/>
      <c r="AL854" s="58"/>
      <c r="AM854" s="58"/>
      <c r="AN854" s="58"/>
      <c r="AO854" s="58"/>
      <c r="AP854" s="58"/>
      <c r="AQ854" s="58"/>
      <c r="AR854" s="58"/>
    </row>
    <row r="855" spans="1:44" ht="15.75" customHeight="1" x14ac:dyDescent="0.25">
      <c r="A855" s="64"/>
      <c r="B855" s="62"/>
      <c r="C855" s="62"/>
      <c r="D855" s="62"/>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c r="AE855" s="58"/>
      <c r="AF855" s="58"/>
      <c r="AG855" s="58"/>
      <c r="AH855" s="58"/>
      <c r="AI855" s="58"/>
      <c r="AJ855" s="58"/>
      <c r="AK855" s="58"/>
      <c r="AL855" s="58"/>
      <c r="AM855" s="58"/>
      <c r="AN855" s="58"/>
      <c r="AO855" s="58"/>
      <c r="AP855" s="58"/>
      <c r="AQ855" s="58"/>
      <c r="AR855" s="58"/>
    </row>
    <row r="856" spans="1:44" ht="15.75" customHeight="1" x14ac:dyDescent="0.25">
      <c r="A856" s="64"/>
      <c r="B856" s="62"/>
      <c r="C856" s="62"/>
      <c r="D856" s="62"/>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c r="AE856" s="58"/>
      <c r="AF856" s="58"/>
      <c r="AG856" s="58"/>
      <c r="AH856" s="58"/>
      <c r="AI856" s="58"/>
      <c r="AJ856" s="58"/>
      <c r="AK856" s="58"/>
      <c r="AL856" s="58"/>
      <c r="AM856" s="58"/>
      <c r="AN856" s="58"/>
      <c r="AO856" s="58"/>
      <c r="AP856" s="58"/>
      <c r="AQ856" s="58"/>
      <c r="AR856" s="58"/>
    </row>
    <row r="857" spans="1:44" ht="15.75" customHeight="1" x14ac:dyDescent="0.25">
      <c r="A857" s="64"/>
      <c r="B857" s="62"/>
      <c r="C857" s="62"/>
      <c r="D857" s="62"/>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c r="AE857" s="58"/>
      <c r="AF857" s="58"/>
      <c r="AG857" s="58"/>
      <c r="AH857" s="58"/>
      <c r="AI857" s="58"/>
      <c r="AJ857" s="58"/>
      <c r="AK857" s="58"/>
      <c r="AL857" s="58"/>
      <c r="AM857" s="58"/>
      <c r="AN857" s="58"/>
      <c r="AO857" s="58"/>
      <c r="AP857" s="58"/>
      <c r="AQ857" s="58"/>
      <c r="AR857" s="58"/>
    </row>
    <row r="858" spans="1:44" ht="15.75" customHeight="1" x14ac:dyDescent="0.25">
      <c r="A858" s="64"/>
      <c r="B858" s="62"/>
      <c r="C858" s="62"/>
      <c r="D858" s="62"/>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c r="AE858" s="58"/>
      <c r="AF858" s="58"/>
      <c r="AG858" s="58"/>
      <c r="AH858" s="58"/>
      <c r="AI858" s="58"/>
      <c r="AJ858" s="58"/>
      <c r="AK858" s="58"/>
      <c r="AL858" s="58"/>
      <c r="AM858" s="58"/>
      <c r="AN858" s="58"/>
      <c r="AO858" s="58"/>
      <c r="AP858" s="58"/>
      <c r="AQ858" s="58"/>
      <c r="AR858" s="58"/>
    </row>
    <row r="859" spans="1:44" ht="15.75" customHeight="1" x14ac:dyDescent="0.25">
      <c r="A859" s="64"/>
      <c r="B859" s="62"/>
      <c r="C859" s="62"/>
      <c r="D859" s="62"/>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c r="AE859" s="58"/>
      <c r="AF859" s="58"/>
      <c r="AG859" s="58"/>
      <c r="AH859" s="58"/>
      <c r="AI859" s="58"/>
      <c r="AJ859" s="58"/>
      <c r="AK859" s="58"/>
      <c r="AL859" s="58"/>
      <c r="AM859" s="58"/>
      <c r="AN859" s="58"/>
      <c r="AO859" s="58"/>
      <c r="AP859" s="58"/>
      <c r="AQ859" s="58"/>
      <c r="AR859" s="58"/>
    </row>
    <row r="860" spans="1:44" ht="15.75" customHeight="1" x14ac:dyDescent="0.25">
      <c r="A860" s="64"/>
      <c r="B860" s="62"/>
      <c r="C860" s="62"/>
      <c r="D860" s="62"/>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c r="AE860" s="58"/>
      <c r="AF860" s="58"/>
      <c r="AG860" s="58"/>
      <c r="AH860" s="58"/>
      <c r="AI860" s="58"/>
      <c r="AJ860" s="58"/>
      <c r="AK860" s="58"/>
      <c r="AL860" s="58"/>
      <c r="AM860" s="58"/>
      <c r="AN860" s="58"/>
      <c r="AO860" s="58"/>
      <c r="AP860" s="58"/>
      <c r="AQ860" s="58"/>
      <c r="AR860" s="58"/>
    </row>
    <row r="861" spans="1:44" ht="15.75" customHeight="1" x14ac:dyDescent="0.25">
      <c r="A861" s="64"/>
      <c r="B861" s="62"/>
      <c r="C861" s="62"/>
      <c r="D861" s="62"/>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c r="AE861" s="58"/>
      <c r="AF861" s="58"/>
      <c r="AG861" s="58"/>
      <c r="AH861" s="58"/>
      <c r="AI861" s="58"/>
      <c r="AJ861" s="58"/>
      <c r="AK861" s="58"/>
      <c r="AL861" s="58"/>
      <c r="AM861" s="58"/>
      <c r="AN861" s="58"/>
      <c r="AO861" s="58"/>
      <c r="AP861" s="58"/>
      <c r="AQ861" s="58"/>
      <c r="AR861" s="58"/>
    </row>
    <row r="862" spans="1:44" ht="15.75" customHeight="1" x14ac:dyDescent="0.25">
      <c r="A862" s="64"/>
      <c r="B862" s="62"/>
      <c r="C862" s="62"/>
      <c r="D862" s="62"/>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c r="AE862" s="58"/>
      <c r="AF862" s="58"/>
      <c r="AG862" s="58"/>
      <c r="AH862" s="58"/>
      <c r="AI862" s="58"/>
      <c r="AJ862" s="58"/>
      <c r="AK862" s="58"/>
      <c r="AL862" s="58"/>
      <c r="AM862" s="58"/>
      <c r="AN862" s="58"/>
      <c r="AO862" s="58"/>
      <c r="AP862" s="58"/>
      <c r="AQ862" s="58"/>
      <c r="AR862" s="58"/>
    </row>
    <row r="863" spans="1:44" ht="15.75" customHeight="1" x14ac:dyDescent="0.25">
      <c r="A863" s="64"/>
      <c r="B863" s="62"/>
      <c r="C863" s="62"/>
      <c r="D863" s="62"/>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c r="AE863" s="58"/>
      <c r="AF863" s="58"/>
      <c r="AG863" s="58"/>
      <c r="AH863" s="58"/>
      <c r="AI863" s="58"/>
      <c r="AJ863" s="58"/>
      <c r="AK863" s="58"/>
      <c r="AL863" s="58"/>
      <c r="AM863" s="58"/>
      <c r="AN863" s="58"/>
      <c r="AO863" s="58"/>
      <c r="AP863" s="58"/>
      <c r="AQ863" s="58"/>
      <c r="AR863" s="58"/>
    </row>
    <row r="864" spans="1:44" ht="15.75" customHeight="1" x14ac:dyDescent="0.25">
      <c r="A864" s="64"/>
      <c r="B864" s="62"/>
      <c r="C864" s="62"/>
      <c r="D864" s="62"/>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c r="AE864" s="58"/>
      <c r="AF864" s="58"/>
      <c r="AG864" s="58"/>
      <c r="AH864" s="58"/>
      <c r="AI864" s="58"/>
      <c r="AJ864" s="58"/>
      <c r="AK864" s="58"/>
      <c r="AL864" s="58"/>
      <c r="AM864" s="58"/>
      <c r="AN864" s="58"/>
      <c r="AO864" s="58"/>
      <c r="AP864" s="58"/>
      <c r="AQ864" s="58"/>
      <c r="AR864" s="58"/>
    </row>
    <row r="865" spans="1:44" ht="15.75" customHeight="1" x14ac:dyDescent="0.25">
      <c r="A865" s="64"/>
      <c r="B865" s="62"/>
      <c r="C865" s="62"/>
      <c r="D865" s="62"/>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c r="AE865" s="58"/>
      <c r="AF865" s="58"/>
      <c r="AG865" s="58"/>
      <c r="AH865" s="58"/>
      <c r="AI865" s="58"/>
      <c r="AJ865" s="58"/>
      <c r="AK865" s="58"/>
      <c r="AL865" s="58"/>
      <c r="AM865" s="58"/>
      <c r="AN865" s="58"/>
      <c r="AO865" s="58"/>
      <c r="AP865" s="58"/>
      <c r="AQ865" s="58"/>
      <c r="AR865" s="58"/>
    </row>
    <row r="866" spans="1:44" ht="15.75" customHeight="1" x14ac:dyDescent="0.25">
      <c r="A866" s="64"/>
      <c r="B866" s="62"/>
      <c r="C866" s="62"/>
      <c r="D866" s="62"/>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c r="AE866" s="58"/>
      <c r="AF866" s="58"/>
      <c r="AG866" s="58"/>
      <c r="AH866" s="58"/>
      <c r="AI866" s="58"/>
      <c r="AJ866" s="58"/>
      <c r="AK866" s="58"/>
      <c r="AL866" s="58"/>
      <c r="AM866" s="58"/>
      <c r="AN866" s="58"/>
      <c r="AO866" s="58"/>
      <c r="AP866" s="58"/>
      <c r="AQ866" s="58"/>
      <c r="AR866" s="58"/>
    </row>
    <row r="867" spans="1:44" ht="15.75" customHeight="1" x14ac:dyDescent="0.25">
      <c r="A867" s="64"/>
      <c r="B867" s="62"/>
      <c r="C867" s="62"/>
      <c r="D867" s="62"/>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c r="AE867" s="58"/>
      <c r="AF867" s="58"/>
      <c r="AG867" s="58"/>
      <c r="AH867" s="58"/>
      <c r="AI867" s="58"/>
      <c r="AJ867" s="58"/>
      <c r="AK867" s="58"/>
      <c r="AL867" s="58"/>
      <c r="AM867" s="58"/>
      <c r="AN867" s="58"/>
      <c r="AO867" s="58"/>
      <c r="AP867" s="58"/>
      <c r="AQ867" s="58"/>
      <c r="AR867" s="58"/>
    </row>
    <row r="868" spans="1:44" ht="15.75" customHeight="1" x14ac:dyDescent="0.25">
      <c r="A868" s="64"/>
      <c r="B868" s="62"/>
      <c r="C868" s="62"/>
      <c r="D868" s="62"/>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c r="AE868" s="58"/>
      <c r="AF868" s="58"/>
      <c r="AG868" s="58"/>
      <c r="AH868" s="58"/>
      <c r="AI868" s="58"/>
      <c r="AJ868" s="58"/>
      <c r="AK868" s="58"/>
      <c r="AL868" s="58"/>
      <c r="AM868" s="58"/>
      <c r="AN868" s="58"/>
      <c r="AO868" s="58"/>
      <c r="AP868" s="58"/>
      <c r="AQ868" s="58"/>
      <c r="AR868" s="58"/>
    </row>
    <row r="869" spans="1:44" ht="15.75" customHeight="1" x14ac:dyDescent="0.25">
      <c r="A869" s="64"/>
      <c r="B869" s="62"/>
      <c r="C869" s="62"/>
      <c r="D869" s="62"/>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c r="AE869" s="58"/>
      <c r="AF869" s="58"/>
      <c r="AG869" s="58"/>
      <c r="AH869" s="58"/>
      <c r="AI869" s="58"/>
      <c r="AJ869" s="58"/>
      <c r="AK869" s="58"/>
      <c r="AL869" s="58"/>
      <c r="AM869" s="58"/>
      <c r="AN869" s="58"/>
      <c r="AO869" s="58"/>
      <c r="AP869" s="58"/>
      <c r="AQ869" s="58"/>
      <c r="AR869" s="58"/>
    </row>
    <row r="870" spans="1:44" ht="15.75" customHeight="1" x14ac:dyDescent="0.25">
      <c r="A870" s="64"/>
      <c r="B870" s="62"/>
      <c r="C870" s="62"/>
      <c r="D870" s="62"/>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c r="AE870" s="58"/>
      <c r="AF870" s="58"/>
      <c r="AG870" s="58"/>
      <c r="AH870" s="58"/>
      <c r="AI870" s="58"/>
      <c r="AJ870" s="58"/>
      <c r="AK870" s="58"/>
      <c r="AL870" s="58"/>
      <c r="AM870" s="58"/>
      <c r="AN870" s="58"/>
      <c r="AO870" s="58"/>
      <c r="AP870" s="58"/>
      <c r="AQ870" s="58"/>
      <c r="AR870" s="58"/>
    </row>
    <row r="871" spans="1:44" ht="15.75" customHeight="1" x14ac:dyDescent="0.25">
      <c r="A871" s="64"/>
      <c r="B871" s="62"/>
      <c r="C871" s="62"/>
      <c r="D871" s="62"/>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c r="AE871" s="58"/>
      <c r="AF871" s="58"/>
      <c r="AG871" s="58"/>
      <c r="AH871" s="58"/>
      <c r="AI871" s="58"/>
      <c r="AJ871" s="58"/>
      <c r="AK871" s="58"/>
      <c r="AL871" s="58"/>
      <c r="AM871" s="58"/>
      <c r="AN871" s="58"/>
      <c r="AO871" s="58"/>
      <c r="AP871" s="58"/>
      <c r="AQ871" s="58"/>
      <c r="AR871" s="58"/>
    </row>
    <row r="872" spans="1:44" ht="15.75" customHeight="1" x14ac:dyDescent="0.25">
      <c r="A872" s="64"/>
      <c r="B872" s="62"/>
      <c r="C872" s="62"/>
      <c r="D872" s="62"/>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c r="AE872" s="58"/>
      <c r="AF872" s="58"/>
      <c r="AG872" s="58"/>
      <c r="AH872" s="58"/>
      <c r="AI872" s="58"/>
      <c r="AJ872" s="58"/>
      <c r="AK872" s="58"/>
      <c r="AL872" s="58"/>
      <c r="AM872" s="58"/>
      <c r="AN872" s="58"/>
      <c r="AO872" s="58"/>
      <c r="AP872" s="58"/>
      <c r="AQ872" s="58"/>
      <c r="AR872" s="58"/>
    </row>
    <row r="873" spans="1:44" ht="15.75" customHeight="1" x14ac:dyDescent="0.25">
      <c r="A873" s="64"/>
      <c r="B873" s="62"/>
      <c r="C873" s="62"/>
      <c r="D873" s="62"/>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c r="AE873" s="58"/>
      <c r="AF873" s="58"/>
      <c r="AG873" s="58"/>
      <c r="AH873" s="58"/>
      <c r="AI873" s="58"/>
      <c r="AJ873" s="58"/>
      <c r="AK873" s="58"/>
      <c r="AL873" s="58"/>
      <c r="AM873" s="58"/>
      <c r="AN873" s="58"/>
      <c r="AO873" s="58"/>
      <c r="AP873" s="58"/>
      <c r="AQ873" s="58"/>
      <c r="AR873" s="58"/>
    </row>
    <row r="874" spans="1:44" ht="15.75" customHeight="1" x14ac:dyDescent="0.25">
      <c r="A874" s="64"/>
      <c r="B874" s="62"/>
      <c r="C874" s="62"/>
      <c r="D874" s="62"/>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c r="AE874" s="58"/>
      <c r="AF874" s="58"/>
      <c r="AG874" s="58"/>
      <c r="AH874" s="58"/>
      <c r="AI874" s="58"/>
      <c r="AJ874" s="58"/>
      <c r="AK874" s="58"/>
      <c r="AL874" s="58"/>
      <c r="AM874" s="58"/>
      <c r="AN874" s="58"/>
      <c r="AO874" s="58"/>
      <c r="AP874" s="58"/>
      <c r="AQ874" s="58"/>
      <c r="AR874" s="58"/>
    </row>
    <row r="875" spans="1:44" ht="15.75" customHeight="1" x14ac:dyDescent="0.25">
      <c r="A875" s="64"/>
      <c r="B875" s="62"/>
      <c r="C875" s="62"/>
      <c r="D875" s="62"/>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c r="AE875" s="58"/>
      <c r="AF875" s="58"/>
      <c r="AG875" s="58"/>
      <c r="AH875" s="58"/>
      <c r="AI875" s="58"/>
      <c r="AJ875" s="58"/>
      <c r="AK875" s="58"/>
      <c r="AL875" s="58"/>
      <c r="AM875" s="58"/>
      <c r="AN875" s="58"/>
      <c r="AO875" s="58"/>
      <c r="AP875" s="58"/>
      <c r="AQ875" s="58"/>
      <c r="AR875" s="58"/>
    </row>
    <row r="876" spans="1:44" ht="15.75" customHeight="1" x14ac:dyDescent="0.25">
      <c r="A876" s="64"/>
      <c r="B876" s="62"/>
      <c r="C876" s="62"/>
      <c r="D876" s="62"/>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c r="AE876" s="58"/>
      <c r="AF876" s="58"/>
      <c r="AG876" s="58"/>
      <c r="AH876" s="58"/>
      <c r="AI876" s="58"/>
      <c r="AJ876" s="58"/>
      <c r="AK876" s="58"/>
      <c r="AL876" s="58"/>
      <c r="AM876" s="58"/>
      <c r="AN876" s="58"/>
      <c r="AO876" s="58"/>
      <c r="AP876" s="58"/>
      <c r="AQ876" s="58"/>
      <c r="AR876" s="58"/>
    </row>
    <row r="877" spans="1:44" ht="15.75" customHeight="1" x14ac:dyDescent="0.25">
      <c r="A877" s="64"/>
      <c r="B877" s="62"/>
      <c r="C877" s="62"/>
      <c r="D877" s="62"/>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c r="AE877" s="58"/>
      <c r="AF877" s="58"/>
      <c r="AG877" s="58"/>
      <c r="AH877" s="58"/>
      <c r="AI877" s="58"/>
      <c r="AJ877" s="58"/>
      <c r="AK877" s="58"/>
      <c r="AL877" s="58"/>
      <c r="AM877" s="58"/>
      <c r="AN877" s="58"/>
      <c r="AO877" s="58"/>
      <c r="AP877" s="58"/>
      <c r="AQ877" s="58"/>
      <c r="AR877" s="58"/>
    </row>
    <row r="878" spans="1:44" ht="15.75" customHeight="1" x14ac:dyDescent="0.25">
      <c r="A878" s="64"/>
      <c r="B878" s="62"/>
      <c r="C878" s="62"/>
      <c r="D878" s="62"/>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c r="AE878" s="58"/>
      <c r="AF878" s="58"/>
      <c r="AG878" s="58"/>
      <c r="AH878" s="58"/>
      <c r="AI878" s="58"/>
      <c r="AJ878" s="58"/>
      <c r="AK878" s="58"/>
      <c r="AL878" s="58"/>
      <c r="AM878" s="58"/>
      <c r="AN878" s="58"/>
      <c r="AO878" s="58"/>
      <c r="AP878" s="58"/>
      <c r="AQ878" s="58"/>
      <c r="AR878" s="58"/>
    </row>
    <row r="879" spans="1:44" ht="15.75" customHeight="1" x14ac:dyDescent="0.25">
      <c r="A879" s="64"/>
      <c r="B879" s="62"/>
      <c r="C879" s="62"/>
      <c r="D879" s="62"/>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c r="AE879" s="58"/>
      <c r="AF879" s="58"/>
      <c r="AG879" s="58"/>
      <c r="AH879" s="58"/>
      <c r="AI879" s="58"/>
      <c r="AJ879" s="58"/>
      <c r="AK879" s="58"/>
      <c r="AL879" s="58"/>
      <c r="AM879" s="58"/>
      <c r="AN879" s="58"/>
      <c r="AO879" s="58"/>
      <c r="AP879" s="58"/>
      <c r="AQ879" s="58"/>
      <c r="AR879" s="58"/>
    </row>
    <row r="880" spans="1:44" ht="15.75" customHeight="1" x14ac:dyDescent="0.25">
      <c r="A880" s="64"/>
      <c r="B880" s="62"/>
      <c r="C880" s="62"/>
      <c r="D880" s="62"/>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c r="AE880" s="58"/>
      <c r="AF880" s="58"/>
      <c r="AG880" s="58"/>
      <c r="AH880" s="58"/>
      <c r="AI880" s="58"/>
      <c r="AJ880" s="58"/>
      <c r="AK880" s="58"/>
      <c r="AL880" s="58"/>
      <c r="AM880" s="58"/>
      <c r="AN880" s="58"/>
      <c r="AO880" s="58"/>
      <c r="AP880" s="58"/>
      <c r="AQ880" s="58"/>
      <c r="AR880" s="58"/>
    </row>
    <row r="881" spans="1:44" ht="15.75" customHeight="1" x14ac:dyDescent="0.25">
      <c r="A881" s="64"/>
      <c r="B881" s="62"/>
      <c r="C881" s="62"/>
      <c r="D881" s="62"/>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c r="AE881" s="58"/>
      <c r="AF881" s="58"/>
      <c r="AG881" s="58"/>
      <c r="AH881" s="58"/>
      <c r="AI881" s="58"/>
      <c r="AJ881" s="58"/>
      <c r="AK881" s="58"/>
      <c r="AL881" s="58"/>
      <c r="AM881" s="58"/>
      <c r="AN881" s="58"/>
      <c r="AO881" s="58"/>
      <c r="AP881" s="58"/>
      <c r="AQ881" s="58"/>
      <c r="AR881" s="58"/>
    </row>
    <row r="882" spans="1:44" ht="15.75" customHeight="1" x14ac:dyDescent="0.25">
      <c r="A882" s="64"/>
      <c r="B882" s="62"/>
      <c r="C882" s="62"/>
      <c r="D882" s="62"/>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c r="AE882" s="58"/>
      <c r="AF882" s="58"/>
      <c r="AG882" s="58"/>
      <c r="AH882" s="58"/>
      <c r="AI882" s="58"/>
      <c r="AJ882" s="58"/>
      <c r="AK882" s="58"/>
      <c r="AL882" s="58"/>
      <c r="AM882" s="58"/>
      <c r="AN882" s="58"/>
      <c r="AO882" s="58"/>
      <c r="AP882" s="58"/>
      <c r="AQ882" s="58"/>
      <c r="AR882" s="58"/>
    </row>
    <row r="883" spans="1:44" ht="15.75" customHeight="1" x14ac:dyDescent="0.25">
      <c r="A883" s="64"/>
      <c r="B883" s="62"/>
      <c r="C883" s="62"/>
      <c r="D883" s="62"/>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c r="AE883" s="58"/>
      <c r="AF883" s="58"/>
      <c r="AG883" s="58"/>
      <c r="AH883" s="58"/>
      <c r="AI883" s="58"/>
      <c r="AJ883" s="58"/>
      <c r="AK883" s="58"/>
      <c r="AL883" s="58"/>
      <c r="AM883" s="58"/>
      <c r="AN883" s="58"/>
      <c r="AO883" s="58"/>
      <c r="AP883" s="58"/>
      <c r="AQ883" s="58"/>
      <c r="AR883" s="58"/>
    </row>
    <row r="884" spans="1:44" ht="15.75" customHeight="1" x14ac:dyDescent="0.25">
      <c r="A884" s="64"/>
      <c r="B884" s="62"/>
      <c r="C884" s="62"/>
      <c r="D884" s="62"/>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c r="AE884" s="58"/>
      <c r="AF884" s="58"/>
      <c r="AG884" s="58"/>
      <c r="AH884" s="58"/>
      <c r="AI884" s="58"/>
      <c r="AJ884" s="58"/>
      <c r="AK884" s="58"/>
      <c r="AL884" s="58"/>
      <c r="AM884" s="58"/>
      <c r="AN884" s="58"/>
      <c r="AO884" s="58"/>
      <c r="AP884" s="58"/>
      <c r="AQ884" s="58"/>
      <c r="AR884" s="58"/>
    </row>
    <row r="885" spans="1:44" ht="15.75" customHeight="1" x14ac:dyDescent="0.25">
      <c r="A885" s="64"/>
      <c r="B885" s="62"/>
      <c r="C885" s="62"/>
      <c r="D885" s="62"/>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c r="AE885" s="58"/>
      <c r="AF885" s="58"/>
      <c r="AG885" s="58"/>
      <c r="AH885" s="58"/>
      <c r="AI885" s="58"/>
      <c r="AJ885" s="58"/>
      <c r="AK885" s="58"/>
      <c r="AL885" s="58"/>
      <c r="AM885" s="58"/>
      <c r="AN885" s="58"/>
      <c r="AO885" s="58"/>
      <c r="AP885" s="58"/>
      <c r="AQ885" s="58"/>
      <c r="AR885" s="58"/>
    </row>
    <row r="886" spans="1:44" ht="15.75" customHeight="1" x14ac:dyDescent="0.25">
      <c r="A886" s="64"/>
      <c r="B886" s="62"/>
      <c r="C886" s="62"/>
      <c r="D886" s="62"/>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c r="AE886" s="58"/>
      <c r="AF886" s="58"/>
      <c r="AG886" s="58"/>
      <c r="AH886" s="58"/>
      <c r="AI886" s="58"/>
      <c r="AJ886" s="58"/>
      <c r="AK886" s="58"/>
      <c r="AL886" s="58"/>
      <c r="AM886" s="58"/>
      <c r="AN886" s="58"/>
      <c r="AO886" s="58"/>
      <c r="AP886" s="58"/>
      <c r="AQ886" s="58"/>
      <c r="AR886" s="58"/>
    </row>
    <row r="887" spans="1:44" ht="15.75" customHeight="1" x14ac:dyDescent="0.25">
      <c r="A887" s="64"/>
      <c r="B887" s="62"/>
      <c r="C887" s="62"/>
      <c r="D887" s="62"/>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c r="AE887" s="58"/>
      <c r="AF887" s="58"/>
      <c r="AG887" s="58"/>
      <c r="AH887" s="58"/>
      <c r="AI887" s="58"/>
      <c r="AJ887" s="58"/>
      <c r="AK887" s="58"/>
      <c r="AL887" s="58"/>
      <c r="AM887" s="58"/>
      <c r="AN887" s="58"/>
      <c r="AO887" s="58"/>
      <c r="AP887" s="58"/>
      <c r="AQ887" s="58"/>
      <c r="AR887" s="58"/>
    </row>
    <row r="888" spans="1:44" ht="15.75" customHeight="1" x14ac:dyDescent="0.25">
      <c r="A888" s="64"/>
      <c r="B888" s="62"/>
      <c r="C888" s="62"/>
      <c r="D888" s="62"/>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c r="AE888" s="58"/>
      <c r="AF888" s="58"/>
      <c r="AG888" s="58"/>
      <c r="AH888" s="58"/>
      <c r="AI888" s="58"/>
      <c r="AJ888" s="58"/>
      <c r="AK888" s="58"/>
      <c r="AL888" s="58"/>
      <c r="AM888" s="58"/>
      <c r="AN888" s="58"/>
      <c r="AO888" s="58"/>
      <c r="AP888" s="58"/>
      <c r="AQ888" s="58"/>
      <c r="AR888" s="58"/>
    </row>
    <row r="889" spans="1:44" ht="15.75" customHeight="1" x14ac:dyDescent="0.25">
      <c r="A889" s="64"/>
      <c r="B889" s="62"/>
      <c r="C889" s="62"/>
      <c r="D889" s="62"/>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c r="AE889" s="58"/>
      <c r="AF889" s="58"/>
      <c r="AG889" s="58"/>
      <c r="AH889" s="58"/>
      <c r="AI889" s="58"/>
      <c r="AJ889" s="58"/>
      <c r="AK889" s="58"/>
      <c r="AL889" s="58"/>
      <c r="AM889" s="58"/>
      <c r="AN889" s="58"/>
      <c r="AO889" s="58"/>
      <c r="AP889" s="58"/>
      <c r="AQ889" s="58"/>
      <c r="AR889" s="58"/>
    </row>
    <row r="890" spans="1:44" ht="15.75" customHeight="1" x14ac:dyDescent="0.25">
      <c r="A890" s="64"/>
      <c r="B890" s="62"/>
      <c r="C890" s="62"/>
      <c r="D890" s="62"/>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c r="AE890" s="58"/>
      <c r="AF890" s="58"/>
      <c r="AG890" s="58"/>
      <c r="AH890" s="58"/>
      <c r="AI890" s="58"/>
      <c r="AJ890" s="58"/>
      <c r="AK890" s="58"/>
      <c r="AL890" s="58"/>
      <c r="AM890" s="58"/>
      <c r="AN890" s="58"/>
      <c r="AO890" s="58"/>
      <c r="AP890" s="58"/>
      <c r="AQ890" s="58"/>
      <c r="AR890" s="58"/>
    </row>
    <row r="891" spans="1:44" ht="15.75" customHeight="1" x14ac:dyDescent="0.25">
      <c r="A891" s="64"/>
      <c r="B891" s="62"/>
      <c r="C891" s="62"/>
      <c r="D891" s="62"/>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c r="AE891" s="58"/>
      <c r="AF891" s="58"/>
      <c r="AG891" s="58"/>
      <c r="AH891" s="58"/>
      <c r="AI891" s="58"/>
      <c r="AJ891" s="58"/>
      <c r="AK891" s="58"/>
      <c r="AL891" s="58"/>
      <c r="AM891" s="58"/>
      <c r="AN891" s="58"/>
      <c r="AO891" s="58"/>
      <c r="AP891" s="58"/>
      <c r="AQ891" s="58"/>
      <c r="AR891" s="58"/>
    </row>
    <row r="892" spans="1:44" ht="15.75" customHeight="1" x14ac:dyDescent="0.25">
      <c r="A892" s="64"/>
      <c r="B892" s="62"/>
      <c r="C892" s="62"/>
      <c r="D892" s="62"/>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c r="AE892" s="58"/>
      <c r="AF892" s="58"/>
      <c r="AG892" s="58"/>
      <c r="AH892" s="58"/>
      <c r="AI892" s="58"/>
      <c r="AJ892" s="58"/>
      <c r="AK892" s="58"/>
      <c r="AL892" s="58"/>
      <c r="AM892" s="58"/>
      <c r="AN892" s="58"/>
      <c r="AO892" s="58"/>
      <c r="AP892" s="58"/>
      <c r="AQ892" s="58"/>
      <c r="AR892" s="58"/>
    </row>
    <row r="893" spans="1:44" ht="15.75" customHeight="1" x14ac:dyDescent="0.25">
      <c r="A893" s="64"/>
      <c r="B893" s="62"/>
      <c r="C893" s="62"/>
      <c r="D893" s="62"/>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c r="AE893" s="58"/>
      <c r="AF893" s="58"/>
      <c r="AG893" s="58"/>
      <c r="AH893" s="58"/>
      <c r="AI893" s="58"/>
      <c r="AJ893" s="58"/>
      <c r="AK893" s="58"/>
      <c r="AL893" s="58"/>
      <c r="AM893" s="58"/>
      <c r="AN893" s="58"/>
      <c r="AO893" s="58"/>
      <c r="AP893" s="58"/>
      <c r="AQ893" s="58"/>
      <c r="AR893" s="58"/>
    </row>
    <row r="894" spans="1:44" ht="15.75" customHeight="1" x14ac:dyDescent="0.25">
      <c r="A894" s="64"/>
      <c r="B894" s="62"/>
      <c r="C894" s="62"/>
      <c r="D894" s="62"/>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c r="AE894" s="58"/>
      <c r="AF894" s="58"/>
      <c r="AG894" s="58"/>
      <c r="AH894" s="58"/>
      <c r="AI894" s="58"/>
      <c r="AJ894" s="58"/>
      <c r="AK894" s="58"/>
      <c r="AL894" s="58"/>
      <c r="AM894" s="58"/>
      <c r="AN894" s="58"/>
      <c r="AO894" s="58"/>
      <c r="AP894" s="58"/>
      <c r="AQ894" s="58"/>
      <c r="AR894" s="58"/>
    </row>
    <row r="895" spans="1:44" ht="15.75" customHeight="1" x14ac:dyDescent="0.25">
      <c r="A895" s="64"/>
      <c r="B895" s="62"/>
      <c r="C895" s="62"/>
      <c r="D895" s="62"/>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c r="AE895" s="58"/>
      <c r="AF895" s="58"/>
      <c r="AG895" s="58"/>
      <c r="AH895" s="58"/>
      <c r="AI895" s="58"/>
      <c r="AJ895" s="58"/>
      <c r="AK895" s="58"/>
      <c r="AL895" s="58"/>
      <c r="AM895" s="58"/>
      <c r="AN895" s="58"/>
      <c r="AO895" s="58"/>
      <c r="AP895" s="58"/>
      <c r="AQ895" s="58"/>
      <c r="AR895" s="58"/>
    </row>
    <row r="896" spans="1:44" ht="15.75" customHeight="1" x14ac:dyDescent="0.25">
      <c r="A896" s="64"/>
      <c r="B896" s="62"/>
      <c r="C896" s="62"/>
      <c r="D896" s="62"/>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c r="AE896" s="58"/>
      <c r="AF896" s="58"/>
      <c r="AG896" s="58"/>
      <c r="AH896" s="58"/>
      <c r="AI896" s="58"/>
      <c r="AJ896" s="58"/>
      <c r="AK896" s="58"/>
      <c r="AL896" s="58"/>
      <c r="AM896" s="58"/>
      <c r="AN896" s="58"/>
      <c r="AO896" s="58"/>
      <c r="AP896" s="58"/>
      <c r="AQ896" s="58"/>
      <c r="AR896" s="58"/>
    </row>
    <row r="897" spans="1:44" ht="15.75" customHeight="1" x14ac:dyDescent="0.25">
      <c r="A897" s="64"/>
      <c r="B897" s="62"/>
      <c r="C897" s="62"/>
      <c r="D897" s="62"/>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c r="AE897" s="58"/>
      <c r="AF897" s="58"/>
      <c r="AG897" s="58"/>
      <c r="AH897" s="58"/>
      <c r="AI897" s="58"/>
      <c r="AJ897" s="58"/>
      <c r="AK897" s="58"/>
      <c r="AL897" s="58"/>
      <c r="AM897" s="58"/>
      <c r="AN897" s="58"/>
      <c r="AO897" s="58"/>
      <c r="AP897" s="58"/>
      <c r="AQ897" s="58"/>
      <c r="AR897" s="58"/>
    </row>
    <row r="898" spans="1:44" ht="15.75" customHeight="1" x14ac:dyDescent="0.25">
      <c r="A898" s="64"/>
      <c r="B898" s="62"/>
      <c r="C898" s="62"/>
      <c r="D898" s="62"/>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c r="AE898" s="58"/>
      <c r="AF898" s="58"/>
      <c r="AG898" s="58"/>
      <c r="AH898" s="58"/>
      <c r="AI898" s="58"/>
      <c r="AJ898" s="58"/>
      <c r="AK898" s="58"/>
      <c r="AL898" s="58"/>
      <c r="AM898" s="58"/>
      <c r="AN898" s="58"/>
      <c r="AO898" s="58"/>
      <c r="AP898" s="58"/>
      <c r="AQ898" s="58"/>
      <c r="AR898" s="58"/>
    </row>
    <row r="899" spans="1:44" ht="15.75" customHeight="1" x14ac:dyDescent="0.25">
      <c r="A899" s="64"/>
      <c r="B899" s="62"/>
      <c r="C899" s="62"/>
      <c r="D899" s="62"/>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c r="AE899" s="58"/>
      <c r="AF899" s="58"/>
      <c r="AG899" s="58"/>
      <c r="AH899" s="58"/>
      <c r="AI899" s="58"/>
      <c r="AJ899" s="58"/>
      <c r="AK899" s="58"/>
      <c r="AL899" s="58"/>
      <c r="AM899" s="58"/>
      <c r="AN899" s="58"/>
      <c r="AO899" s="58"/>
      <c r="AP899" s="58"/>
      <c r="AQ899" s="58"/>
      <c r="AR899" s="58"/>
    </row>
    <row r="900" spans="1:44" ht="15.75" customHeight="1" x14ac:dyDescent="0.25">
      <c r="A900" s="64"/>
      <c r="B900" s="62"/>
      <c r="C900" s="62"/>
      <c r="D900" s="62"/>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c r="AE900" s="58"/>
      <c r="AF900" s="58"/>
      <c r="AG900" s="58"/>
      <c r="AH900" s="58"/>
      <c r="AI900" s="58"/>
      <c r="AJ900" s="58"/>
      <c r="AK900" s="58"/>
      <c r="AL900" s="58"/>
      <c r="AM900" s="58"/>
      <c r="AN900" s="58"/>
      <c r="AO900" s="58"/>
      <c r="AP900" s="58"/>
      <c r="AQ900" s="58"/>
      <c r="AR900" s="58"/>
    </row>
    <row r="901" spans="1:44" ht="15.75" customHeight="1" x14ac:dyDescent="0.25">
      <c r="A901" s="64"/>
      <c r="B901" s="62"/>
      <c r="C901" s="62"/>
      <c r="D901" s="62"/>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c r="AE901" s="58"/>
      <c r="AF901" s="58"/>
      <c r="AG901" s="58"/>
      <c r="AH901" s="58"/>
      <c r="AI901" s="58"/>
      <c r="AJ901" s="58"/>
      <c r="AK901" s="58"/>
      <c r="AL901" s="58"/>
      <c r="AM901" s="58"/>
      <c r="AN901" s="58"/>
      <c r="AO901" s="58"/>
      <c r="AP901" s="58"/>
      <c r="AQ901" s="58"/>
      <c r="AR901" s="58"/>
    </row>
    <row r="902" spans="1:44" ht="15.75" customHeight="1" x14ac:dyDescent="0.25">
      <c r="A902" s="64"/>
      <c r="B902" s="62"/>
      <c r="C902" s="62"/>
      <c r="D902" s="62"/>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c r="AE902" s="58"/>
      <c r="AF902" s="58"/>
      <c r="AG902" s="58"/>
      <c r="AH902" s="58"/>
      <c r="AI902" s="58"/>
      <c r="AJ902" s="58"/>
      <c r="AK902" s="58"/>
      <c r="AL902" s="58"/>
      <c r="AM902" s="58"/>
      <c r="AN902" s="58"/>
      <c r="AO902" s="58"/>
      <c r="AP902" s="58"/>
      <c r="AQ902" s="58"/>
      <c r="AR902" s="58"/>
    </row>
    <row r="903" spans="1:44" ht="15.75" customHeight="1" x14ac:dyDescent="0.25">
      <c r="A903" s="64"/>
      <c r="B903" s="62"/>
      <c r="C903" s="62"/>
      <c r="D903" s="62"/>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c r="AE903" s="58"/>
      <c r="AF903" s="58"/>
      <c r="AG903" s="58"/>
      <c r="AH903" s="58"/>
      <c r="AI903" s="58"/>
      <c r="AJ903" s="58"/>
      <c r="AK903" s="58"/>
      <c r="AL903" s="58"/>
      <c r="AM903" s="58"/>
      <c r="AN903" s="58"/>
      <c r="AO903" s="58"/>
      <c r="AP903" s="58"/>
      <c r="AQ903" s="58"/>
      <c r="AR903" s="58"/>
    </row>
    <row r="904" spans="1:44" ht="15.75" customHeight="1" x14ac:dyDescent="0.25">
      <c r="A904" s="64"/>
      <c r="B904" s="62"/>
      <c r="C904" s="62"/>
      <c r="D904" s="62"/>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c r="AE904" s="58"/>
      <c r="AF904" s="58"/>
      <c r="AG904" s="58"/>
      <c r="AH904" s="58"/>
      <c r="AI904" s="58"/>
      <c r="AJ904" s="58"/>
      <c r="AK904" s="58"/>
      <c r="AL904" s="58"/>
      <c r="AM904" s="58"/>
      <c r="AN904" s="58"/>
      <c r="AO904" s="58"/>
      <c r="AP904" s="58"/>
      <c r="AQ904" s="58"/>
      <c r="AR904" s="58"/>
    </row>
    <row r="905" spans="1:44" ht="15.75" customHeight="1" x14ac:dyDescent="0.25">
      <c r="A905" s="64"/>
      <c r="B905" s="62"/>
      <c r="C905" s="62"/>
      <c r="D905" s="62"/>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c r="AE905" s="58"/>
      <c r="AF905" s="58"/>
      <c r="AG905" s="58"/>
      <c r="AH905" s="58"/>
      <c r="AI905" s="58"/>
      <c r="AJ905" s="58"/>
      <c r="AK905" s="58"/>
      <c r="AL905" s="58"/>
      <c r="AM905" s="58"/>
      <c r="AN905" s="58"/>
      <c r="AO905" s="58"/>
      <c r="AP905" s="58"/>
      <c r="AQ905" s="58"/>
      <c r="AR905" s="58"/>
    </row>
    <row r="906" spans="1:44" ht="15.75" customHeight="1" x14ac:dyDescent="0.25">
      <c r="A906" s="64"/>
      <c r="B906" s="62"/>
      <c r="C906" s="62"/>
      <c r="D906" s="62"/>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c r="AE906" s="58"/>
      <c r="AF906" s="58"/>
      <c r="AG906" s="58"/>
      <c r="AH906" s="58"/>
      <c r="AI906" s="58"/>
      <c r="AJ906" s="58"/>
      <c r="AK906" s="58"/>
      <c r="AL906" s="58"/>
      <c r="AM906" s="58"/>
      <c r="AN906" s="58"/>
      <c r="AO906" s="58"/>
      <c r="AP906" s="58"/>
      <c r="AQ906" s="58"/>
      <c r="AR906" s="58"/>
    </row>
    <row r="907" spans="1:44" ht="15.75" customHeight="1" x14ac:dyDescent="0.25">
      <c r="A907" s="64"/>
      <c r="B907" s="62"/>
      <c r="C907" s="62"/>
      <c r="D907" s="62"/>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c r="AE907" s="58"/>
      <c r="AF907" s="58"/>
      <c r="AG907" s="58"/>
      <c r="AH907" s="58"/>
      <c r="AI907" s="58"/>
      <c r="AJ907" s="58"/>
      <c r="AK907" s="58"/>
      <c r="AL907" s="58"/>
      <c r="AM907" s="58"/>
      <c r="AN907" s="58"/>
      <c r="AO907" s="58"/>
      <c r="AP907" s="58"/>
      <c r="AQ907" s="58"/>
      <c r="AR907" s="58"/>
    </row>
    <row r="908" spans="1:44" ht="15.75" customHeight="1" x14ac:dyDescent="0.25">
      <c r="A908" s="64"/>
      <c r="B908" s="62"/>
      <c r="C908" s="62"/>
      <c r="D908" s="62"/>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c r="AE908" s="58"/>
      <c r="AF908" s="58"/>
      <c r="AG908" s="58"/>
      <c r="AH908" s="58"/>
      <c r="AI908" s="58"/>
      <c r="AJ908" s="58"/>
      <c r="AK908" s="58"/>
      <c r="AL908" s="58"/>
      <c r="AM908" s="58"/>
      <c r="AN908" s="58"/>
      <c r="AO908" s="58"/>
      <c r="AP908" s="58"/>
      <c r="AQ908" s="58"/>
      <c r="AR908" s="58"/>
    </row>
    <row r="909" spans="1:44" ht="15.75" customHeight="1" x14ac:dyDescent="0.25">
      <c r="A909" s="64"/>
      <c r="B909" s="62"/>
      <c r="C909" s="62"/>
      <c r="D909" s="62"/>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c r="AE909" s="58"/>
      <c r="AF909" s="58"/>
      <c r="AG909" s="58"/>
      <c r="AH909" s="58"/>
      <c r="AI909" s="58"/>
      <c r="AJ909" s="58"/>
      <c r="AK909" s="58"/>
      <c r="AL909" s="58"/>
      <c r="AM909" s="58"/>
      <c r="AN909" s="58"/>
      <c r="AO909" s="58"/>
      <c r="AP909" s="58"/>
      <c r="AQ909" s="58"/>
      <c r="AR909" s="58"/>
    </row>
    <row r="910" spans="1:44" ht="15.75" customHeight="1" x14ac:dyDescent="0.25">
      <c r="A910" s="64"/>
      <c r="B910" s="62"/>
      <c r="C910" s="62"/>
      <c r="D910" s="62"/>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c r="AE910" s="58"/>
      <c r="AF910" s="58"/>
      <c r="AG910" s="58"/>
      <c r="AH910" s="58"/>
      <c r="AI910" s="58"/>
      <c r="AJ910" s="58"/>
      <c r="AK910" s="58"/>
      <c r="AL910" s="58"/>
      <c r="AM910" s="58"/>
      <c r="AN910" s="58"/>
      <c r="AO910" s="58"/>
      <c r="AP910" s="58"/>
      <c r="AQ910" s="58"/>
      <c r="AR910" s="58"/>
    </row>
    <row r="911" spans="1:44" ht="15.75" customHeight="1" x14ac:dyDescent="0.25">
      <c r="A911" s="64"/>
      <c r="B911" s="62"/>
      <c r="C911" s="62"/>
      <c r="D911" s="62"/>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c r="AE911" s="58"/>
      <c r="AF911" s="58"/>
      <c r="AG911" s="58"/>
      <c r="AH911" s="58"/>
      <c r="AI911" s="58"/>
      <c r="AJ911" s="58"/>
      <c r="AK911" s="58"/>
      <c r="AL911" s="58"/>
      <c r="AM911" s="58"/>
      <c r="AN911" s="58"/>
      <c r="AO911" s="58"/>
      <c r="AP911" s="58"/>
      <c r="AQ911" s="58"/>
      <c r="AR911" s="58"/>
    </row>
    <row r="912" spans="1:44" ht="15.75" customHeight="1" x14ac:dyDescent="0.25">
      <c r="A912" s="64"/>
      <c r="B912" s="62"/>
      <c r="C912" s="62"/>
      <c r="D912" s="62"/>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c r="AE912" s="58"/>
      <c r="AF912" s="58"/>
      <c r="AG912" s="58"/>
      <c r="AH912" s="58"/>
      <c r="AI912" s="58"/>
      <c r="AJ912" s="58"/>
      <c r="AK912" s="58"/>
      <c r="AL912" s="58"/>
      <c r="AM912" s="58"/>
      <c r="AN912" s="58"/>
      <c r="AO912" s="58"/>
      <c r="AP912" s="58"/>
      <c r="AQ912" s="58"/>
      <c r="AR912" s="58"/>
    </row>
    <row r="913" spans="1:44" ht="15.75" customHeight="1" x14ac:dyDescent="0.25">
      <c r="A913" s="64"/>
      <c r="B913" s="62"/>
      <c r="C913" s="62"/>
      <c r="D913" s="62"/>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c r="AE913" s="58"/>
      <c r="AF913" s="58"/>
      <c r="AG913" s="58"/>
      <c r="AH913" s="58"/>
      <c r="AI913" s="58"/>
      <c r="AJ913" s="58"/>
      <c r="AK913" s="58"/>
      <c r="AL913" s="58"/>
      <c r="AM913" s="58"/>
      <c r="AN913" s="58"/>
      <c r="AO913" s="58"/>
      <c r="AP913" s="58"/>
      <c r="AQ913" s="58"/>
      <c r="AR913" s="58"/>
    </row>
    <row r="914" spans="1:44" ht="15.75" customHeight="1" x14ac:dyDescent="0.25">
      <c r="A914" s="64"/>
      <c r="B914" s="62"/>
      <c r="C914" s="62"/>
      <c r="D914" s="62"/>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c r="AE914" s="58"/>
      <c r="AF914" s="58"/>
      <c r="AG914" s="58"/>
      <c r="AH914" s="58"/>
      <c r="AI914" s="58"/>
      <c r="AJ914" s="58"/>
      <c r="AK914" s="58"/>
      <c r="AL914" s="58"/>
      <c r="AM914" s="58"/>
      <c r="AN914" s="58"/>
      <c r="AO914" s="58"/>
      <c r="AP914" s="58"/>
      <c r="AQ914" s="58"/>
      <c r="AR914" s="58"/>
    </row>
    <row r="915" spans="1:44" ht="15.75" customHeight="1" x14ac:dyDescent="0.25">
      <c r="A915" s="64"/>
      <c r="B915" s="62"/>
      <c r="C915" s="62"/>
      <c r="D915" s="62"/>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c r="AE915" s="58"/>
      <c r="AF915" s="58"/>
      <c r="AG915" s="58"/>
      <c r="AH915" s="58"/>
      <c r="AI915" s="58"/>
      <c r="AJ915" s="58"/>
      <c r="AK915" s="58"/>
      <c r="AL915" s="58"/>
      <c r="AM915" s="58"/>
      <c r="AN915" s="58"/>
      <c r="AO915" s="58"/>
      <c r="AP915" s="58"/>
      <c r="AQ915" s="58"/>
      <c r="AR915" s="58"/>
    </row>
    <row r="916" spans="1:44" ht="15.75" customHeight="1" x14ac:dyDescent="0.25">
      <c r="A916" s="64"/>
      <c r="B916" s="62"/>
      <c r="C916" s="62"/>
      <c r="D916" s="62"/>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c r="AE916" s="58"/>
      <c r="AF916" s="58"/>
      <c r="AG916" s="58"/>
      <c r="AH916" s="58"/>
      <c r="AI916" s="58"/>
      <c r="AJ916" s="58"/>
      <c r="AK916" s="58"/>
      <c r="AL916" s="58"/>
      <c r="AM916" s="58"/>
      <c r="AN916" s="58"/>
      <c r="AO916" s="58"/>
      <c r="AP916" s="58"/>
      <c r="AQ916" s="58"/>
      <c r="AR916" s="58"/>
    </row>
    <row r="917" spans="1:44" ht="15.75" customHeight="1" x14ac:dyDescent="0.25">
      <c r="A917" s="64"/>
      <c r="B917" s="62"/>
      <c r="C917" s="62"/>
      <c r="D917" s="62"/>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c r="AE917" s="58"/>
      <c r="AF917" s="58"/>
      <c r="AG917" s="58"/>
      <c r="AH917" s="58"/>
      <c r="AI917" s="58"/>
      <c r="AJ917" s="58"/>
      <c r="AK917" s="58"/>
      <c r="AL917" s="58"/>
      <c r="AM917" s="58"/>
      <c r="AN917" s="58"/>
      <c r="AO917" s="58"/>
      <c r="AP917" s="58"/>
      <c r="AQ917" s="58"/>
      <c r="AR917" s="58"/>
    </row>
    <row r="918" spans="1:44" ht="15.75" customHeight="1" x14ac:dyDescent="0.25">
      <c r="A918" s="64"/>
      <c r="B918" s="62"/>
      <c r="C918" s="62"/>
      <c r="D918" s="62"/>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c r="AE918" s="58"/>
      <c r="AF918" s="58"/>
      <c r="AG918" s="58"/>
      <c r="AH918" s="58"/>
      <c r="AI918" s="58"/>
      <c r="AJ918" s="58"/>
      <c r="AK918" s="58"/>
      <c r="AL918" s="58"/>
      <c r="AM918" s="58"/>
      <c r="AN918" s="58"/>
      <c r="AO918" s="58"/>
      <c r="AP918" s="58"/>
      <c r="AQ918" s="58"/>
      <c r="AR918" s="58"/>
    </row>
    <row r="919" spans="1:44" ht="15.75" customHeight="1" x14ac:dyDescent="0.25">
      <c r="A919" s="64"/>
      <c r="B919" s="62"/>
      <c r="C919" s="62"/>
      <c r="D919" s="62"/>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c r="AE919" s="58"/>
      <c r="AF919" s="58"/>
      <c r="AG919" s="58"/>
      <c r="AH919" s="58"/>
      <c r="AI919" s="58"/>
      <c r="AJ919" s="58"/>
      <c r="AK919" s="58"/>
      <c r="AL919" s="58"/>
      <c r="AM919" s="58"/>
      <c r="AN919" s="58"/>
      <c r="AO919" s="58"/>
      <c r="AP919" s="58"/>
      <c r="AQ919" s="58"/>
      <c r="AR919" s="58"/>
    </row>
    <row r="920" spans="1:44" ht="15.75" customHeight="1" x14ac:dyDescent="0.25">
      <c r="A920" s="64"/>
      <c r="B920" s="62"/>
      <c r="C920" s="62"/>
      <c r="D920" s="62"/>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c r="AE920" s="58"/>
      <c r="AF920" s="58"/>
      <c r="AG920" s="58"/>
      <c r="AH920" s="58"/>
      <c r="AI920" s="58"/>
      <c r="AJ920" s="58"/>
      <c r="AK920" s="58"/>
      <c r="AL920" s="58"/>
      <c r="AM920" s="58"/>
      <c r="AN920" s="58"/>
      <c r="AO920" s="58"/>
      <c r="AP920" s="58"/>
      <c r="AQ920" s="58"/>
      <c r="AR920" s="58"/>
    </row>
    <row r="921" spans="1:44" ht="15.75" customHeight="1" x14ac:dyDescent="0.25">
      <c r="A921" s="64"/>
      <c r="B921" s="62"/>
      <c r="C921" s="62"/>
      <c r="D921" s="62"/>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c r="AE921" s="58"/>
      <c r="AF921" s="58"/>
      <c r="AG921" s="58"/>
      <c r="AH921" s="58"/>
      <c r="AI921" s="58"/>
      <c r="AJ921" s="58"/>
      <c r="AK921" s="58"/>
      <c r="AL921" s="58"/>
      <c r="AM921" s="58"/>
      <c r="AN921" s="58"/>
      <c r="AO921" s="58"/>
      <c r="AP921" s="58"/>
      <c r="AQ921" s="58"/>
      <c r="AR921" s="58"/>
    </row>
    <row r="922" spans="1:44" ht="15.75" customHeight="1" x14ac:dyDescent="0.25">
      <c r="A922" s="64"/>
      <c r="B922" s="62"/>
      <c r="C922" s="62"/>
      <c r="D922" s="62"/>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c r="AE922" s="58"/>
      <c r="AF922" s="58"/>
      <c r="AG922" s="58"/>
      <c r="AH922" s="58"/>
      <c r="AI922" s="58"/>
      <c r="AJ922" s="58"/>
      <c r="AK922" s="58"/>
      <c r="AL922" s="58"/>
      <c r="AM922" s="58"/>
      <c r="AN922" s="58"/>
      <c r="AO922" s="58"/>
      <c r="AP922" s="58"/>
      <c r="AQ922" s="58"/>
      <c r="AR922" s="58"/>
    </row>
    <row r="923" spans="1:44" ht="15.75" customHeight="1" x14ac:dyDescent="0.25">
      <c r="A923" s="64"/>
      <c r="B923" s="62"/>
      <c r="C923" s="62"/>
      <c r="D923" s="62"/>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c r="AE923" s="58"/>
      <c r="AF923" s="58"/>
      <c r="AG923" s="58"/>
      <c r="AH923" s="58"/>
      <c r="AI923" s="58"/>
      <c r="AJ923" s="58"/>
      <c r="AK923" s="58"/>
      <c r="AL923" s="58"/>
      <c r="AM923" s="58"/>
      <c r="AN923" s="58"/>
      <c r="AO923" s="58"/>
      <c r="AP923" s="58"/>
      <c r="AQ923" s="58"/>
      <c r="AR923" s="58"/>
    </row>
    <row r="924" spans="1:44" ht="15.75" customHeight="1" x14ac:dyDescent="0.25">
      <c r="A924" s="64"/>
      <c r="B924" s="62"/>
      <c r="C924" s="62"/>
      <c r="D924" s="62"/>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c r="AE924" s="58"/>
      <c r="AF924" s="58"/>
      <c r="AG924" s="58"/>
      <c r="AH924" s="58"/>
      <c r="AI924" s="58"/>
      <c r="AJ924" s="58"/>
      <c r="AK924" s="58"/>
      <c r="AL924" s="58"/>
      <c r="AM924" s="58"/>
      <c r="AN924" s="58"/>
      <c r="AO924" s="58"/>
      <c r="AP924" s="58"/>
      <c r="AQ924" s="58"/>
      <c r="AR924" s="58"/>
    </row>
    <row r="925" spans="1:44" ht="15.75" customHeight="1" x14ac:dyDescent="0.25">
      <c r="A925" s="64"/>
      <c r="B925" s="62"/>
      <c r="C925" s="62"/>
      <c r="D925" s="62"/>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c r="AE925" s="58"/>
      <c r="AF925" s="58"/>
      <c r="AG925" s="58"/>
      <c r="AH925" s="58"/>
      <c r="AI925" s="58"/>
      <c r="AJ925" s="58"/>
      <c r="AK925" s="58"/>
      <c r="AL925" s="58"/>
      <c r="AM925" s="58"/>
      <c r="AN925" s="58"/>
      <c r="AO925" s="58"/>
      <c r="AP925" s="58"/>
      <c r="AQ925" s="58"/>
      <c r="AR925" s="58"/>
    </row>
    <row r="926" spans="1:44" ht="15.75" customHeight="1" x14ac:dyDescent="0.25">
      <c r="A926" s="64"/>
      <c r="B926" s="62"/>
      <c r="C926" s="62"/>
      <c r="D926" s="62"/>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c r="AE926" s="58"/>
      <c r="AF926" s="58"/>
      <c r="AG926" s="58"/>
      <c r="AH926" s="58"/>
      <c r="AI926" s="58"/>
      <c r="AJ926" s="58"/>
      <c r="AK926" s="58"/>
      <c r="AL926" s="58"/>
      <c r="AM926" s="58"/>
      <c r="AN926" s="58"/>
      <c r="AO926" s="58"/>
      <c r="AP926" s="58"/>
      <c r="AQ926" s="58"/>
      <c r="AR926" s="58"/>
    </row>
    <row r="927" spans="1:44" ht="15.75" customHeight="1" x14ac:dyDescent="0.25">
      <c r="A927" s="64"/>
      <c r="B927" s="62"/>
      <c r="C927" s="62"/>
      <c r="D927" s="62"/>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c r="AE927" s="58"/>
      <c r="AF927" s="58"/>
      <c r="AG927" s="58"/>
      <c r="AH927" s="58"/>
      <c r="AI927" s="58"/>
      <c r="AJ927" s="58"/>
      <c r="AK927" s="58"/>
      <c r="AL927" s="58"/>
      <c r="AM927" s="58"/>
      <c r="AN927" s="58"/>
      <c r="AO927" s="58"/>
      <c r="AP927" s="58"/>
      <c r="AQ927" s="58"/>
      <c r="AR927" s="58"/>
    </row>
    <row r="928" spans="1:44" ht="15.75" customHeight="1" x14ac:dyDescent="0.25">
      <c r="A928" s="64"/>
      <c r="B928" s="62"/>
      <c r="C928" s="62"/>
      <c r="D928" s="62"/>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c r="AE928" s="58"/>
      <c r="AF928" s="58"/>
      <c r="AG928" s="58"/>
      <c r="AH928" s="58"/>
      <c r="AI928" s="58"/>
      <c r="AJ928" s="58"/>
      <c r="AK928" s="58"/>
      <c r="AL928" s="58"/>
      <c r="AM928" s="58"/>
      <c r="AN928" s="58"/>
      <c r="AO928" s="58"/>
      <c r="AP928" s="58"/>
      <c r="AQ928" s="58"/>
      <c r="AR928" s="58"/>
    </row>
    <row r="929" spans="1:44" ht="15.75" customHeight="1" x14ac:dyDescent="0.25">
      <c r="A929" s="64"/>
      <c r="B929" s="62"/>
      <c r="C929" s="62"/>
      <c r="D929" s="62"/>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c r="AE929" s="58"/>
      <c r="AF929" s="58"/>
      <c r="AG929" s="58"/>
      <c r="AH929" s="58"/>
      <c r="AI929" s="58"/>
      <c r="AJ929" s="58"/>
      <c r="AK929" s="58"/>
      <c r="AL929" s="58"/>
      <c r="AM929" s="58"/>
      <c r="AN929" s="58"/>
      <c r="AO929" s="58"/>
      <c r="AP929" s="58"/>
      <c r="AQ929" s="58"/>
      <c r="AR929" s="58"/>
    </row>
    <row r="930" spans="1:44" ht="15.75" customHeight="1" x14ac:dyDescent="0.25">
      <c r="A930" s="64"/>
      <c r="B930" s="62"/>
      <c r="C930" s="62"/>
      <c r="D930" s="62"/>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c r="AE930" s="58"/>
      <c r="AF930" s="58"/>
      <c r="AG930" s="58"/>
      <c r="AH930" s="58"/>
      <c r="AI930" s="58"/>
      <c r="AJ930" s="58"/>
      <c r="AK930" s="58"/>
      <c r="AL930" s="58"/>
      <c r="AM930" s="58"/>
      <c r="AN930" s="58"/>
      <c r="AO930" s="58"/>
      <c r="AP930" s="58"/>
      <c r="AQ930" s="58"/>
      <c r="AR930" s="58"/>
    </row>
    <row r="931" spans="1:44" ht="15.75" customHeight="1" x14ac:dyDescent="0.25">
      <c r="A931" s="64"/>
      <c r="B931" s="62"/>
      <c r="C931" s="62"/>
      <c r="D931" s="62"/>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c r="AE931" s="58"/>
      <c r="AF931" s="58"/>
      <c r="AG931" s="58"/>
      <c r="AH931" s="58"/>
      <c r="AI931" s="58"/>
      <c r="AJ931" s="58"/>
      <c r="AK931" s="58"/>
      <c r="AL931" s="58"/>
      <c r="AM931" s="58"/>
      <c r="AN931" s="58"/>
      <c r="AO931" s="58"/>
      <c r="AP931" s="58"/>
      <c r="AQ931" s="58"/>
      <c r="AR931" s="58"/>
    </row>
    <row r="932" spans="1:44" ht="15.75" customHeight="1" x14ac:dyDescent="0.25">
      <c r="A932" s="64"/>
      <c r="B932" s="62"/>
      <c r="C932" s="62"/>
      <c r="D932" s="62"/>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c r="AE932" s="58"/>
      <c r="AF932" s="58"/>
      <c r="AG932" s="58"/>
      <c r="AH932" s="58"/>
      <c r="AI932" s="58"/>
      <c r="AJ932" s="58"/>
      <c r="AK932" s="58"/>
      <c r="AL932" s="58"/>
      <c r="AM932" s="58"/>
      <c r="AN932" s="58"/>
      <c r="AO932" s="58"/>
      <c r="AP932" s="58"/>
      <c r="AQ932" s="58"/>
      <c r="AR932" s="58"/>
    </row>
    <row r="933" spans="1:44" ht="15.75" customHeight="1" x14ac:dyDescent="0.25">
      <c r="A933" s="64"/>
      <c r="B933" s="62"/>
      <c r="C933" s="62"/>
      <c r="D933" s="62"/>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c r="AE933" s="58"/>
      <c r="AF933" s="58"/>
      <c r="AG933" s="58"/>
      <c r="AH933" s="58"/>
      <c r="AI933" s="58"/>
      <c r="AJ933" s="58"/>
      <c r="AK933" s="58"/>
      <c r="AL933" s="58"/>
      <c r="AM933" s="58"/>
      <c r="AN933" s="58"/>
      <c r="AO933" s="58"/>
      <c r="AP933" s="58"/>
      <c r="AQ933" s="58"/>
      <c r="AR933" s="58"/>
    </row>
    <row r="934" spans="1:44" ht="15.75" customHeight="1" x14ac:dyDescent="0.25">
      <c r="A934" s="64"/>
      <c r="B934" s="62"/>
      <c r="C934" s="62"/>
      <c r="D934" s="62"/>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c r="AE934" s="58"/>
      <c r="AF934" s="58"/>
      <c r="AG934" s="58"/>
      <c r="AH934" s="58"/>
      <c r="AI934" s="58"/>
      <c r="AJ934" s="58"/>
      <c r="AK934" s="58"/>
      <c r="AL934" s="58"/>
      <c r="AM934" s="58"/>
      <c r="AN934" s="58"/>
      <c r="AO934" s="58"/>
      <c r="AP934" s="58"/>
      <c r="AQ934" s="58"/>
      <c r="AR934" s="58"/>
    </row>
    <row r="935" spans="1:44" ht="15.75" customHeight="1" x14ac:dyDescent="0.25">
      <c r="A935" s="64"/>
      <c r="B935" s="62"/>
      <c r="C935" s="62"/>
      <c r="D935" s="62"/>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c r="AE935" s="58"/>
      <c r="AF935" s="58"/>
      <c r="AG935" s="58"/>
      <c r="AH935" s="58"/>
      <c r="AI935" s="58"/>
      <c r="AJ935" s="58"/>
      <c r="AK935" s="58"/>
      <c r="AL935" s="58"/>
      <c r="AM935" s="58"/>
      <c r="AN935" s="58"/>
      <c r="AO935" s="58"/>
      <c r="AP935" s="58"/>
      <c r="AQ935" s="58"/>
      <c r="AR935" s="58"/>
    </row>
    <row r="936" spans="1:44" ht="15.75" customHeight="1" x14ac:dyDescent="0.25">
      <c r="A936" s="64"/>
      <c r="B936" s="62"/>
      <c r="C936" s="62"/>
      <c r="D936" s="62"/>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c r="AE936" s="58"/>
      <c r="AF936" s="58"/>
      <c r="AG936" s="58"/>
      <c r="AH936" s="58"/>
      <c r="AI936" s="58"/>
      <c r="AJ936" s="58"/>
      <c r="AK936" s="58"/>
      <c r="AL936" s="58"/>
      <c r="AM936" s="58"/>
      <c r="AN936" s="58"/>
      <c r="AO936" s="58"/>
      <c r="AP936" s="58"/>
      <c r="AQ936" s="58"/>
      <c r="AR936" s="58"/>
    </row>
    <row r="937" spans="1:44" ht="15.75" customHeight="1" x14ac:dyDescent="0.25">
      <c r="A937" s="64"/>
      <c r="B937" s="62"/>
      <c r="C937" s="62"/>
      <c r="D937" s="62"/>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c r="AE937" s="58"/>
      <c r="AF937" s="58"/>
      <c r="AG937" s="58"/>
      <c r="AH937" s="58"/>
      <c r="AI937" s="58"/>
      <c r="AJ937" s="58"/>
      <c r="AK937" s="58"/>
      <c r="AL937" s="58"/>
      <c r="AM937" s="58"/>
      <c r="AN937" s="58"/>
      <c r="AO937" s="58"/>
      <c r="AP937" s="58"/>
      <c r="AQ937" s="58"/>
      <c r="AR937" s="58"/>
    </row>
    <row r="938" spans="1:44" ht="15.75" customHeight="1" x14ac:dyDescent="0.25">
      <c r="A938" s="64"/>
      <c r="B938" s="62"/>
      <c r="C938" s="62"/>
      <c r="D938" s="62"/>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c r="AE938" s="58"/>
      <c r="AF938" s="58"/>
      <c r="AG938" s="58"/>
      <c r="AH938" s="58"/>
      <c r="AI938" s="58"/>
      <c r="AJ938" s="58"/>
      <c r="AK938" s="58"/>
      <c r="AL938" s="58"/>
      <c r="AM938" s="58"/>
      <c r="AN938" s="58"/>
      <c r="AO938" s="58"/>
      <c r="AP938" s="58"/>
      <c r="AQ938" s="58"/>
      <c r="AR938" s="58"/>
    </row>
    <row r="939" spans="1:44" ht="15.75" customHeight="1" x14ac:dyDescent="0.25">
      <c r="A939" s="64"/>
      <c r="B939" s="62"/>
      <c r="C939" s="62"/>
      <c r="D939" s="62"/>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c r="AE939" s="58"/>
      <c r="AF939" s="58"/>
      <c r="AG939" s="58"/>
      <c r="AH939" s="58"/>
      <c r="AI939" s="58"/>
      <c r="AJ939" s="58"/>
      <c r="AK939" s="58"/>
      <c r="AL939" s="58"/>
      <c r="AM939" s="58"/>
      <c r="AN939" s="58"/>
      <c r="AO939" s="58"/>
      <c r="AP939" s="58"/>
      <c r="AQ939" s="58"/>
      <c r="AR939" s="58"/>
    </row>
    <row r="940" spans="1:44" ht="15.75" customHeight="1" x14ac:dyDescent="0.25">
      <c r="A940" s="64"/>
      <c r="B940" s="62"/>
      <c r="C940" s="62"/>
      <c r="D940" s="62"/>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c r="AE940" s="58"/>
      <c r="AF940" s="58"/>
      <c r="AG940" s="58"/>
      <c r="AH940" s="58"/>
      <c r="AI940" s="58"/>
      <c r="AJ940" s="58"/>
      <c r="AK940" s="58"/>
      <c r="AL940" s="58"/>
      <c r="AM940" s="58"/>
      <c r="AN940" s="58"/>
      <c r="AO940" s="58"/>
      <c r="AP940" s="58"/>
      <c r="AQ940" s="58"/>
      <c r="AR940" s="58"/>
    </row>
    <row r="941" spans="1:44" ht="15.75" customHeight="1" x14ac:dyDescent="0.25">
      <c r="A941" s="64"/>
      <c r="B941" s="62"/>
      <c r="C941" s="62"/>
      <c r="D941" s="62"/>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c r="AE941" s="58"/>
      <c r="AF941" s="58"/>
      <c r="AG941" s="58"/>
      <c r="AH941" s="58"/>
      <c r="AI941" s="58"/>
      <c r="AJ941" s="58"/>
      <c r="AK941" s="58"/>
      <c r="AL941" s="58"/>
      <c r="AM941" s="58"/>
      <c r="AN941" s="58"/>
      <c r="AO941" s="58"/>
      <c r="AP941" s="58"/>
      <c r="AQ941" s="58"/>
      <c r="AR941" s="58"/>
    </row>
    <row r="942" spans="1:44" ht="15.75" customHeight="1" x14ac:dyDescent="0.25">
      <c r="A942" s="64"/>
      <c r="B942" s="62"/>
      <c r="C942" s="62"/>
      <c r="D942" s="62"/>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c r="AE942" s="58"/>
      <c r="AF942" s="58"/>
      <c r="AG942" s="58"/>
      <c r="AH942" s="58"/>
      <c r="AI942" s="58"/>
      <c r="AJ942" s="58"/>
      <c r="AK942" s="58"/>
      <c r="AL942" s="58"/>
      <c r="AM942" s="58"/>
      <c r="AN942" s="58"/>
      <c r="AO942" s="58"/>
      <c r="AP942" s="58"/>
      <c r="AQ942" s="58"/>
      <c r="AR942" s="58"/>
    </row>
    <row r="943" spans="1:44" ht="15.75" customHeight="1" x14ac:dyDescent="0.25">
      <c r="A943" s="64"/>
      <c r="B943" s="62"/>
      <c r="C943" s="62"/>
      <c r="D943" s="62"/>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c r="AE943" s="58"/>
      <c r="AF943" s="58"/>
      <c r="AG943" s="58"/>
      <c r="AH943" s="58"/>
      <c r="AI943" s="58"/>
      <c r="AJ943" s="58"/>
      <c r="AK943" s="58"/>
      <c r="AL943" s="58"/>
      <c r="AM943" s="58"/>
      <c r="AN943" s="58"/>
      <c r="AO943" s="58"/>
      <c r="AP943" s="58"/>
      <c r="AQ943" s="58"/>
      <c r="AR943" s="58"/>
    </row>
    <row r="944" spans="1:44" ht="15.75" customHeight="1" x14ac:dyDescent="0.25">
      <c r="A944" s="64"/>
      <c r="B944" s="62"/>
      <c r="C944" s="62"/>
      <c r="D944" s="62"/>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c r="AE944" s="58"/>
      <c r="AF944" s="58"/>
      <c r="AG944" s="58"/>
      <c r="AH944" s="58"/>
      <c r="AI944" s="58"/>
      <c r="AJ944" s="58"/>
      <c r="AK944" s="58"/>
      <c r="AL944" s="58"/>
      <c r="AM944" s="58"/>
      <c r="AN944" s="58"/>
      <c r="AO944" s="58"/>
      <c r="AP944" s="58"/>
      <c r="AQ944" s="58"/>
      <c r="AR944" s="58"/>
    </row>
    <row r="945" spans="1:44" ht="15.75" customHeight="1" x14ac:dyDescent="0.25">
      <c r="A945" s="64"/>
      <c r="B945" s="62"/>
      <c r="C945" s="62"/>
      <c r="D945" s="62"/>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c r="AE945" s="58"/>
      <c r="AF945" s="58"/>
      <c r="AG945" s="58"/>
      <c r="AH945" s="58"/>
      <c r="AI945" s="58"/>
      <c r="AJ945" s="58"/>
      <c r="AK945" s="58"/>
      <c r="AL945" s="58"/>
      <c r="AM945" s="58"/>
      <c r="AN945" s="58"/>
      <c r="AO945" s="58"/>
      <c r="AP945" s="58"/>
      <c r="AQ945" s="58"/>
      <c r="AR945" s="58"/>
    </row>
    <row r="946" spans="1:44" ht="15.75" customHeight="1" x14ac:dyDescent="0.25">
      <c r="A946" s="64"/>
      <c r="B946" s="62"/>
      <c r="C946" s="62"/>
      <c r="D946" s="62"/>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c r="AE946" s="58"/>
      <c r="AF946" s="58"/>
      <c r="AG946" s="58"/>
      <c r="AH946" s="58"/>
      <c r="AI946" s="58"/>
      <c r="AJ946" s="58"/>
      <c r="AK946" s="58"/>
      <c r="AL946" s="58"/>
      <c r="AM946" s="58"/>
      <c r="AN946" s="58"/>
      <c r="AO946" s="58"/>
      <c r="AP946" s="58"/>
      <c r="AQ946" s="58"/>
      <c r="AR946" s="58"/>
    </row>
    <row r="947" spans="1:44" ht="15.75" customHeight="1" x14ac:dyDescent="0.25">
      <c r="A947" s="64"/>
      <c r="B947" s="62"/>
      <c r="C947" s="62"/>
      <c r="D947" s="62"/>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c r="AE947" s="58"/>
      <c r="AF947" s="58"/>
      <c r="AG947" s="58"/>
      <c r="AH947" s="58"/>
      <c r="AI947" s="58"/>
      <c r="AJ947" s="58"/>
      <c r="AK947" s="58"/>
      <c r="AL947" s="58"/>
      <c r="AM947" s="58"/>
      <c r="AN947" s="58"/>
      <c r="AO947" s="58"/>
      <c r="AP947" s="58"/>
      <c r="AQ947" s="58"/>
      <c r="AR947" s="58"/>
    </row>
    <row r="948" spans="1:44" ht="15.75" customHeight="1" x14ac:dyDescent="0.25">
      <c r="A948" s="64"/>
      <c r="B948" s="62"/>
      <c r="C948" s="62"/>
      <c r="D948" s="62"/>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c r="AE948" s="58"/>
      <c r="AF948" s="58"/>
      <c r="AG948" s="58"/>
      <c r="AH948" s="58"/>
      <c r="AI948" s="58"/>
      <c r="AJ948" s="58"/>
      <c r="AK948" s="58"/>
      <c r="AL948" s="58"/>
      <c r="AM948" s="58"/>
      <c r="AN948" s="58"/>
      <c r="AO948" s="58"/>
      <c r="AP948" s="58"/>
      <c r="AQ948" s="58"/>
      <c r="AR948" s="58"/>
    </row>
    <row r="949" spans="1:44" ht="15.75" customHeight="1" x14ac:dyDescent="0.25">
      <c r="A949" s="64"/>
      <c r="B949" s="62"/>
      <c r="C949" s="62"/>
      <c r="D949" s="62"/>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c r="AE949" s="58"/>
      <c r="AF949" s="58"/>
      <c r="AG949" s="58"/>
      <c r="AH949" s="58"/>
      <c r="AI949" s="58"/>
      <c r="AJ949" s="58"/>
      <c r="AK949" s="58"/>
      <c r="AL949" s="58"/>
      <c r="AM949" s="58"/>
      <c r="AN949" s="58"/>
      <c r="AO949" s="58"/>
      <c r="AP949" s="58"/>
      <c r="AQ949" s="58"/>
      <c r="AR949" s="58"/>
    </row>
    <row r="950" spans="1:44" ht="15.75" customHeight="1" x14ac:dyDescent="0.25">
      <c r="A950" s="64"/>
      <c r="B950" s="62"/>
      <c r="C950" s="62"/>
      <c r="D950" s="62"/>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c r="AE950" s="58"/>
      <c r="AF950" s="58"/>
      <c r="AG950" s="58"/>
      <c r="AH950" s="58"/>
      <c r="AI950" s="58"/>
      <c r="AJ950" s="58"/>
      <c r="AK950" s="58"/>
      <c r="AL950" s="58"/>
      <c r="AM950" s="58"/>
      <c r="AN950" s="58"/>
      <c r="AO950" s="58"/>
      <c r="AP950" s="58"/>
      <c r="AQ950" s="58"/>
      <c r="AR950" s="58"/>
    </row>
    <row r="951" spans="1:44" ht="15.75" customHeight="1" x14ac:dyDescent="0.25">
      <c r="A951" s="64"/>
      <c r="B951" s="62"/>
      <c r="C951" s="62"/>
      <c r="D951" s="62"/>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c r="AE951" s="58"/>
      <c r="AF951" s="58"/>
      <c r="AG951" s="58"/>
      <c r="AH951" s="58"/>
      <c r="AI951" s="58"/>
      <c r="AJ951" s="58"/>
      <c r="AK951" s="58"/>
      <c r="AL951" s="58"/>
      <c r="AM951" s="58"/>
      <c r="AN951" s="58"/>
      <c r="AO951" s="58"/>
      <c r="AP951" s="58"/>
      <c r="AQ951" s="58"/>
      <c r="AR951" s="58"/>
    </row>
    <row r="952" spans="1:44" ht="15.75" customHeight="1" x14ac:dyDescent="0.25">
      <c r="A952" s="64"/>
      <c r="B952" s="62"/>
      <c r="C952" s="62"/>
      <c r="D952" s="62"/>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c r="AE952" s="58"/>
      <c r="AF952" s="58"/>
      <c r="AG952" s="58"/>
      <c r="AH952" s="58"/>
      <c r="AI952" s="58"/>
      <c r="AJ952" s="58"/>
      <c r="AK952" s="58"/>
      <c r="AL952" s="58"/>
      <c r="AM952" s="58"/>
      <c r="AN952" s="58"/>
      <c r="AO952" s="58"/>
      <c r="AP952" s="58"/>
      <c r="AQ952" s="58"/>
      <c r="AR952" s="58"/>
    </row>
    <row r="953" spans="1:44" ht="15.75" customHeight="1" x14ac:dyDescent="0.25">
      <c r="A953" s="64"/>
      <c r="B953" s="62"/>
      <c r="C953" s="62"/>
      <c r="D953" s="62"/>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c r="AE953" s="58"/>
      <c r="AF953" s="58"/>
      <c r="AG953" s="58"/>
      <c r="AH953" s="58"/>
      <c r="AI953" s="58"/>
      <c r="AJ953" s="58"/>
      <c r="AK953" s="58"/>
      <c r="AL953" s="58"/>
      <c r="AM953" s="58"/>
      <c r="AN953" s="58"/>
      <c r="AO953" s="58"/>
      <c r="AP953" s="58"/>
      <c r="AQ953" s="58"/>
      <c r="AR953" s="58"/>
    </row>
    <row r="954" spans="1:44" ht="15.75" customHeight="1" x14ac:dyDescent="0.25">
      <c r="A954" s="64"/>
      <c r="B954" s="62"/>
      <c r="C954" s="62"/>
      <c r="D954" s="62"/>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c r="AE954" s="58"/>
      <c r="AF954" s="58"/>
      <c r="AG954" s="58"/>
      <c r="AH954" s="58"/>
      <c r="AI954" s="58"/>
      <c r="AJ954" s="58"/>
      <c r="AK954" s="58"/>
      <c r="AL954" s="58"/>
      <c r="AM954" s="58"/>
      <c r="AN954" s="58"/>
      <c r="AO954" s="58"/>
      <c r="AP954" s="58"/>
      <c r="AQ954" s="58"/>
      <c r="AR954" s="58"/>
    </row>
    <row r="955" spans="1:44" ht="15.75" customHeight="1" x14ac:dyDescent="0.25">
      <c r="A955" s="64"/>
      <c r="B955" s="62"/>
      <c r="C955" s="62"/>
      <c r="D955" s="62"/>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c r="AE955" s="58"/>
      <c r="AF955" s="58"/>
      <c r="AG955" s="58"/>
      <c r="AH955" s="58"/>
      <c r="AI955" s="58"/>
      <c r="AJ955" s="58"/>
      <c r="AK955" s="58"/>
      <c r="AL955" s="58"/>
      <c r="AM955" s="58"/>
      <c r="AN955" s="58"/>
      <c r="AO955" s="58"/>
      <c r="AP955" s="58"/>
      <c r="AQ955" s="58"/>
      <c r="AR955" s="58"/>
    </row>
    <row r="956" spans="1:44" ht="15.75" customHeight="1" x14ac:dyDescent="0.25">
      <c r="A956" s="64"/>
      <c r="B956" s="62"/>
      <c r="C956" s="62"/>
      <c r="D956" s="62"/>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c r="AE956" s="58"/>
      <c r="AF956" s="58"/>
      <c r="AG956" s="58"/>
      <c r="AH956" s="58"/>
      <c r="AI956" s="58"/>
      <c r="AJ956" s="58"/>
      <c r="AK956" s="58"/>
      <c r="AL956" s="58"/>
      <c r="AM956" s="58"/>
      <c r="AN956" s="58"/>
      <c r="AO956" s="58"/>
      <c r="AP956" s="58"/>
      <c r="AQ956" s="58"/>
      <c r="AR956" s="58"/>
    </row>
    <row r="957" spans="1:44" ht="15.75" customHeight="1" x14ac:dyDescent="0.25">
      <c r="A957" s="64"/>
      <c r="B957" s="62"/>
      <c r="C957" s="62"/>
      <c r="D957" s="62"/>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c r="AE957" s="58"/>
      <c r="AF957" s="58"/>
      <c r="AG957" s="58"/>
      <c r="AH957" s="58"/>
      <c r="AI957" s="58"/>
      <c r="AJ957" s="58"/>
      <c r="AK957" s="58"/>
      <c r="AL957" s="58"/>
      <c r="AM957" s="58"/>
      <c r="AN957" s="58"/>
      <c r="AO957" s="58"/>
      <c r="AP957" s="58"/>
      <c r="AQ957" s="58"/>
      <c r="AR957" s="58"/>
    </row>
    <row r="958" spans="1:44" ht="15.75" customHeight="1" x14ac:dyDescent="0.25">
      <c r="A958" s="64"/>
      <c r="B958" s="62"/>
      <c r="C958" s="62"/>
      <c r="D958" s="62"/>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c r="AE958" s="58"/>
      <c r="AF958" s="58"/>
      <c r="AG958" s="58"/>
      <c r="AH958" s="58"/>
      <c r="AI958" s="58"/>
      <c r="AJ958" s="58"/>
      <c r="AK958" s="58"/>
      <c r="AL958" s="58"/>
      <c r="AM958" s="58"/>
      <c r="AN958" s="58"/>
      <c r="AO958" s="58"/>
      <c r="AP958" s="58"/>
      <c r="AQ958" s="58"/>
      <c r="AR958" s="58"/>
    </row>
    <row r="959" spans="1:44" ht="15.75" customHeight="1" x14ac:dyDescent="0.25">
      <c r="A959" s="64"/>
      <c r="B959" s="62"/>
      <c r="C959" s="62"/>
      <c r="D959" s="62"/>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c r="AE959" s="58"/>
      <c r="AF959" s="58"/>
      <c r="AG959" s="58"/>
      <c r="AH959" s="58"/>
      <c r="AI959" s="58"/>
      <c r="AJ959" s="58"/>
      <c r="AK959" s="58"/>
      <c r="AL959" s="58"/>
      <c r="AM959" s="58"/>
      <c r="AN959" s="58"/>
      <c r="AO959" s="58"/>
      <c r="AP959" s="58"/>
      <c r="AQ959" s="58"/>
      <c r="AR959" s="58"/>
    </row>
    <row r="960" spans="1:44" ht="15.75" customHeight="1" x14ac:dyDescent="0.25">
      <c r="A960" s="64"/>
      <c r="B960" s="62"/>
      <c r="C960" s="62"/>
      <c r="D960" s="62"/>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c r="AE960" s="58"/>
      <c r="AF960" s="58"/>
      <c r="AG960" s="58"/>
      <c r="AH960" s="58"/>
      <c r="AI960" s="58"/>
      <c r="AJ960" s="58"/>
      <c r="AK960" s="58"/>
      <c r="AL960" s="58"/>
      <c r="AM960" s="58"/>
      <c r="AN960" s="58"/>
      <c r="AO960" s="58"/>
      <c r="AP960" s="58"/>
      <c r="AQ960" s="58"/>
      <c r="AR960" s="58"/>
    </row>
    <row r="961" spans="1:44" ht="15.75" customHeight="1" x14ac:dyDescent="0.25">
      <c r="A961" s="64"/>
      <c r="B961" s="62"/>
      <c r="C961" s="62"/>
      <c r="D961" s="62"/>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c r="AE961" s="58"/>
      <c r="AF961" s="58"/>
      <c r="AG961" s="58"/>
      <c r="AH961" s="58"/>
      <c r="AI961" s="58"/>
      <c r="AJ961" s="58"/>
      <c r="AK961" s="58"/>
      <c r="AL961" s="58"/>
      <c r="AM961" s="58"/>
      <c r="AN961" s="58"/>
      <c r="AO961" s="58"/>
      <c r="AP961" s="58"/>
      <c r="AQ961" s="58"/>
      <c r="AR961" s="58"/>
    </row>
    <row r="962" spans="1:44" ht="15.75" customHeight="1" x14ac:dyDescent="0.25">
      <c r="A962" s="64"/>
      <c r="B962" s="62"/>
      <c r="C962" s="62"/>
      <c r="D962" s="62"/>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c r="AE962" s="58"/>
      <c r="AF962" s="58"/>
      <c r="AG962" s="58"/>
      <c r="AH962" s="58"/>
      <c r="AI962" s="58"/>
      <c r="AJ962" s="58"/>
      <c r="AK962" s="58"/>
      <c r="AL962" s="58"/>
      <c r="AM962" s="58"/>
      <c r="AN962" s="58"/>
      <c r="AO962" s="58"/>
      <c r="AP962" s="58"/>
      <c r="AQ962" s="58"/>
      <c r="AR962" s="58"/>
    </row>
    <row r="963" spans="1:44" ht="15.75" customHeight="1" x14ac:dyDescent="0.25">
      <c r="A963" s="64"/>
      <c r="B963" s="62"/>
      <c r="C963" s="62"/>
      <c r="D963" s="62"/>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c r="AE963" s="58"/>
      <c r="AF963" s="58"/>
      <c r="AG963" s="58"/>
      <c r="AH963" s="58"/>
      <c r="AI963" s="58"/>
      <c r="AJ963" s="58"/>
      <c r="AK963" s="58"/>
      <c r="AL963" s="58"/>
      <c r="AM963" s="58"/>
      <c r="AN963" s="58"/>
      <c r="AO963" s="58"/>
      <c r="AP963" s="58"/>
      <c r="AQ963" s="58"/>
      <c r="AR963" s="58"/>
    </row>
    <row r="964" spans="1:44" ht="15.75" customHeight="1" x14ac:dyDescent="0.25">
      <c r="A964" s="64"/>
      <c r="B964" s="62"/>
      <c r="C964" s="62"/>
      <c r="D964" s="62"/>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c r="AE964" s="58"/>
      <c r="AF964" s="58"/>
      <c r="AG964" s="58"/>
      <c r="AH964" s="58"/>
      <c r="AI964" s="58"/>
      <c r="AJ964" s="58"/>
      <c r="AK964" s="58"/>
      <c r="AL964" s="58"/>
      <c r="AM964" s="58"/>
      <c r="AN964" s="58"/>
      <c r="AO964" s="58"/>
      <c r="AP964" s="58"/>
      <c r="AQ964" s="58"/>
      <c r="AR964" s="58"/>
    </row>
    <row r="965" spans="1:44" ht="15.75" customHeight="1" x14ac:dyDescent="0.25">
      <c r="A965" s="64"/>
      <c r="B965" s="62"/>
      <c r="C965" s="62"/>
      <c r="D965" s="62"/>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c r="AE965" s="58"/>
      <c r="AF965" s="58"/>
      <c r="AG965" s="58"/>
      <c r="AH965" s="58"/>
      <c r="AI965" s="58"/>
      <c r="AJ965" s="58"/>
      <c r="AK965" s="58"/>
      <c r="AL965" s="58"/>
      <c r="AM965" s="58"/>
      <c r="AN965" s="58"/>
      <c r="AO965" s="58"/>
      <c r="AP965" s="58"/>
      <c r="AQ965" s="58"/>
      <c r="AR965" s="58"/>
    </row>
    <row r="966" spans="1:44" ht="15.75" customHeight="1" x14ac:dyDescent="0.25">
      <c r="A966" s="64"/>
      <c r="B966" s="62"/>
      <c r="C966" s="62"/>
      <c r="D966" s="62"/>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c r="AE966" s="58"/>
      <c r="AF966" s="58"/>
      <c r="AG966" s="58"/>
      <c r="AH966" s="58"/>
      <c r="AI966" s="58"/>
      <c r="AJ966" s="58"/>
      <c r="AK966" s="58"/>
      <c r="AL966" s="58"/>
      <c r="AM966" s="58"/>
      <c r="AN966" s="58"/>
      <c r="AO966" s="58"/>
      <c r="AP966" s="58"/>
      <c r="AQ966" s="58"/>
      <c r="AR966" s="58"/>
    </row>
    <row r="967" spans="1:44" ht="15.75" customHeight="1" x14ac:dyDescent="0.25">
      <c r="A967" s="64"/>
      <c r="B967" s="62"/>
      <c r="C967" s="62"/>
      <c r="D967" s="62"/>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c r="AE967" s="58"/>
      <c r="AF967" s="58"/>
      <c r="AG967" s="58"/>
      <c r="AH967" s="58"/>
      <c r="AI967" s="58"/>
      <c r="AJ967" s="58"/>
      <c r="AK967" s="58"/>
      <c r="AL967" s="58"/>
      <c r="AM967" s="58"/>
      <c r="AN967" s="58"/>
      <c r="AO967" s="58"/>
      <c r="AP967" s="58"/>
      <c r="AQ967" s="58"/>
      <c r="AR967" s="58"/>
    </row>
    <row r="968" spans="1:44" ht="15.75" customHeight="1" x14ac:dyDescent="0.25">
      <c r="A968" s="64"/>
      <c r="B968" s="62"/>
      <c r="C968" s="62"/>
      <c r="D968" s="62"/>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c r="AE968" s="58"/>
      <c r="AF968" s="58"/>
      <c r="AG968" s="58"/>
      <c r="AH968" s="58"/>
      <c r="AI968" s="58"/>
      <c r="AJ968" s="58"/>
      <c r="AK968" s="58"/>
      <c r="AL968" s="58"/>
      <c r="AM968" s="58"/>
      <c r="AN968" s="58"/>
      <c r="AO968" s="58"/>
      <c r="AP968" s="58"/>
      <c r="AQ968" s="58"/>
      <c r="AR968" s="58"/>
    </row>
    <row r="969" spans="1:44" ht="15.75" customHeight="1" x14ac:dyDescent="0.25">
      <c r="A969" s="64"/>
      <c r="B969" s="62"/>
      <c r="C969" s="62"/>
      <c r="D969" s="62"/>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c r="AE969" s="58"/>
      <c r="AF969" s="58"/>
      <c r="AG969" s="58"/>
      <c r="AH969" s="58"/>
      <c r="AI969" s="58"/>
      <c r="AJ969" s="58"/>
      <c r="AK969" s="58"/>
      <c r="AL969" s="58"/>
      <c r="AM969" s="58"/>
      <c r="AN969" s="58"/>
      <c r="AO969" s="58"/>
      <c r="AP969" s="58"/>
      <c r="AQ969" s="58"/>
      <c r="AR969" s="58"/>
    </row>
    <row r="970" spans="1:44" ht="15.75" customHeight="1" x14ac:dyDescent="0.25">
      <c r="A970" s="64"/>
      <c r="B970" s="62"/>
      <c r="C970" s="62"/>
      <c r="D970" s="62"/>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c r="AE970" s="58"/>
      <c r="AF970" s="58"/>
      <c r="AG970" s="58"/>
      <c r="AH970" s="58"/>
      <c r="AI970" s="58"/>
      <c r="AJ970" s="58"/>
      <c r="AK970" s="58"/>
      <c r="AL970" s="58"/>
      <c r="AM970" s="58"/>
      <c r="AN970" s="58"/>
      <c r="AO970" s="58"/>
      <c r="AP970" s="58"/>
      <c r="AQ970" s="58"/>
      <c r="AR970" s="58"/>
    </row>
    <row r="971" spans="1:44" ht="15.75" customHeight="1" x14ac:dyDescent="0.25">
      <c r="A971" s="64"/>
      <c r="B971" s="62"/>
      <c r="C971" s="62"/>
      <c r="D971" s="62"/>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c r="AE971" s="58"/>
      <c r="AF971" s="58"/>
      <c r="AG971" s="58"/>
      <c r="AH971" s="58"/>
      <c r="AI971" s="58"/>
      <c r="AJ971" s="58"/>
      <c r="AK971" s="58"/>
      <c r="AL971" s="58"/>
      <c r="AM971" s="58"/>
      <c r="AN971" s="58"/>
      <c r="AO971" s="58"/>
      <c r="AP971" s="58"/>
      <c r="AQ971" s="58"/>
      <c r="AR971" s="58"/>
    </row>
    <row r="972" spans="1:44" ht="15.75" customHeight="1" x14ac:dyDescent="0.25">
      <c r="A972" s="64"/>
      <c r="B972" s="62"/>
      <c r="C972" s="62"/>
      <c r="D972" s="62"/>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c r="AE972" s="58"/>
      <c r="AF972" s="58"/>
      <c r="AG972" s="58"/>
      <c r="AH972" s="58"/>
      <c r="AI972" s="58"/>
      <c r="AJ972" s="58"/>
      <c r="AK972" s="58"/>
      <c r="AL972" s="58"/>
      <c r="AM972" s="58"/>
      <c r="AN972" s="58"/>
      <c r="AO972" s="58"/>
      <c r="AP972" s="58"/>
      <c r="AQ972" s="58"/>
      <c r="AR972" s="58"/>
    </row>
    <row r="973" spans="1:44" ht="15.75" customHeight="1" x14ac:dyDescent="0.25">
      <c r="A973" s="64"/>
      <c r="B973" s="62"/>
      <c r="C973" s="62"/>
      <c r="D973" s="62"/>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c r="AE973" s="58"/>
      <c r="AF973" s="58"/>
      <c r="AG973" s="58"/>
      <c r="AH973" s="58"/>
      <c r="AI973" s="58"/>
      <c r="AJ973" s="58"/>
      <c r="AK973" s="58"/>
      <c r="AL973" s="58"/>
      <c r="AM973" s="58"/>
      <c r="AN973" s="58"/>
      <c r="AO973" s="58"/>
      <c r="AP973" s="58"/>
      <c r="AQ973" s="58"/>
      <c r="AR973" s="58"/>
    </row>
    <row r="974" spans="1:44" ht="15.75" customHeight="1" x14ac:dyDescent="0.25">
      <c r="A974" s="64"/>
      <c r="B974" s="62"/>
      <c r="C974" s="62"/>
      <c r="D974" s="62"/>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c r="AE974" s="58"/>
      <c r="AF974" s="58"/>
      <c r="AG974" s="58"/>
      <c r="AH974" s="58"/>
      <c r="AI974" s="58"/>
      <c r="AJ974" s="58"/>
      <c r="AK974" s="58"/>
      <c r="AL974" s="58"/>
      <c r="AM974" s="58"/>
      <c r="AN974" s="58"/>
      <c r="AO974" s="58"/>
      <c r="AP974" s="58"/>
      <c r="AQ974" s="58"/>
      <c r="AR974" s="58"/>
    </row>
    <row r="975" spans="1:44" ht="15.75" customHeight="1" x14ac:dyDescent="0.25">
      <c r="A975" s="64"/>
      <c r="B975" s="62"/>
      <c r="C975" s="62"/>
      <c r="D975" s="62"/>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c r="AE975" s="58"/>
      <c r="AF975" s="58"/>
      <c r="AG975" s="58"/>
      <c r="AH975" s="58"/>
      <c r="AI975" s="58"/>
      <c r="AJ975" s="58"/>
      <c r="AK975" s="58"/>
      <c r="AL975" s="58"/>
      <c r="AM975" s="58"/>
      <c r="AN975" s="58"/>
      <c r="AO975" s="58"/>
      <c r="AP975" s="58"/>
      <c r="AQ975" s="58"/>
      <c r="AR975" s="58"/>
    </row>
    <row r="976" spans="1:44" ht="15.75" customHeight="1" x14ac:dyDescent="0.25">
      <c r="A976" s="64"/>
      <c r="B976" s="62"/>
      <c r="C976" s="62"/>
      <c r="D976" s="62"/>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c r="AE976" s="58"/>
      <c r="AF976" s="58"/>
      <c r="AG976" s="58"/>
      <c r="AH976" s="58"/>
      <c r="AI976" s="58"/>
      <c r="AJ976" s="58"/>
      <c r="AK976" s="58"/>
      <c r="AL976" s="58"/>
      <c r="AM976" s="58"/>
      <c r="AN976" s="58"/>
      <c r="AO976" s="58"/>
      <c r="AP976" s="58"/>
      <c r="AQ976" s="58"/>
      <c r="AR976" s="58"/>
    </row>
    <row r="977" spans="1:44" ht="15.75" customHeight="1" x14ac:dyDescent="0.25">
      <c r="A977" s="64"/>
      <c r="B977" s="62"/>
      <c r="C977" s="62"/>
      <c r="D977" s="62"/>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c r="AE977" s="58"/>
      <c r="AF977" s="58"/>
      <c r="AG977" s="58"/>
      <c r="AH977" s="58"/>
      <c r="AI977" s="58"/>
      <c r="AJ977" s="58"/>
      <c r="AK977" s="58"/>
      <c r="AL977" s="58"/>
      <c r="AM977" s="58"/>
      <c r="AN977" s="58"/>
      <c r="AO977" s="58"/>
      <c r="AP977" s="58"/>
      <c r="AQ977" s="58"/>
      <c r="AR977" s="58"/>
    </row>
    <row r="978" spans="1:44" ht="15.75" customHeight="1" x14ac:dyDescent="0.25">
      <c r="A978" s="64"/>
      <c r="B978" s="62"/>
      <c r="C978" s="62"/>
      <c r="D978" s="62"/>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c r="AE978" s="58"/>
      <c r="AF978" s="58"/>
      <c r="AG978" s="58"/>
      <c r="AH978" s="58"/>
      <c r="AI978" s="58"/>
      <c r="AJ978" s="58"/>
      <c r="AK978" s="58"/>
      <c r="AL978" s="58"/>
      <c r="AM978" s="58"/>
      <c r="AN978" s="58"/>
      <c r="AO978" s="58"/>
      <c r="AP978" s="58"/>
      <c r="AQ978" s="58"/>
      <c r="AR978" s="58"/>
    </row>
    <row r="979" spans="1:44" ht="15.75" customHeight="1" x14ac:dyDescent="0.25">
      <c r="A979" s="64"/>
      <c r="B979" s="62"/>
      <c r="C979" s="62"/>
      <c r="D979" s="62"/>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c r="AE979" s="58"/>
      <c r="AF979" s="58"/>
      <c r="AG979" s="58"/>
      <c r="AH979" s="58"/>
      <c r="AI979" s="58"/>
      <c r="AJ979" s="58"/>
      <c r="AK979" s="58"/>
      <c r="AL979" s="58"/>
      <c r="AM979" s="58"/>
      <c r="AN979" s="58"/>
      <c r="AO979" s="58"/>
      <c r="AP979" s="58"/>
      <c r="AQ979" s="58"/>
      <c r="AR979" s="58"/>
    </row>
    <row r="980" spans="1:44" ht="15.75" customHeight="1" x14ac:dyDescent="0.25">
      <c r="A980" s="64"/>
      <c r="B980" s="62"/>
      <c r="C980" s="62"/>
      <c r="D980" s="62"/>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c r="AE980" s="58"/>
      <c r="AF980" s="58"/>
      <c r="AG980" s="58"/>
      <c r="AH980" s="58"/>
      <c r="AI980" s="58"/>
      <c r="AJ980" s="58"/>
      <c r="AK980" s="58"/>
      <c r="AL980" s="58"/>
      <c r="AM980" s="58"/>
      <c r="AN980" s="58"/>
      <c r="AO980" s="58"/>
      <c r="AP980" s="58"/>
      <c r="AQ980" s="58"/>
      <c r="AR980" s="58"/>
    </row>
    <row r="981" spans="1:44" ht="15.75" customHeight="1" x14ac:dyDescent="0.25">
      <c r="A981" s="64"/>
      <c r="B981" s="62"/>
      <c r="C981" s="62"/>
      <c r="D981" s="62"/>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c r="AE981" s="58"/>
      <c r="AF981" s="58"/>
      <c r="AG981" s="58"/>
      <c r="AH981" s="58"/>
      <c r="AI981" s="58"/>
      <c r="AJ981" s="58"/>
      <c r="AK981" s="58"/>
      <c r="AL981" s="58"/>
      <c r="AM981" s="58"/>
      <c r="AN981" s="58"/>
      <c r="AO981" s="58"/>
      <c r="AP981" s="58"/>
      <c r="AQ981" s="58"/>
      <c r="AR981" s="58"/>
    </row>
    <row r="982" spans="1:44" ht="15.75" customHeight="1" x14ac:dyDescent="0.25">
      <c r="A982" s="64"/>
      <c r="B982" s="62"/>
      <c r="C982" s="62"/>
      <c r="D982" s="62"/>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c r="AE982" s="58"/>
      <c r="AF982" s="58"/>
      <c r="AG982" s="58"/>
      <c r="AH982" s="58"/>
      <c r="AI982" s="58"/>
      <c r="AJ982" s="58"/>
      <c r="AK982" s="58"/>
      <c r="AL982" s="58"/>
      <c r="AM982" s="58"/>
      <c r="AN982" s="58"/>
      <c r="AO982" s="58"/>
      <c r="AP982" s="58"/>
      <c r="AQ982" s="58"/>
      <c r="AR982" s="58"/>
    </row>
    <row r="983" spans="1:44" ht="15.75" customHeight="1" x14ac:dyDescent="0.25">
      <c r="A983" s="64"/>
      <c r="B983" s="62"/>
      <c r="C983" s="62"/>
      <c r="D983" s="62"/>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c r="AE983" s="58"/>
      <c r="AF983" s="58"/>
      <c r="AG983" s="58"/>
      <c r="AH983" s="58"/>
      <c r="AI983" s="58"/>
      <c r="AJ983" s="58"/>
      <c r="AK983" s="58"/>
      <c r="AL983" s="58"/>
      <c r="AM983" s="58"/>
      <c r="AN983" s="58"/>
      <c r="AO983" s="58"/>
      <c r="AP983" s="58"/>
      <c r="AQ983" s="58"/>
      <c r="AR983" s="58"/>
    </row>
    <row r="984" spans="1:44" ht="15.75" customHeight="1" x14ac:dyDescent="0.25">
      <c r="A984" s="64"/>
      <c r="B984" s="62"/>
      <c r="C984" s="62"/>
      <c r="D984" s="62"/>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c r="AE984" s="58"/>
      <c r="AF984" s="58"/>
      <c r="AG984" s="58"/>
      <c r="AH984" s="58"/>
      <c r="AI984" s="58"/>
      <c r="AJ984" s="58"/>
      <c r="AK984" s="58"/>
      <c r="AL984" s="58"/>
      <c r="AM984" s="58"/>
      <c r="AN984" s="58"/>
      <c r="AO984" s="58"/>
      <c r="AP984" s="58"/>
      <c r="AQ984" s="58"/>
      <c r="AR984" s="58"/>
    </row>
    <row r="985" spans="1:44" ht="15.75" customHeight="1" x14ac:dyDescent="0.25">
      <c r="A985" s="64"/>
      <c r="B985" s="62"/>
      <c r="C985" s="62"/>
      <c r="D985" s="62"/>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c r="AE985" s="58"/>
      <c r="AF985" s="58"/>
      <c r="AG985" s="58"/>
      <c r="AH985" s="58"/>
      <c r="AI985" s="58"/>
      <c r="AJ985" s="58"/>
      <c r="AK985" s="58"/>
      <c r="AL985" s="58"/>
      <c r="AM985" s="58"/>
      <c r="AN985" s="58"/>
      <c r="AO985" s="58"/>
      <c r="AP985" s="58"/>
      <c r="AQ985" s="58"/>
      <c r="AR985" s="58"/>
    </row>
    <row r="986" spans="1:44" ht="15.75" customHeight="1" x14ac:dyDescent="0.25">
      <c r="A986" s="64"/>
      <c r="B986" s="62"/>
      <c r="C986" s="62"/>
      <c r="D986" s="62"/>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c r="AE986" s="58"/>
      <c r="AF986" s="58"/>
      <c r="AG986" s="58"/>
      <c r="AH986" s="58"/>
      <c r="AI986" s="58"/>
      <c r="AJ986" s="58"/>
      <c r="AK986" s="58"/>
      <c r="AL986" s="58"/>
      <c r="AM986" s="58"/>
      <c r="AN986" s="58"/>
      <c r="AO986" s="58"/>
      <c r="AP986" s="58"/>
      <c r="AQ986" s="58"/>
      <c r="AR986" s="58"/>
    </row>
    <row r="987" spans="1:44" ht="15.75" customHeight="1" x14ac:dyDescent="0.25">
      <c r="A987" s="64"/>
      <c r="B987" s="62"/>
      <c r="C987" s="62"/>
      <c r="D987" s="62"/>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c r="AE987" s="58"/>
      <c r="AF987" s="58"/>
      <c r="AG987" s="58"/>
      <c r="AH987" s="58"/>
      <c r="AI987" s="58"/>
      <c r="AJ987" s="58"/>
      <c r="AK987" s="58"/>
      <c r="AL987" s="58"/>
      <c r="AM987" s="58"/>
      <c r="AN987" s="58"/>
      <c r="AO987" s="58"/>
      <c r="AP987" s="58"/>
      <c r="AQ987" s="58"/>
      <c r="AR987" s="58"/>
    </row>
    <row r="988" spans="1:44" ht="15.75" customHeight="1" x14ac:dyDescent="0.25">
      <c r="A988" s="64"/>
      <c r="B988" s="62"/>
      <c r="C988" s="62"/>
      <c r="D988" s="62"/>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c r="AE988" s="58"/>
      <c r="AF988" s="58"/>
      <c r="AG988" s="58"/>
      <c r="AH988" s="58"/>
      <c r="AI988" s="58"/>
      <c r="AJ988" s="58"/>
      <c r="AK988" s="58"/>
      <c r="AL988" s="58"/>
      <c r="AM988" s="58"/>
      <c r="AN988" s="58"/>
      <c r="AO988" s="58"/>
      <c r="AP988" s="58"/>
      <c r="AQ988" s="58"/>
      <c r="AR988" s="58"/>
    </row>
    <row r="989" spans="1:44" ht="15.75" customHeight="1" x14ac:dyDescent="0.25">
      <c r="A989" s="64"/>
      <c r="B989" s="62"/>
      <c r="C989" s="62"/>
      <c r="D989" s="62"/>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c r="AE989" s="58"/>
      <c r="AF989" s="58"/>
      <c r="AG989" s="58"/>
      <c r="AH989" s="58"/>
      <c r="AI989" s="58"/>
      <c r="AJ989" s="58"/>
      <c r="AK989" s="58"/>
      <c r="AL989" s="58"/>
      <c r="AM989" s="58"/>
      <c r="AN989" s="58"/>
      <c r="AO989" s="58"/>
      <c r="AP989" s="58"/>
      <c r="AQ989" s="58"/>
      <c r="AR989" s="58"/>
    </row>
    <row r="990" spans="1:44" ht="15.75" customHeight="1" x14ac:dyDescent="0.25">
      <c r="A990" s="64"/>
      <c r="B990" s="62"/>
      <c r="C990" s="62"/>
      <c r="D990" s="62"/>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c r="AE990" s="58"/>
      <c r="AF990" s="58"/>
      <c r="AG990" s="58"/>
      <c r="AH990" s="58"/>
      <c r="AI990" s="58"/>
      <c r="AJ990" s="58"/>
      <c r="AK990" s="58"/>
      <c r="AL990" s="58"/>
      <c r="AM990" s="58"/>
      <c r="AN990" s="58"/>
      <c r="AO990" s="58"/>
      <c r="AP990" s="58"/>
      <c r="AQ990" s="58"/>
      <c r="AR990" s="58"/>
    </row>
    <row r="991" spans="1:44" ht="15.75" customHeight="1" x14ac:dyDescent="0.25">
      <c r="A991" s="64"/>
      <c r="B991" s="62"/>
      <c r="C991" s="62"/>
      <c r="D991" s="62"/>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c r="AE991" s="58"/>
      <c r="AF991" s="58"/>
      <c r="AG991" s="58"/>
      <c r="AH991" s="58"/>
      <c r="AI991" s="58"/>
      <c r="AJ991" s="58"/>
      <c r="AK991" s="58"/>
      <c r="AL991" s="58"/>
      <c r="AM991" s="58"/>
      <c r="AN991" s="58"/>
      <c r="AO991" s="58"/>
      <c r="AP991" s="58"/>
      <c r="AQ991" s="58"/>
      <c r="AR991" s="58"/>
    </row>
    <row r="992" spans="1:44" ht="15.75" customHeight="1" x14ac:dyDescent="0.25">
      <c r="A992" s="64"/>
      <c r="B992" s="62"/>
      <c r="C992" s="62"/>
      <c r="D992" s="62"/>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c r="AE992" s="58"/>
      <c r="AF992" s="58"/>
      <c r="AG992" s="58"/>
      <c r="AH992" s="58"/>
      <c r="AI992" s="58"/>
      <c r="AJ992" s="58"/>
      <c r="AK992" s="58"/>
      <c r="AL992" s="58"/>
      <c r="AM992" s="58"/>
      <c r="AN992" s="58"/>
      <c r="AO992" s="58"/>
      <c r="AP992" s="58"/>
      <c r="AQ992" s="58"/>
      <c r="AR992" s="58"/>
    </row>
    <row r="993" spans="1:44" ht="15.75" customHeight="1" x14ac:dyDescent="0.25">
      <c r="A993" s="64"/>
      <c r="B993" s="62"/>
      <c r="C993" s="62"/>
      <c r="D993" s="62"/>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c r="AE993" s="58"/>
      <c r="AF993" s="58"/>
      <c r="AG993" s="58"/>
      <c r="AH993" s="58"/>
      <c r="AI993" s="58"/>
      <c r="AJ993" s="58"/>
      <c r="AK993" s="58"/>
      <c r="AL993" s="58"/>
      <c r="AM993" s="58"/>
      <c r="AN993" s="58"/>
      <c r="AO993" s="58"/>
      <c r="AP993" s="58"/>
      <c r="AQ993" s="58"/>
      <c r="AR993" s="58"/>
    </row>
    <row r="994" spans="1:44" ht="15.75" customHeight="1" x14ac:dyDescent="0.25">
      <c r="A994" s="64"/>
      <c r="B994" s="62"/>
      <c r="C994" s="62"/>
      <c r="D994" s="62"/>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c r="AE994" s="58"/>
      <c r="AF994" s="58"/>
      <c r="AG994" s="58"/>
      <c r="AH994" s="58"/>
      <c r="AI994" s="58"/>
      <c r="AJ994" s="58"/>
      <c r="AK994" s="58"/>
      <c r="AL994" s="58"/>
      <c r="AM994" s="58"/>
      <c r="AN994" s="58"/>
      <c r="AO994" s="58"/>
      <c r="AP994" s="58"/>
      <c r="AQ994" s="58"/>
      <c r="AR994" s="58"/>
    </row>
    <row r="995" spans="1:44" ht="15.75" customHeight="1" x14ac:dyDescent="0.25">
      <c r="A995" s="64"/>
      <c r="B995" s="62"/>
      <c r="C995" s="62"/>
      <c r="D995" s="62"/>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58"/>
      <c r="AD995" s="58"/>
      <c r="AE995" s="58"/>
      <c r="AF995" s="58"/>
      <c r="AG995" s="58"/>
      <c r="AH995" s="58"/>
      <c r="AI995" s="58"/>
      <c r="AJ995" s="58"/>
      <c r="AK995" s="58"/>
      <c r="AL995" s="58"/>
      <c r="AM995" s="58"/>
      <c r="AN995" s="58"/>
      <c r="AO995" s="58"/>
      <c r="AP995" s="58"/>
      <c r="AQ995" s="58"/>
      <c r="AR995" s="58"/>
    </row>
    <row r="996" spans="1:44" ht="15.75" customHeight="1" x14ac:dyDescent="0.25">
      <c r="A996" s="64"/>
      <c r="B996" s="62"/>
      <c r="C996" s="62"/>
      <c r="D996" s="62"/>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58"/>
      <c r="AD996" s="58"/>
      <c r="AE996" s="58"/>
      <c r="AF996" s="58"/>
      <c r="AG996" s="58"/>
      <c r="AH996" s="58"/>
      <c r="AI996" s="58"/>
      <c r="AJ996" s="58"/>
      <c r="AK996" s="58"/>
      <c r="AL996" s="58"/>
      <c r="AM996" s="58"/>
      <c r="AN996" s="58"/>
      <c r="AO996" s="58"/>
      <c r="AP996" s="58"/>
      <c r="AQ996" s="58"/>
      <c r="AR996" s="58"/>
    </row>
    <row r="997" spans="1:44" ht="15.75" customHeight="1" x14ac:dyDescent="0.25">
      <c r="A997" s="64"/>
      <c r="B997" s="62"/>
      <c r="C997" s="62"/>
      <c r="D997" s="62"/>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58"/>
      <c r="AD997" s="58"/>
      <c r="AE997" s="58"/>
      <c r="AF997" s="58"/>
      <c r="AG997" s="58"/>
      <c r="AH997" s="58"/>
      <c r="AI997" s="58"/>
      <c r="AJ997" s="58"/>
      <c r="AK997" s="58"/>
      <c r="AL997" s="58"/>
      <c r="AM997" s="58"/>
      <c r="AN997" s="58"/>
      <c r="AO997" s="58"/>
      <c r="AP997" s="58"/>
      <c r="AQ997" s="58"/>
      <c r="AR997" s="58"/>
    </row>
    <row r="998" spans="1:44" ht="15.75" customHeight="1" x14ac:dyDescent="0.25">
      <c r="A998" s="64"/>
      <c r="B998" s="62"/>
      <c r="C998" s="62"/>
      <c r="D998" s="62"/>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c r="AC998" s="58"/>
      <c r="AD998" s="58"/>
      <c r="AE998" s="58"/>
      <c r="AF998" s="58"/>
      <c r="AG998" s="58"/>
      <c r="AH998" s="58"/>
      <c r="AI998" s="58"/>
      <c r="AJ998" s="58"/>
      <c r="AK998" s="58"/>
      <c r="AL998" s="58"/>
      <c r="AM998" s="58"/>
      <c r="AN998" s="58"/>
      <c r="AO998" s="58"/>
      <c r="AP998" s="58"/>
      <c r="AQ998" s="58"/>
      <c r="AR998" s="58"/>
    </row>
    <row r="999" spans="1:44" ht="15.75" customHeight="1" x14ac:dyDescent="0.25">
      <c r="A999" s="64"/>
      <c r="B999" s="62"/>
      <c r="C999" s="62"/>
      <c r="D999" s="62"/>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c r="AC999" s="58"/>
      <c r="AD999" s="58"/>
      <c r="AE999" s="58"/>
      <c r="AF999" s="58"/>
      <c r="AG999" s="58"/>
      <c r="AH999" s="58"/>
      <c r="AI999" s="58"/>
      <c r="AJ999" s="58"/>
      <c r="AK999" s="58"/>
      <c r="AL999" s="58"/>
      <c r="AM999" s="58"/>
      <c r="AN999" s="58"/>
      <c r="AO999" s="58"/>
      <c r="AP999" s="58"/>
      <c r="AQ999" s="58"/>
      <c r="AR999" s="58"/>
    </row>
    <row r="1000" spans="1:44" ht="15.75" customHeight="1" x14ac:dyDescent="0.25">
      <c r="A1000" s="64"/>
      <c r="B1000" s="62"/>
      <c r="C1000" s="62"/>
      <c r="D1000" s="62"/>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c r="AC1000" s="58"/>
      <c r="AD1000" s="58"/>
      <c r="AE1000" s="58"/>
      <c r="AF1000" s="58"/>
      <c r="AG1000" s="58"/>
      <c r="AH1000" s="58"/>
      <c r="AI1000" s="58"/>
      <c r="AJ1000" s="58"/>
      <c r="AK1000" s="58"/>
      <c r="AL1000" s="58"/>
      <c r="AM1000" s="58"/>
      <c r="AN1000" s="58"/>
      <c r="AO1000" s="58"/>
      <c r="AP1000" s="58"/>
      <c r="AQ1000" s="58"/>
      <c r="AR1000" s="58"/>
    </row>
    <row r="1001" spans="1:44" ht="15.75" customHeight="1" x14ac:dyDescent="0.25">
      <c r="A1001" s="64"/>
      <c r="B1001" s="62"/>
      <c r="C1001" s="62"/>
      <c r="D1001" s="62"/>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c r="AC1001" s="58"/>
      <c r="AD1001" s="58"/>
      <c r="AE1001" s="58"/>
      <c r="AF1001" s="58"/>
      <c r="AG1001" s="58"/>
      <c r="AH1001" s="58"/>
      <c r="AI1001" s="58"/>
      <c r="AJ1001" s="58"/>
      <c r="AK1001" s="58"/>
      <c r="AL1001" s="58"/>
      <c r="AM1001" s="58"/>
      <c r="AN1001" s="58"/>
      <c r="AO1001" s="58"/>
      <c r="AP1001" s="58"/>
      <c r="AQ1001" s="58"/>
      <c r="AR1001" s="58"/>
    </row>
    <row r="1002" spans="1:44" ht="15.75" customHeight="1" x14ac:dyDescent="0.25">
      <c r="A1002" s="64"/>
      <c r="B1002" s="62"/>
      <c r="C1002" s="62"/>
      <c r="D1002" s="62"/>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c r="AC1002" s="58"/>
      <c r="AD1002" s="58"/>
      <c r="AE1002" s="58"/>
      <c r="AF1002" s="58"/>
      <c r="AG1002" s="58"/>
      <c r="AH1002" s="58"/>
      <c r="AI1002" s="58"/>
      <c r="AJ1002" s="58"/>
      <c r="AK1002" s="58"/>
      <c r="AL1002" s="58"/>
      <c r="AM1002" s="58"/>
      <c r="AN1002" s="58"/>
      <c r="AO1002" s="58"/>
      <c r="AP1002" s="58"/>
      <c r="AQ1002" s="58"/>
      <c r="AR1002" s="58"/>
    </row>
    <row r="1003" spans="1:44" ht="15.75" customHeight="1" x14ac:dyDescent="0.25">
      <c r="A1003" s="64"/>
      <c r="B1003" s="62"/>
      <c r="C1003" s="62"/>
      <c r="D1003" s="62"/>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c r="AC1003" s="58"/>
      <c r="AD1003" s="58"/>
      <c r="AE1003" s="58"/>
      <c r="AF1003" s="58"/>
      <c r="AG1003" s="58"/>
      <c r="AH1003" s="58"/>
      <c r="AI1003" s="58"/>
      <c r="AJ1003" s="58"/>
      <c r="AK1003" s="58"/>
      <c r="AL1003" s="58"/>
      <c r="AM1003" s="58"/>
      <c r="AN1003" s="58"/>
      <c r="AO1003" s="58"/>
      <c r="AP1003" s="58"/>
      <c r="AQ1003" s="58"/>
      <c r="AR1003" s="58"/>
    </row>
  </sheetData>
  <mergeCells count="248">
    <mergeCell ref="A113:O113"/>
    <mergeCell ref="P113:AD113"/>
    <mergeCell ref="AE113:AR113"/>
    <mergeCell ref="B46:M46"/>
    <mergeCell ref="N46:X46"/>
    <mergeCell ref="A106:O111"/>
    <mergeCell ref="P106:AD111"/>
    <mergeCell ref="AE106:AR111"/>
    <mergeCell ref="A112:O112"/>
    <mergeCell ref="P112:AD112"/>
    <mergeCell ref="AE112:AR112"/>
    <mergeCell ref="AH99:AO101"/>
    <mergeCell ref="A100:J100"/>
    <mergeCell ref="N100:U101"/>
    <mergeCell ref="B103:AR103"/>
    <mergeCell ref="A105:O105"/>
    <mergeCell ref="P105:AD105"/>
    <mergeCell ref="AE105:AR105"/>
    <mergeCell ref="A90:O90"/>
    <mergeCell ref="P90:AD90"/>
    <mergeCell ref="AE90:AR90"/>
    <mergeCell ref="A92:AR92"/>
    <mergeCell ref="B94:AR94"/>
    <mergeCell ref="A96:K96"/>
    <mergeCell ref="N96:U97"/>
    <mergeCell ref="AH96:AO98"/>
    <mergeCell ref="A98:J98"/>
    <mergeCell ref="N98:U99"/>
    <mergeCell ref="A83:O88"/>
    <mergeCell ref="P83:AD88"/>
    <mergeCell ref="AE83:AR88"/>
    <mergeCell ref="A89:O89"/>
    <mergeCell ref="P89:AD89"/>
    <mergeCell ref="AE89:AR89"/>
    <mergeCell ref="A77:M78"/>
    <mergeCell ref="N77:O78"/>
    <mergeCell ref="P77:AJ78"/>
    <mergeCell ref="AK77:AR78"/>
    <mergeCell ref="A82:O82"/>
    <mergeCell ref="P82:AD82"/>
    <mergeCell ref="AE82:AR82"/>
    <mergeCell ref="A75:A76"/>
    <mergeCell ref="B75:K76"/>
    <mergeCell ref="L75:M76"/>
    <mergeCell ref="N75:O76"/>
    <mergeCell ref="P75:AJ76"/>
    <mergeCell ref="AK75:AR76"/>
    <mergeCell ref="A73:A74"/>
    <mergeCell ref="B73:K74"/>
    <mergeCell ref="L73:M74"/>
    <mergeCell ref="N73:O74"/>
    <mergeCell ref="P73:AJ74"/>
    <mergeCell ref="AK73:AR74"/>
    <mergeCell ref="A71:A72"/>
    <mergeCell ref="B71:K72"/>
    <mergeCell ref="L71:M72"/>
    <mergeCell ref="N71:O72"/>
    <mergeCell ref="P71:AJ72"/>
    <mergeCell ref="AK71:AR72"/>
    <mergeCell ref="A69:A70"/>
    <mergeCell ref="B69:K70"/>
    <mergeCell ref="L69:M70"/>
    <mergeCell ref="N69:O70"/>
    <mergeCell ref="P69:AJ70"/>
    <mergeCell ref="AK69:AR70"/>
    <mergeCell ref="A61:AR61"/>
    <mergeCell ref="A66:A68"/>
    <mergeCell ref="B66:K68"/>
    <mergeCell ref="L66:M68"/>
    <mergeCell ref="N66:O68"/>
    <mergeCell ref="P66:AJ68"/>
    <mergeCell ref="AK66:AR68"/>
    <mergeCell ref="AC56:AF57"/>
    <mergeCell ref="AG56:AJ57"/>
    <mergeCell ref="AK56:AN57"/>
    <mergeCell ref="AO56:AR57"/>
    <mergeCell ref="AC58:AF59"/>
    <mergeCell ref="AG58:AJ59"/>
    <mergeCell ref="AK58:AN59"/>
    <mergeCell ref="AO58:AR59"/>
    <mergeCell ref="AO52:AP53"/>
    <mergeCell ref="AQ52:AR53"/>
    <mergeCell ref="AC54:AD55"/>
    <mergeCell ref="AE54:AF55"/>
    <mergeCell ref="AG54:AH55"/>
    <mergeCell ref="AI54:AJ55"/>
    <mergeCell ref="AK54:AL55"/>
    <mergeCell ref="AM54:AN55"/>
    <mergeCell ref="AO54:AP55"/>
    <mergeCell ref="AQ54:AR55"/>
    <mergeCell ref="AC52:AD53"/>
    <mergeCell ref="AE52:AF53"/>
    <mergeCell ref="AG52:AH53"/>
    <mergeCell ref="AI52:AJ53"/>
    <mergeCell ref="AK52:AL53"/>
    <mergeCell ref="AM52:AN53"/>
    <mergeCell ref="AI47:AJ48"/>
    <mergeCell ref="AK47:AL48"/>
    <mergeCell ref="AM47:AN48"/>
    <mergeCell ref="AO47:AP48"/>
    <mergeCell ref="AQ47:AR48"/>
    <mergeCell ref="A50:Z50"/>
    <mergeCell ref="AC50:AF50"/>
    <mergeCell ref="AG50:AJ50"/>
    <mergeCell ref="AK50:AN50"/>
    <mergeCell ref="AO50:AR50"/>
    <mergeCell ref="AQ43:AR43"/>
    <mergeCell ref="B44:M44"/>
    <mergeCell ref="N44:X44"/>
    <mergeCell ref="B45:M45"/>
    <mergeCell ref="N45:X45"/>
    <mergeCell ref="A47:Z48"/>
    <mergeCell ref="AA47:AB48"/>
    <mergeCell ref="AC47:AD48"/>
    <mergeCell ref="AE47:AF48"/>
    <mergeCell ref="AG47:AH48"/>
    <mergeCell ref="AE43:AF43"/>
    <mergeCell ref="AG43:AH43"/>
    <mergeCell ref="AI43:AJ43"/>
    <mergeCell ref="AK43:AL43"/>
    <mergeCell ref="AM43:AN43"/>
    <mergeCell ref="AO43:AP43"/>
    <mergeCell ref="B42:M42"/>
    <mergeCell ref="N42:Z42"/>
    <mergeCell ref="B43:M43"/>
    <mergeCell ref="N43:X43"/>
    <mergeCell ref="AA43:AB43"/>
    <mergeCell ref="AC43:AD43"/>
    <mergeCell ref="AG41:AH41"/>
    <mergeCell ref="AI41:AJ41"/>
    <mergeCell ref="AK41:AL41"/>
    <mergeCell ref="AM41:AN41"/>
    <mergeCell ref="AO41:AP41"/>
    <mergeCell ref="AQ41:AR41"/>
    <mergeCell ref="AI40:AJ40"/>
    <mergeCell ref="AK40:AL40"/>
    <mergeCell ref="AM40:AN40"/>
    <mergeCell ref="AO40:AP40"/>
    <mergeCell ref="AQ40:AR40"/>
    <mergeCell ref="B41:M41"/>
    <mergeCell ref="N41:Z41"/>
    <mergeCell ref="AA41:AB41"/>
    <mergeCell ref="AC41:AD41"/>
    <mergeCell ref="AE41:AF41"/>
    <mergeCell ref="B40:M40"/>
    <mergeCell ref="N40:Z40"/>
    <mergeCell ref="AA40:AB40"/>
    <mergeCell ref="AC40:AD40"/>
    <mergeCell ref="AE40:AF40"/>
    <mergeCell ref="AG40:AH40"/>
    <mergeCell ref="AI38:AJ38"/>
    <mergeCell ref="AK38:AL38"/>
    <mergeCell ref="AM38:AN38"/>
    <mergeCell ref="AO38:AP38"/>
    <mergeCell ref="AQ38:AR38"/>
    <mergeCell ref="B39:M39"/>
    <mergeCell ref="N39:Z39"/>
    <mergeCell ref="B38:M38"/>
    <mergeCell ref="N38:Z38"/>
    <mergeCell ref="AA38:AB38"/>
    <mergeCell ref="AC38:AD38"/>
    <mergeCell ref="AE38:AF38"/>
    <mergeCell ref="AG38:AH38"/>
    <mergeCell ref="AO35:AR35"/>
    <mergeCell ref="AC36:AD37"/>
    <mergeCell ref="AE36:AF37"/>
    <mergeCell ref="AG36:AH37"/>
    <mergeCell ref="AI36:AJ37"/>
    <mergeCell ref="AK36:AL37"/>
    <mergeCell ref="AM36:AN37"/>
    <mergeCell ref="AO36:AP37"/>
    <mergeCell ref="AQ36:AR37"/>
    <mergeCell ref="AO30:AP31"/>
    <mergeCell ref="AQ30:AR31"/>
    <mergeCell ref="A33:AR33"/>
    <mergeCell ref="A35:A37"/>
    <mergeCell ref="B35:M37"/>
    <mergeCell ref="N35:Z37"/>
    <mergeCell ref="AA35:AB37"/>
    <mergeCell ref="AC35:AF35"/>
    <mergeCell ref="AG35:AJ35"/>
    <mergeCell ref="AK35:AN35"/>
    <mergeCell ref="AO27:AP29"/>
    <mergeCell ref="AQ27:AR29"/>
    <mergeCell ref="A30:Z31"/>
    <mergeCell ref="AA30:AB31"/>
    <mergeCell ref="AC30:AD31"/>
    <mergeCell ref="AE30:AF31"/>
    <mergeCell ref="AG30:AH31"/>
    <mergeCell ref="AI30:AJ31"/>
    <mergeCell ref="AK30:AL31"/>
    <mergeCell ref="AM30:AN31"/>
    <mergeCell ref="AO24:AP26"/>
    <mergeCell ref="AQ24:AR26"/>
    <mergeCell ref="A27:Z29"/>
    <mergeCell ref="AA27:AB29"/>
    <mergeCell ref="AC27:AD29"/>
    <mergeCell ref="AE27:AF29"/>
    <mergeCell ref="AG27:AH29"/>
    <mergeCell ref="AI27:AJ29"/>
    <mergeCell ref="AK27:AL29"/>
    <mergeCell ref="AM27:AN29"/>
    <mergeCell ref="AO21:AP23"/>
    <mergeCell ref="AQ21:AR23"/>
    <mergeCell ref="A24:Z26"/>
    <mergeCell ref="AA24:AB26"/>
    <mergeCell ref="AC24:AD26"/>
    <mergeCell ref="AE24:AF26"/>
    <mergeCell ref="AG24:AH26"/>
    <mergeCell ref="AI24:AJ26"/>
    <mergeCell ref="AK24:AL26"/>
    <mergeCell ref="AM24:AN26"/>
    <mergeCell ref="AO18:AP20"/>
    <mergeCell ref="AQ18:AR20"/>
    <mergeCell ref="A21:Z23"/>
    <mergeCell ref="AA21:AB23"/>
    <mergeCell ref="AC21:AD23"/>
    <mergeCell ref="AE21:AF23"/>
    <mergeCell ref="AG21:AH23"/>
    <mergeCell ref="AI21:AJ23"/>
    <mergeCell ref="AK21:AL23"/>
    <mergeCell ref="AM21:AN23"/>
    <mergeCell ref="AO16:AP17"/>
    <mergeCell ref="AQ16:AR17"/>
    <mergeCell ref="A18:Z20"/>
    <mergeCell ref="AA18:AB20"/>
    <mergeCell ref="AC18:AD20"/>
    <mergeCell ref="AE18:AF20"/>
    <mergeCell ref="AG18:AH20"/>
    <mergeCell ref="AI18:AJ20"/>
    <mergeCell ref="AK18:AL20"/>
    <mergeCell ref="AM18:AN20"/>
    <mergeCell ref="AC16:AD17"/>
    <mergeCell ref="AE16:AF17"/>
    <mergeCell ref="AG16:AH17"/>
    <mergeCell ref="AI16:AJ17"/>
    <mergeCell ref="AK16:AL17"/>
    <mergeCell ref="AM16:AN17"/>
    <mergeCell ref="A1:AR2"/>
    <mergeCell ref="A4:N4"/>
    <mergeCell ref="AF11:AG11"/>
    <mergeCell ref="A13:AR13"/>
    <mergeCell ref="A15:Z17"/>
    <mergeCell ref="AA15:AB17"/>
    <mergeCell ref="AC15:AF15"/>
    <mergeCell ref="AG15:AJ15"/>
    <mergeCell ref="AK15:AN15"/>
    <mergeCell ref="AO15:AR15"/>
  </mergeCells>
  <pageMargins left="5.9055118110236227E-2" right="5.9055118110236227E-2" top="5.9055118110236227E-2" bottom="5.9055118110236227E-2" header="0" footer="0"/>
  <pageSetup paperSize="9" orientation="landscape"/>
  <rowBreaks count="1" manualBreakCount="1">
    <brk id="7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8CC5E-9DA8-460A-93FA-5C115207DC32}">
  <sheetPr>
    <pageSetUpPr fitToPage="1"/>
  </sheetPr>
  <dimension ref="A1:S994"/>
  <sheetViews>
    <sheetView showGridLines="0" workbookViewId="0">
      <pane xSplit="2" ySplit="2" topLeftCell="C3" activePane="bottomRight" state="frozen"/>
      <selection pane="topRight" activeCell="E1" sqref="E1"/>
      <selection pane="bottomLeft" activeCell="A3" sqref="A3"/>
      <selection pane="bottomRight" activeCell="R16" sqref="R16"/>
    </sheetView>
  </sheetViews>
  <sheetFormatPr defaultColWidth="14.42578125" defaultRowHeight="15" customHeight="1" x14ac:dyDescent="0.25"/>
  <cols>
    <col min="1" max="1" width="7.28515625" style="54" hidden="1" customWidth="1"/>
    <col min="2" max="2" width="16.85546875" style="54" hidden="1" customWidth="1"/>
    <col min="3" max="7" width="16" style="54" customWidth="1"/>
    <col min="8" max="19" width="9.140625" style="54" customWidth="1"/>
    <col min="20" max="16384" width="14.42578125" style="54"/>
  </cols>
  <sheetData>
    <row r="1" spans="1:19" ht="26.25" customHeight="1" x14ac:dyDescent="0.25">
      <c r="A1" s="85" t="s">
        <v>155</v>
      </c>
      <c r="B1" s="86"/>
      <c r="C1" s="87" t="s">
        <v>156</v>
      </c>
      <c r="D1" s="87" t="s">
        <v>157</v>
      </c>
      <c r="E1" s="87" t="s">
        <v>158</v>
      </c>
      <c r="F1" s="87" t="s">
        <v>159</v>
      </c>
      <c r="G1" s="87" t="s">
        <v>160</v>
      </c>
      <c r="H1" s="88"/>
      <c r="I1" s="88"/>
      <c r="J1" s="88"/>
      <c r="K1" s="88"/>
      <c r="L1" s="88"/>
      <c r="M1" s="88"/>
      <c r="N1" s="88"/>
      <c r="O1" s="88"/>
      <c r="P1" s="88"/>
      <c r="Q1" s="88"/>
      <c r="R1" s="88"/>
      <c r="S1" s="88"/>
    </row>
    <row r="2" spans="1:19" ht="54" customHeight="1" x14ac:dyDescent="0.25">
      <c r="A2" s="89" t="s">
        <v>92</v>
      </c>
      <c r="B2" s="89" t="s">
        <v>161</v>
      </c>
      <c r="C2" s="87" t="s">
        <v>162</v>
      </c>
      <c r="D2" s="87" t="s">
        <v>163</v>
      </c>
      <c r="E2" s="87" t="s">
        <v>164</v>
      </c>
      <c r="F2" s="87" t="s">
        <v>165</v>
      </c>
      <c r="G2" s="87" t="s">
        <v>166</v>
      </c>
      <c r="H2" s="90"/>
      <c r="I2" s="90"/>
      <c r="J2" s="90"/>
      <c r="K2" s="90"/>
      <c r="L2" s="90"/>
      <c r="M2" s="90"/>
      <c r="N2" s="90"/>
      <c r="O2" s="90"/>
      <c r="P2" s="90"/>
      <c r="Q2" s="90"/>
      <c r="R2" s="90"/>
      <c r="S2" s="90"/>
    </row>
    <row r="3" spans="1:19" ht="56.25" customHeight="1" x14ac:dyDescent="0.25">
      <c r="A3" s="92"/>
      <c r="B3" s="93"/>
      <c r="C3" s="92"/>
      <c r="D3" s="92"/>
      <c r="E3" s="92"/>
      <c r="F3" s="92"/>
      <c r="G3" s="92"/>
      <c r="H3" s="91"/>
      <c r="I3" s="91"/>
      <c r="J3" s="91"/>
      <c r="K3" s="91"/>
      <c r="L3" s="91"/>
      <c r="M3" s="91"/>
      <c r="N3" s="91"/>
      <c r="O3" s="91"/>
      <c r="P3" s="91"/>
      <c r="Q3" s="91"/>
      <c r="R3" s="91"/>
      <c r="S3" s="91"/>
    </row>
    <row r="4" spans="1:19" ht="15.75" customHeight="1" x14ac:dyDescent="0.25">
      <c r="A4" s="92"/>
      <c r="B4" s="93"/>
      <c r="C4" s="92"/>
      <c r="D4" s="92"/>
      <c r="E4" s="92"/>
      <c r="F4" s="92"/>
      <c r="G4" s="92"/>
      <c r="H4" s="91"/>
      <c r="I4" s="91"/>
      <c r="J4" s="91"/>
      <c r="K4" s="91"/>
      <c r="L4" s="91"/>
      <c r="M4" s="91"/>
      <c r="N4" s="91"/>
      <c r="O4" s="91"/>
      <c r="P4" s="91"/>
      <c r="Q4" s="91"/>
      <c r="R4" s="91"/>
      <c r="S4" s="91"/>
    </row>
    <row r="5" spans="1:19" ht="15.75" customHeight="1" x14ac:dyDescent="0.25">
      <c r="A5" s="92"/>
      <c r="B5" s="93"/>
      <c r="C5" s="92"/>
      <c r="D5" s="92"/>
      <c r="E5" s="92"/>
      <c r="F5" s="92"/>
      <c r="G5" s="92"/>
      <c r="H5" s="91"/>
      <c r="I5" s="91"/>
      <c r="J5" s="91"/>
      <c r="K5" s="91"/>
      <c r="L5" s="91"/>
      <c r="M5" s="91"/>
      <c r="N5" s="91"/>
      <c r="O5" s="91"/>
      <c r="P5" s="91"/>
      <c r="Q5" s="91"/>
      <c r="R5" s="91"/>
      <c r="S5" s="91"/>
    </row>
    <row r="6" spans="1:19" ht="15.75" customHeight="1" x14ac:dyDescent="0.25">
      <c r="A6" s="92"/>
      <c r="B6" s="93"/>
      <c r="C6" s="92"/>
      <c r="D6" s="92"/>
      <c r="E6" s="92"/>
      <c r="F6" s="92"/>
      <c r="G6" s="92"/>
      <c r="H6" s="91"/>
      <c r="I6" s="91"/>
      <c r="J6" s="91"/>
      <c r="K6" s="91"/>
      <c r="L6" s="91"/>
      <c r="M6" s="91"/>
      <c r="N6" s="91"/>
      <c r="O6" s="91"/>
      <c r="P6" s="91"/>
      <c r="Q6" s="91"/>
      <c r="R6" s="91"/>
      <c r="S6" s="91"/>
    </row>
    <row r="7" spans="1:19" ht="15.75" customHeight="1" x14ac:dyDescent="0.25">
      <c r="A7" s="92"/>
      <c r="B7" s="93"/>
      <c r="C7" s="92"/>
      <c r="D7" s="92"/>
      <c r="E7" s="92"/>
      <c r="F7" s="92"/>
      <c r="G7" s="92"/>
      <c r="H7" s="91"/>
      <c r="I7" s="91"/>
      <c r="J7" s="91"/>
      <c r="K7" s="91"/>
      <c r="L7" s="91"/>
      <c r="M7" s="91"/>
      <c r="N7" s="91"/>
      <c r="O7" s="91"/>
      <c r="P7" s="91"/>
      <c r="Q7" s="91"/>
      <c r="R7" s="91"/>
      <c r="S7" s="91"/>
    </row>
    <row r="8" spans="1:19" ht="15.75" customHeight="1" x14ac:dyDescent="0.25">
      <c r="A8" s="92"/>
      <c r="B8" s="93"/>
      <c r="C8" s="92"/>
      <c r="D8" s="92"/>
      <c r="E8" s="92"/>
      <c r="F8" s="92"/>
      <c r="G8" s="92"/>
      <c r="H8" s="91"/>
      <c r="I8" s="91"/>
      <c r="J8" s="91"/>
      <c r="K8" s="91"/>
      <c r="L8" s="91"/>
      <c r="M8" s="91"/>
      <c r="N8" s="91"/>
      <c r="O8" s="91"/>
      <c r="P8" s="91"/>
      <c r="Q8" s="91"/>
      <c r="R8" s="91"/>
      <c r="S8" s="91"/>
    </row>
    <row r="9" spans="1:19" ht="15.75" customHeight="1" x14ac:dyDescent="0.25">
      <c r="A9" s="92"/>
      <c r="B9" s="93"/>
      <c r="C9" s="92"/>
      <c r="D9" s="92"/>
      <c r="E9" s="92"/>
      <c r="F9" s="92"/>
      <c r="G9" s="92"/>
      <c r="H9" s="91"/>
      <c r="I9" s="91"/>
      <c r="J9" s="91"/>
      <c r="K9" s="91"/>
      <c r="L9" s="91"/>
      <c r="M9" s="91"/>
      <c r="N9" s="91"/>
      <c r="O9" s="91"/>
      <c r="P9" s="91"/>
      <c r="Q9" s="91"/>
      <c r="R9" s="91"/>
      <c r="S9" s="91"/>
    </row>
    <row r="10" spans="1:19" ht="15.75" customHeight="1" x14ac:dyDescent="0.25">
      <c r="A10" s="92"/>
      <c r="B10" s="93"/>
      <c r="C10" s="92"/>
      <c r="D10" s="92"/>
      <c r="E10" s="92"/>
      <c r="F10" s="92"/>
      <c r="G10" s="92"/>
      <c r="H10" s="91"/>
      <c r="I10" s="91"/>
      <c r="J10" s="91"/>
      <c r="K10" s="91"/>
      <c r="L10" s="91"/>
      <c r="M10" s="91"/>
      <c r="N10" s="91"/>
      <c r="O10" s="91"/>
      <c r="P10" s="91"/>
      <c r="Q10" s="91"/>
      <c r="R10" s="91"/>
      <c r="S10" s="91"/>
    </row>
    <row r="11" spans="1:19" ht="15.75" customHeight="1" x14ac:dyDescent="0.25">
      <c r="A11" s="92"/>
      <c r="B11" s="93"/>
      <c r="C11" s="92"/>
      <c r="D11" s="92"/>
      <c r="E11" s="92"/>
      <c r="F11" s="92"/>
      <c r="G11" s="92"/>
      <c r="H11" s="91"/>
      <c r="I11" s="91"/>
      <c r="J11" s="91"/>
      <c r="K11" s="91"/>
      <c r="L11" s="91"/>
      <c r="M11" s="91"/>
      <c r="N11" s="91"/>
      <c r="O11" s="91"/>
      <c r="P11" s="91"/>
      <c r="Q11" s="91"/>
      <c r="R11" s="91"/>
      <c r="S11" s="91"/>
    </row>
    <row r="12" spans="1:19" ht="15.75" customHeight="1" x14ac:dyDescent="0.25">
      <c r="A12" s="92"/>
      <c r="B12" s="93"/>
      <c r="C12" s="92"/>
      <c r="D12" s="92"/>
      <c r="E12" s="92"/>
      <c r="F12" s="92"/>
      <c r="G12" s="92"/>
      <c r="H12" s="91"/>
      <c r="I12" s="91"/>
      <c r="J12" s="91"/>
      <c r="K12" s="91"/>
      <c r="L12" s="91"/>
      <c r="M12" s="91"/>
      <c r="N12" s="91"/>
      <c r="O12" s="91"/>
      <c r="P12" s="91"/>
      <c r="Q12" s="91"/>
      <c r="R12" s="91"/>
      <c r="S12" s="91"/>
    </row>
    <row r="13" spans="1:19" ht="15.75" customHeight="1" x14ac:dyDescent="0.25">
      <c r="A13" s="92"/>
      <c r="B13" s="93"/>
      <c r="C13" s="92"/>
      <c r="D13" s="92"/>
      <c r="E13" s="92"/>
      <c r="F13" s="92"/>
      <c r="G13" s="92"/>
      <c r="H13" s="91"/>
      <c r="I13" s="91"/>
      <c r="J13" s="91"/>
      <c r="K13" s="91"/>
      <c r="L13" s="91"/>
      <c r="M13" s="91"/>
      <c r="N13" s="91"/>
      <c r="O13" s="91"/>
      <c r="P13" s="91"/>
      <c r="Q13" s="91"/>
      <c r="R13" s="91"/>
      <c r="S13" s="91"/>
    </row>
    <row r="14" spans="1:19" ht="15.75" customHeight="1" x14ac:dyDescent="0.25">
      <c r="A14" s="92"/>
      <c r="B14" s="93"/>
      <c r="C14" s="92"/>
      <c r="D14" s="92"/>
      <c r="E14" s="92"/>
      <c r="F14" s="92"/>
      <c r="G14" s="92"/>
      <c r="H14" s="91"/>
      <c r="I14" s="91"/>
      <c r="J14" s="91"/>
      <c r="K14" s="91"/>
      <c r="L14" s="91"/>
      <c r="M14" s="91"/>
      <c r="N14" s="91"/>
      <c r="O14" s="91"/>
      <c r="P14" s="91"/>
      <c r="Q14" s="91"/>
      <c r="R14" s="91"/>
      <c r="S14" s="91"/>
    </row>
    <row r="15" spans="1:19" ht="15.75" customHeight="1" x14ac:dyDescent="0.25">
      <c r="A15" s="92"/>
      <c r="B15" s="93"/>
      <c r="C15" s="92"/>
      <c r="D15" s="92"/>
      <c r="E15" s="92"/>
      <c r="F15" s="92"/>
      <c r="G15" s="92"/>
      <c r="H15" s="91"/>
      <c r="I15" s="91"/>
      <c r="J15" s="91"/>
      <c r="K15" s="91"/>
      <c r="L15" s="91"/>
      <c r="M15" s="91"/>
      <c r="N15" s="91"/>
      <c r="O15" s="91"/>
      <c r="P15" s="91"/>
      <c r="Q15" s="91"/>
      <c r="R15" s="91"/>
      <c r="S15" s="91"/>
    </row>
    <row r="16" spans="1:19" ht="15.75" customHeight="1" x14ac:dyDescent="0.25">
      <c r="A16" s="92"/>
      <c r="B16" s="93"/>
      <c r="C16" s="92"/>
      <c r="D16" s="92"/>
      <c r="E16" s="92"/>
      <c r="F16" s="92"/>
      <c r="G16" s="92"/>
      <c r="H16" s="91"/>
      <c r="I16" s="91"/>
      <c r="J16" s="91"/>
      <c r="K16" s="91"/>
      <c r="L16" s="91"/>
      <c r="M16" s="91"/>
      <c r="N16" s="91"/>
      <c r="O16" s="91"/>
      <c r="P16" s="91"/>
      <c r="Q16" s="91"/>
      <c r="R16" s="91"/>
      <c r="S16" s="91"/>
    </row>
    <row r="17" spans="1:19" ht="15.75" customHeight="1" x14ac:dyDescent="0.25">
      <c r="A17" s="92"/>
      <c r="B17" s="93"/>
      <c r="C17" s="92"/>
      <c r="D17" s="92"/>
      <c r="E17" s="92"/>
      <c r="F17" s="92"/>
      <c r="G17" s="92"/>
      <c r="H17" s="91"/>
      <c r="I17" s="91"/>
      <c r="J17" s="91"/>
      <c r="K17" s="91"/>
      <c r="L17" s="91"/>
      <c r="M17" s="91"/>
      <c r="N17" s="91"/>
      <c r="O17" s="91"/>
      <c r="P17" s="91"/>
      <c r="Q17" s="91"/>
      <c r="R17" s="91"/>
      <c r="S17" s="91"/>
    </row>
    <row r="18" spans="1:19" ht="15.75" customHeight="1" x14ac:dyDescent="0.25">
      <c r="A18" s="92"/>
      <c r="B18" s="93"/>
      <c r="C18" s="92"/>
      <c r="D18" s="92"/>
      <c r="E18" s="92"/>
      <c r="F18" s="92"/>
      <c r="G18" s="92"/>
      <c r="H18" s="91"/>
      <c r="I18" s="91"/>
      <c r="J18" s="91"/>
      <c r="K18" s="91"/>
      <c r="L18" s="91"/>
      <c r="M18" s="91"/>
      <c r="N18" s="91"/>
      <c r="O18" s="91"/>
      <c r="P18" s="91"/>
      <c r="Q18" s="91"/>
      <c r="R18" s="91"/>
      <c r="S18" s="91"/>
    </row>
    <row r="19" spans="1:19" ht="15.75" customHeight="1" x14ac:dyDescent="0.25">
      <c r="A19" s="92"/>
      <c r="B19" s="93"/>
      <c r="C19" s="92"/>
      <c r="D19" s="92"/>
      <c r="E19" s="92"/>
      <c r="F19" s="92"/>
      <c r="G19" s="92"/>
      <c r="H19" s="91"/>
      <c r="I19" s="91"/>
      <c r="J19" s="91"/>
      <c r="K19" s="91"/>
      <c r="L19" s="91"/>
      <c r="M19" s="91"/>
      <c r="N19" s="91"/>
      <c r="O19" s="91"/>
      <c r="P19" s="91"/>
      <c r="Q19" s="91"/>
      <c r="R19" s="91"/>
      <c r="S19" s="91"/>
    </row>
    <row r="20" spans="1:19" ht="15.75" customHeight="1" x14ac:dyDescent="0.25">
      <c r="A20" s="92"/>
      <c r="B20" s="93"/>
      <c r="C20" s="92"/>
      <c r="D20" s="92"/>
      <c r="E20" s="92"/>
      <c r="F20" s="92"/>
      <c r="G20" s="92"/>
      <c r="H20" s="91"/>
      <c r="I20" s="91"/>
      <c r="J20" s="91"/>
      <c r="K20" s="91"/>
      <c r="L20" s="91"/>
      <c r="M20" s="91"/>
      <c r="N20" s="91"/>
      <c r="O20" s="91"/>
      <c r="P20" s="91"/>
      <c r="Q20" s="91"/>
      <c r="R20" s="91"/>
      <c r="S20" s="91"/>
    </row>
    <row r="21" spans="1:19" ht="15.75" customHeight="1" x14ac:dyDescent="0.25">
      <c r="A21" s="92"/>
      <c r="B21" s="93"/>
      <c r="C21" s="92"/>
      <c r="D21" s="92"/>
      <c r="E21" s="92"/>
      <c r="F21" s="92"/>
      <c r="G21" s="92"/>
      <c r="H21" s="91"/>
      <c r="I21" s="91"/>
      <c r="J21" s="91"/>
      <c r="K21" s="91"/>
      <c r="L21" s="91"/>
      <c r="M21" s="91"/>
      <c r="N21" s="91"/>
      <c r="O21" s="91"/>
      <c r="P21" s="91"/>
      <c r="Q21" s="91"/>
      <c r="R21" s="91"/>
      <c r="S21" s="91"/>
    </row>
    <row r="22" spans="1:19" ht="15.75" customHeight="1" x14ac:dyDescent="0.25">
      <c r="A22" s="92"/>
      <c r="B22" s="93"/>
      <c r="C22" s="92"/>
      <c r="D22" s="92"/>
      <c r="E22" s="92"/>
      <c r="F22" s="92"/>
      <c r="G22" s="92"/>
      <c r="H22" s="91"/>
      <c r="I22" s="91"/>
      <c r="J22" s="91"/>
      <c r="K22" s="91"/>
      <c r="L22" s="91"/>
      <c r="M22" s="91"/>
      <c r="N22" s="91"/>
      <c r="O22" s="91"/>
      <c r="P22" s="91"/>
      <c r="Q22" s="91"/>
      <c r="R22" s="91"/>
      <c r="S22" s="91"/>
    </row>
    <row r="23" spans="1:19" ht="15.75" customHeight="1" x14ac:dyDescent="0.25">
      <c r="A23" s="92"/>
      <c r="B23" s="93"/>
      <c r="C23" s="92"/>
      <c r="D23" s="92"/>
      <c r="E23" s="92"/>
      <c r="F23" s="92"/>
      <c r="G23" s="92"/>
      <c r="H23" s="91"/>
      <c r="I23" s="91"/>
      <c r="J23" s="91"/>
      <c r="K23" s="91"/>
      <c r="L23" s="91"/>
      <c r="M23" s="91"/>
      <c r="N23" s="91"/>
      <c r="O23" s="91"/>
      <c r="P23" s="91"/>
      <c r="Q23" s="91"/>
      <c r="R23" s="91"/>
      <c r="S23" s="91"/>
    </row>
    <row r="24" spans="1:19" ht="15.75" customHeight="1" x14ac:dyDescent="0.25">
      <c r="A24" s="92"/>
      <c r="B24" s="93"/>
      <c r="C24" s="92"/>
      <c r="D24" s="92"/>
      <c r="E24" s="92"/>
      <c r="F24" s="92"/>
      <c r="G24" s="92"/>
      <c r="H24" s="91"/>
      <c r="I24" s="91"/>
      <c r="J24" s="91"/>
      <c r="K24" s="91"/>
      <c r="L24" s="91"/>
      <c r="M24" s="91"/>
      <c r="N24" s="91"/>
      <c r="O24" s="91"/>
      <c r="P24" s="91"/>
      <c r="Q24" s="91"/>
      <c r="R24" s="91"/>
      <c r="S24" s="91"/>
    </row>
    <row r="25" spans="1:19" ht="15.75" customHeight="1" x14ac:dyDescent="0.25">
      <c r="A25" s="92"/>
      <c r="B25" s="93"/>
      <c r="C25" s="92"/>
      <c r="D25" s="92"/>
      <c r="E25" s="92"/>
      <c r="F25" s="92"/>
      <c r="G25" s="92"/>
      <c r="H25" s="91"/>
      <c r="I25" s="91"/>
      <c r="J25" s="91"/>
      <c r="K25" s="91"/>
      <c r="L25" s="91"/>
      <c r="M25" s="91"/>
      <c r="N25" s="91"/>
      <c r="O25" s="91"/>
      <c r="P25" s="91"/>
      <c r="Q25" s="91"/>
      <c r="R25" s="91"/>
      <c r="S25" s="91"/>
    </row>
    <row r="26" spans="1:19" ht="15.75" customHeight="1" x14ac:dyDescent="0.25">
      <c r="A26" s="92"/>
      <c r="B26" s="93"/>
      <c r="C26" s="92"/>
      <c r="D26" s="92"/>
      <c r="E26" s="92"/>
      <c r="F26" s="92"/>
      <c r="G26" s="92"/>
      <c r="H26" s="91"/>
      <c r="I26" s="91"/>
      <c r="J26" s="91"/>
      <c r="K26" s="91"/>
      <c r="L26" s="91"/>
      <c r="M26" s="91"/>
      <c r="N26" s="91"/>
      <c r="O26" s="91"/>
      <c r="P26" s="91"/>
      <c r="Q26" s="91"/>
      <c r="R26" s="91"/>
      <c r="S26" s="91"/>
    </row>
    <row r="27" spans="1:19" ht="15.75" customHeight="1" x14ac:dyDescent="0.25">
      <c r="A27" s="92"/>
      <c r="B27" s="93"/>
      <c r="C27" s="92"/>
      <c r="D27" s="92"/>
      <c r="E27" s="92"/>
      <c r="F27" s="92"/>
      <c r="G27" s="92"/>
      <c r="H27" s="91"/>
      <c r="I27" s="91"/>
      <c r="J27" s="91"/>
      <c r="K27" s="91"/>
      <c r="L27" s="91"/>
      <c r="M27" s="91"/>
      <c r="N27" s="91"/>
      <c r="O27" s="91"/>
      <c r="P27" s="91"/>
      <c r="Q27" s="91"/>
      <c r="R27" s="91"/>
      <c r="S27" s="91"/>
    </row>
    <row r="28" spans="1:19" ht="15.75" customHeight="1" x14ac:dyDescent="0.25">
      <c r="A28" s="92"/>
      <c r="B28" s="93"/>
      <c r="C28" s="92"/>
      <c r="D28" s="92"/>
      <c r="E28" s="92"/>
      <c r="F28" s="92"/>
      <c r="G28" s="92"/>
      <c r="H28" s="91"/>
      <c r="I28" s="91"/>
      <c r="J28" s="91"/>
      <c r="K28" s="91"/>
      <c r="L28" s="91"/>
      <c r="M28" s="91"/>
      <c r="N28" s="91"/>
      <c r="O28" s="91"/>
      <c r="P28" s="91"/>
      <c r="Q28" s="91"/>
      <c r="R28" s="91"/>
      <c r="S28" s="91"/>
    </row>
    <row r="29" spans="1:19" ht="15.75" customHeight="1" x14ac:dyDescent="0.25">
      <c r="A29" s="92"/>
      <c r="B29" s="93"/>
      <c r="C29" s="92"/>
      <c r="D29" s="92"/>
      <c r="E29" s="92"/>
      <c r="F29" s="92"/>
      <c r="G29" s="92"/>
      <c r="H29" s="91"/>
      <c r="I29" s="91"/>
      <c r="J29" s="91"/>
      <c r="K29" s="91"/>
      <c r="L29" s="91"/>
      <c r="M29" s="91"/>
      <c r="N29" s="91"/>
      <c r="O29" s="91"/>
      <c r="P29" s="91"/>
      <c r="Q29" s="91"/>
      <c r="R29" s="91"/>
      <c r="S29" s="91"/>
    </row>
    <row r="30" spans="1:19" ht="15.75" customHeight="1" x14ac:dyDescent="0.25">
      <c r="A30" s="92"/>
      <c r="B30" s="93"/>
      <c r="C30" s="92"/>
      <c r="D30" s="92"/>
      <c r="E30" s="92"/>
      <c r="F30" s="92"/>
      <c r="G30" s="92"/>
      <c r="H30" s="91"/>
      <c r="I30" s="91"/>
      <c r="J30" s="91"/>
      <c r="K30" s="91"/>
      <c r="L30" s="91"/>
      <c r="M30" s="91"/>
      <c r="N30" s="91"/>
      <c r="O30" s="91"/>
      <c r="P30" s="91"/>
      <c r="Q30" s="91"/>
      <c r="R30" s="91"/>
      <c r="S30" s="91"/>
    </row>
    <row r="31" spans="1:19" ht="15.75" customHeight="1" x14ac:dyDescent="0.25">
      <c r="A31" s="92"/>
      <c r="B31" s="93"/>
      <c r="C31" s="92"/>
      <c r="D31" s="92"/>
      <c r="E31" s="92"/>
      <c r="F31" s="92"/>
      <c r="G31" s="92"/>
      <c r="H31" s="91"/>
      <c r="I31" s="91"/>
      <c r="J31" s="91"/>
      <c r="K31" s="91"/>
      <c r="L31" s="91"/>
      <c r="M31" s="91"/>
      <c r="N31" s="91"/>
      <c r="O31" s="91"/>
      <c r="P31" s="91"/>
      <c r="Q31" s="91"/>
      <c r="R31" s="91"/>
      <c r="S31" s="91"/>
    </row>
    <row r="32" spans="1:19" ht="15.75" customHeight="1" x14ac:dyDescent="0.25">
      <c r="A32" s="92"/>
      <c r="B32" s="93"/>
      <c r="C32" s="92"/>
      <c r="D32" s="92"/>
      <c r="E32" s="92"/>
      <c r="F32" s="92"/>
      <c r="G32" s="92"/>
      <c r="H32" s="91"/>
      <c r="I32" s="91"/>
      <c r="J32" s="91"/>
      <c r="K32" s="91"/>
      <c r="L32" s="91"/>
      <c r="M32" s="91"/>
      <c r="N32" s="91"/>
      <c r="O32" s="91"/>
      <c r="P32" s="91"/>
      <c r="Q32" s="91"/>
      <c r="R32" s="91"/>
      <c r="S32" s="91"/>
    </row>
    <row r="33" spans="1:19" ht="15.75" customHeight="1" x14ac:dyDescent="0.25">
      <c r="A33" s="92"/>
      <c r="B33" s="93"/>
      <c r="C33" s="92"/>
      <c r="D33" s="92"/>
      <c r="E33" s="92"/>
      <c r="F33" s="92"/>
      <c r="G33" s="92"/>
      <c r="H33" s="91"/>
      <c r="I33" s="91"/>
      <c r="J33" s="91"/>
      <c r="K33" s="91"/>
      <c r="L33" s="91"/>
      <c r="M33" s="91"/>
      <c r="N33" s="91"/>
      <c r="O33" s="91"/>
      <c r="P33" s="91"/>
      <c r="Q33" s="91"/>
      <c r="R33" s="91"/>
      <c r="S33" s="91"/>
    </row>
    <row r="34" spans="1:19" ht="15.75" customHeight="1" x14ac:dyDescent="0.25">
      <c r="A34" s="92"/>
      <c r="B34" s="93"/>
      <c r="C34" s="92"/>
      <c r="D34" s="92"/>
      <c r="E34" s="92"/>
      <c r="F34" s="92"/>
      <c r="G34" s="92"/>
      <c r="H34" s="91"/>
      <c r="I34" s="91"/>
      <c r="J34" s="91"/>
      <c r="K34" s="91"/>
      <c r="L34" s="91"/>
      <c r="M34" s="91"/>
      <c r="N34" s="91"/>
      <c r="O34" s="91"/>
      <c r="P34" s="91"/>
      <c r="Q34" s="91"/>
      <c r="R34" s="91"/>
      <c r="S34" s="91"/>
    </row>
    <row r="35" spans="1:19" ht="15.75" customHeight="1" x14ac:dyDescent="0.25">
      <c r="A35" s="92"/>
      <c r="B35" s="93"/>
      <c r="C35" s="92"/>
      <c r="D35" s="92"/>
      <c r="E35" s="92"/>
      <c r="F35" s="92"/>
      <c r="G35" s="92"/>
      <c r="H35" s="91"/>
      <c r="I35" s="91"/>
      <c r="J35" s="91"/>
      <c r="K35" s="91"/>
      <c r="L35" s="91"/>
      <c r="M35" s="91"/>
      <c r="N35" s="91"/>
      <c r="O35" s="91"/>
      <c r="P35" s="91"/>
      <c r="Q35" s="91"/>
      <c r="R35" s="91"/>
      <c r="S35" s="91"/>
    </row>
    <row r="36" spans="1:19" ht="15.75" customHeight="1" x14ac:dyDescent="0.25">
      <c r="A36" s="92"/>
      <c r="B36" s="93"/>
      <c r="C36" s="92"/>
      <c r="D36" s="92"/>
      <c r="E36" s="92"/>
      <c r="F36" s="92"/>
      <c r="G36" s="92"/>
      <c r="H36" s="91"/>
      <c r="I36" s="91"/>
      <c r="J36" s="91"/>
      <c r="K36" s="91"/>
      <c r="L36" s="91"/>
      <c r="M36" s="91"/>
      <c r="N36" s="91"/>
      <c r="O36" s="91"/>
      <c r="P36" s="91"/>
      <c r="Q36" s="91"/>
      <c r="R36" s="91"/>
      <c r="S36" s="91"/>
    </row>
    <row r="37" spans="1:19" ht="15.75" customHeight="1" x14ac:dyDescent="0.25">
      <c r="A37" s="92"/>
      <c r="B37" s="93"/>
      <c r="C37" s="92"/>
      <c r="D37" s="92"/>
      <c r="E37" s="92"/>
      <c r="F37" s="92"/>
      <c r="G37" s="92"/>
      <c r="H37" s="91"/>
      <c r="I37" s="91"/>
      <c r="J37" s="91"/>
      <c r="K37" s="91"/>
      <c r="L37" s="91"/>
      <c r="M37" s="91"/>
      <c r="N37" s="91"/>
      <c r="O37" s="91"/>
      <c r="P37" s="91"/>
      <c r="Q37" s="91"/>
      <c r="R37" s="91"/>
      <c r="S37" s="91"/>
    </row>
    <row r="38" spans="1:19" ht="15.75" customHeight="1" x14ac:dyDescent="0.25">
      <c r="A38" s="92"/>
      <c r="B38" s="93"/>
      <c r="C38" s="92"/>
      <c r="D38" s="92"/>
      <c r="E38" s="92"/>
      <c r="F38" s="92"/>
      <c r="G38" s="92"/>
      <c r="H38" s="91"/>
      <c r="I38" s="91"/>
      <c r="J38" s="91"/>
      <c r="K38" s="91"/>
      <c r="L38" s="91"/>
      <c r="M38" s="91"/>
      <c r="N38" s="91"/>
      <c r="O38" s="91"/>
      <c r="P38" s="91"/>
      <c r="Q38" s="91"/>
      <c r="R38" s="91"/>
      <c r="S38" s="91"/>
    </row>
    <row r="39" spans="1:19" ht="15.75" customHeight="1" x14ac:dyDescent="0.25">
      <c r="A39" s="92"/>
      <c r="B39" s="93"/>
      <c r="C39" s="92"/>
      <c r="D39" s="92"/>
      <c r="E39" s="92"/>
      <c r="F39" s="92"/>
      <c r="G39" s="92"/>
      <c r="H39" s="91"/>
      <c r="I39" s="91"/>
      <c r="J39" s="91"/>
      <c r="K39" s="91"/>
      <c r="L39" s="91"/>
      <c r="M39" s="91"/>
      <c r="N39" s="91"/>
      <c r="O39" s="91"/>
      <c r="P39" s="91"/>
      <c r="Q39" s="91"/>
      <c r="R39" s="91"/>
      <c r="S39" s="91"/>
    </row>
    <row r="40" spans="1:19" ht="15.75" customHeight="1" x14ac:dyDescent="0.25">
      <c r="A40" s="92"/>
      <c r="B40" s="93"/>
      <c r="C40" s="92"/>
      <c r="D40" s="92"/>
      <c r="E40" s="92"/>
      <c r="F40" s="92"/>
      <c r="G40" s="92"/>
      <c r="H40" s="91"/>
      <c r="I40" s="91"/>
      <c r="J40" s="91"/>
      <c r="K40" s="91"/>
      <c r="L40" s="91"/>
      <c r="M40" s="91"/>
      <c r="N40" s="91"/>
      <c r="O40" s="91"/>
      <c r="P40" s="91"/>
      <c r="Q40" s="91"/>
      <c r="R40" s="91"/>
      <c r="S40" s="91"/>
    </row>
    <row r="41" spans="1:19" ht="15.75" customHeight="1" x14ac:dyDescent="0.25">
      <c r="A41" s="92"/>
      <c r="B41" s="93"/>
      <c r="C41" s="92"/>
      <c r="D41" s="92"/>
      <c r="E41" s="92"/>
      <c r="F41" s="92"/>
      <c r="G41" s="92"/>
      <c r="H41" s="91"/>
      <c r="I41" s="91"/>
      <c r="J41" s="91"/>
      <c r="K41" s="91"/>
      <c r="L41" s="91"/>
      <c r="M41" s="91"/>
      <c r="N41" s="91"/>
      <c r="O41" s="91"/>
      <c r="P41" s="91"/>
      <c r="Q41" s="91"/>
      <c r="R41" s="91"/>
      <c r="S41" s="91"/>
    </row>
    <row r="42" spans="1:19" ht="15.75" customHeight="1" x14ac:dyDescent="0.25">
      <c r="A42" s="92"/>
      <c r="B42" s="93"/>
      <c r="C42" s="92"/>
      <c r="D42" s="92"/>
      <c r="E42" s="92"/>
      <c r="F42" s="92"/>
      <c r="G42" s="92"/>
      <c r="H42" s="91"/>
      <c r="I42" s="91"/>
      <c r="J42" s="91"/>
      <c r="K42" s="91"/>
      <c r="L42" s="91"/>
      <c r="M42" s="91"/>
      <c r="N42" s="91"/>
      <c r="O42" s="91"/>
      <c r="P42" s="91"/>
      <c r="Q42" s="91"/>
      <c r="R42" s="91"/>
      <c r="S42" s="91"/>
    </row>
    <row r="43" spans="1:19" ht="15.75" customHeight="1" x14ac:dyDescent="0.25">
      <c r="A43" s="92"/>
      <c r="B43" s="93"/>
      <c r="C43" s="92"/>
      <c r="D43" s="92"/>
      <c r="E43" s="92"/>
      <c r="F43" s="92"/>
      <c r="G43" s="92"/>
      <c r="H43" s="91"/>
      <c r="I43" s="91"/>
      <c r="J43" s="91"/>
      <c r="K43" s="91"/>
      <c r="L43" s="91"/>
      <c r="M43" s="91"/>
      <c r="N43" s="91"/>
      <c r="O43" s="91"/>
      <c r="P43" s="91"/>
      <c r="Q43" s="91"/>
      <c r="R43" s="91"/>
      <c r="S43" s="91"/>
    </row>
    <row r="44" spans="1:19" ht="15.75" customHeight="1" x14ac:dyDescent="0.25">
      <c r="A44" s="92"/>
      <c r="B44" s="93"/>
      <c r="C44" s="92"/>
      <c r="D44" s="92"/>
      <c r="E44" s="92"/>
      <c r="F44" s="92"/>
      <c r="G44" s="92"/>
      <c r="H44" s="91"/>
      <c r="I44" s="91"/>
      <c r="J44" s="91"/>
      <c r="K44" s="91"/>
      <c r="L44" s="91"/>
      <c r="M44" s="91"/>
      <c r="N44" s="91"/>
      <c r="O44" s="91"/>
      <c r="P44" s="91"/>
      <c r="Q44" s="91"/>
      <c r="R44" s="91"/>
      <c r="S44" s="91"/>
    </row>
    <row r="45" spans="1:19" ht="15.75" customHeight="1" x14ac:dyDescent="0.25">
      <c r="A45" s="92"/>
      <c r="B45" s="93"/>
      <c r="C45" s="92"/>
      <c r="D45" s="92"/>
      <c r="E45" s="92"/>
      <c r="F45" s="92"/>
      <c r="G45" s="92"/>
      <c r="H45" s="91"/>
      <c r="I45" s="91"/>
      <c r="J45" s="91"/>
      <c r="K45" s="91"/>
      <c r="L45" s="91"/>
      <c r="M45" s="91"/>
      <c r="N45" s="91"/>
      <c r="O45" s="91"/>
      <c r="P45" s="91"/>
      <c r="Q45" s="91"/>
      <c r="R45" s="91"/>
      <c r="S45" s="91"/>
    </row>
    <row r="46" spans="1:19" ht="15.75" customHeight="1" x14ac:dyDescent="0.25">
      <c r="A46" s="92"/>
      <c r="B46" s="93"/>
      <c r="C46" s="92"/>
      <c r="D46" s="92"/>
      <c r="E46" s="92"/>
      <c r="F46" s="92"/>
      <c r="G46" s="92"/>
      <c r="H46" s="91"/>
      <c r="I46" s="91"/>
      <c r="J46" s="91"/>
      <c r="K46" s="91"/>
      <c r="L46" s="91"/>
      <c r="M46" s="91"/>
      <c r="N46" s="91"/>
      <c r="O46" s="91"/>
      <c r="P46" s="91"/>
      <c r="Q46" s="91"/>
      <c r="R46" s="91"/>
      <c r="S46" s="91"/>
    </row>
    <row r="47" spans="1:19" ht="15.75" customHeight="1" x14ac:dyDescent="0.25">
      <c r="A47" s="92"/>
      <c r="B47" s="93"/>
      <c r="C47" s="92"/>
      <c r="D47" s="92"/>
      <c r="E47" s="92"/>
      <c r="F47" s="92"/>
      <c r="G47" s="92"/>
      <c r="H47" s="91"/>
      <c r="I47" s="91"/>
      <c r="J47" s="91"/>
      <c r="K47" s="91"/>
      <c r="L47" s="91"/>
      <c r="M47" s="91"/>
      <c r="N47" s="91"/>
      <c r="O47" s="91"/>
      <c r="P47" s="91"/>
      <c r="Q47" s="91"/>
      <c r="R47" s="91"/>
      <c r="S47" s="91"/>
    </row>
    <row r="48" spans="1:19" ht="15.75" customHeight="1" x14ac:dyDescent="0.25">
      <c r="A48" s="92"/>
      <c r="B48" s="93"/>
      <c r="C48" s="92"/>
      <c r="D48" s="92"/>
      <c r="E48" s="92"/>
      <c r="F48" s="92"/>
      <c r="G48" s="92"/>
      <c r="H48" s="91"/>
      <c r="I48" s="91"/>
      <c r="J48" s="91"/>
      <c r="K48" s="91"/>
      <c r="L48" s="91"/>
      <c r="M48" s="91"/>
      <c r="N48" s="91"/>
      <c r="O48" s="91"/>
      <c r="P48" s="91"/>
      <c r="Q48" s="91"/>
      <c r="R48" s="91"/>
      <c r="S48" s="91"/>
    </row>
    <row r="49" spans="1:19" ht="15.75" customHeight="1" x14ac:dyDescent="0.25">
      <c r="A49" s="92"/>
      <c r="B49" s="93"/>
      <c r="C49" s="92"/>
      <c r="D49" s="92"/>
      <c r="E49" s="92"/>
      <c r="F49" s="92"/>
      <c r="G49" s="92"/>
      <c r="H49" s="91"/>
      <c r="I49" s="91"/>
      <c r="J49" s="91"/>
      <c r="K49" s="91"/>
      <c r="L49" s="91"/>
      <c r="M49" s="91"/>
      <c r="N49" s="91"/>
      <c r="O49" s="91"/>
      <c r="P49" s="91"/>
      <c r="Q49" s="91"/>
      <c r="R49" s="91"/>
      <c r="S49" s="91"/>
    </row>
    <row r="50" spans="1:19" ht="15.75" customHeight="1" x14ac:dyDescent="0.25">
      <c r="A50" s="92"/>
      <c r="B50" s="93"/>
      <c r="C50" s="92"/>
      <c r="D50" s="92"/>
      <c r="E50" s="92"/>
      <c r="F50" s="92"/>
      <c r="G50" s="92"/>
      <c r="H50" s="91"/>
      <c r="I50" s="91"/>
      <c r="J50" s="91"/>
      <c r="K50" s="91"/>
      <c r="L50" s="91"/>
      <c r="M50" s="91"/>
      <c r="N50" s="91"/>
      <c r="O50" s="91"/>
      <c r="P50" s="91"/>
      <c r="Q50" s="91"/>
      <c r="R50" s="91"/>
      <c r="S50" s="91"/>
    </row>
    <row r="51" spans="1:19" ht="15.75" customHeight="1" x14ac:dyDescent="0.25">
      <c r="A51" s="92"/>
      <c r="B51" s="93"/>
      <c r="C51" s="92"/>
      <c r="D51" s="92"/>
      <c r="E51" s="92"/>
      <c r="F51" s="92"/>
      <c r="G51" s="92"/>
      <c r="H51" s="91"/>
      <c r="I51" s="91"/>
      <c r="J51" s="91"/>
      <c r="K51" s="91"/>
      <c r="L51" s="91"/>
      <c r="M51" s="91"/>
      <c r="N51" s="91"/>
      <c r="O51" s="91"/>
      <c r="P51" s="91"/>
      <c r="Q51" s="91"/>
      <c r="R51" s="91"/>
      <c r="S51" s="91"/>
    </row>
    <row r="52" spans="1:19" ht="15.75" customHeight="1" x14ac:dyDescent="0.25">
      <c r="A52" s="92"/>
      <c r="B52" s="93"/>
      <c r="C52" s="92"/>
      <c r="D52" s="92"/>
      <c r="E52" s="92"/>
      <c r="F52" s="92"/>
      <c r="G52" s="92"/>
      <c r="H52" s="91"/>
      <c r="I52" s="91"/>
      <c r="J52" s="91"/>
      <c r="K52" s="91"/>
      <c r="L52" s="91"/>
      <c r="M52" s="91"/>
      <c r="N52" s="91"/>
      <c r="O52" s="91"/>
      <c r="P52" s="91"/>
      <c r="Q52" s="91"/>
      <c r="R52" s="91"/>
      <c r="S52" s="91"/>
    </row>
    <row r="53" spans="1:19" ht="15.75" customHeight="1" x14ac:dyDescent="0.25">
      <c r="A53" s="92"/>
      <c r="B53" s="93"/>
      <c r="C53" s="92"/>
      <c r="D53" s="92"/>
      <c r="E53" s="92"/>
      <c r="F53" s="92"/>
      <c r="G53" s="92"/>
      <c r="H53" s="91"/>
      <c r="I53" s="91"/>
      <c r="J53" s="91"/>
      <c r="K53" s="91"/>
      <c r="L53" s="91"/>
      <c r="M53" s="91"/>
      <c r="N53" s="91"/>
      <c r="O53" s="91"/>
      <c r="P53" s="91"/>
      <c r="Q53" s="91"/>
      <c r="R53" s="91"/>
      <c r="S53" s="91"/>
    </row>
    <row r="54" spans="1:19" ht="15.75" customHeight="1" x14ac:dyDescent="0.25">
      <c r="A54" s="92"/>
      <c r="B54" s="93"/>
      <c r="C54" s="92"/>
      <c r="D54" s="92"/>
      <c r="E54" s="92"/>
      <c r="F54" s="92"/>
      <c r="G54" s="92"/>
      <c r="H54" s="91"/>
      <c r="I54" s="91"/>
      <c r="J54" s="91"/>
      <c r="K54" s="91"/>
      <c r="L54" s="91"/>
      <c r="M54" s="91"/>
      <c r="N54" s="91"/>
      <c r="O54" s="91"/>
      <c r="P54" s="91"/>
      <c r="Q54" s="91"/>
      <c r="R54" s="91"/>
      <c r="S54" s="91"/>
    </row>
    <row r="55" spans="1:19" ht="15.75" customHeight="1" x14ac:dyDescent="0.25">
      <c r="A55" s="92"/>
      <c r="B55" s="93"/>
      <c r="C55" s="92"/>
      <c r="D55" s="92"/>
      <c r="E55" s="92"/>
      <c r="F55" s="92"/>
      <c r="G55" s="92"/>
      <c r="H55" s="91"/>
      <c r="I55" s="91"/>
      <c r="J55" s="91"/>
      <c r="K55" s="91"/>
      <c r="L55" s="91"/>
      <c r="M55" s="91"/>
      <c r="N55" s="91"/>
      <c r="O55" s="91"/>
      <c r="P55" s="91"/>
      <c r="Q55" s="91"/>
      <c r="R55" s="91"/>
      <c r="S55" s="91"/>
    </row>
    <row r="56" spans="1:19" ht="15.75" customHeight="1" x14ac:dyDescent="0.25">
      <c r="A56" s="92"/>
      <c r="B56" s="93"/>
      <c r="C56" s="92"/>
      <c r="D56" s="92"/>
      <c r="E56" s="92"/>
      <c r="F56" s="92"/>
      <c r="G56" s="92"/>
      <c r="H56" s="91"/>
      <c r="I56" s="91"/>
      <c r="J56" s="91"/>
      <c r="K56" s="91"/>
      <c r="L56" s="91"/>
      <c r="M56" s="91"/>
      <c r="N56" s="91"/>
      <c r="O56" s="91"/>
      <c r="P56" s="91"/>
      <c r="Q56" s="91"/>
      <c r="R56" s="91"/>
      <c r="S56" s="91"/>
    </row>
    <row r="57" spans="1:19" ht="15.75" customHeight="1" x14ac:dyDescent="0.25">
      <c r="A57" s="92"/>
      <c r="B57" s="93"/>
      <c r="C57" s="92"/>
      <c r="D57" s="92"/>
      <c r="E57" s="92"/>
      <c r="F57" s="92"/>
      <c r="G57" s="92"/>
      <c r="H57" s="91"/>
      <c r="I57" s="91"/>
      <c r="J57" s="91"/>
      <c r="K57" s="91"/>
      <c r="L57" s="91"/>
      <c r="M57" s="91"/>
      <c r="N57" s="91"/>
      <c r="O57" s="91"/>
      <c r="P57" s="91"/>
      <c r="Q57" s="91"/>
      <c r="R57" s="91"/>
      <c r="S57" s="91"/>
    </row>
    <row r="58" spans="1:19" ht="15.75" customHeight="1" x14ac:dyDescent="0.25">
      <c r="A58" s="92"/>
      <c r="B58" s="93"/>
      <c r="C58" s="92"/>
      <c r="D58" s="92"/>
      <c r="E58" s="92"/>
      <c r="F58" s="92"/>
      <c r="G58" s="92"/>
      <c r="H58" s="91"/>
      <c r="I58" s="91"/>
      <c r="J58" s="91"/>
      <c r="K58" s="91"/>
      <c r="L58" s="91"/>
      <c r="M58" s="91"/>
      <c r="N58" s="91"/>
      <c r="O58" s="91"/>
      <c r="P58" s="91"/>
      <c r="Q58" s="91"/>
      <c r="R58" s="91"/>
      <c r="S58" s="91"/>
    </row>
    <row r="59" spans="1:19" ht="15.75" customHeight="1" x14ac:dyDescent="0.25">
      <c r="A59" s="92"/>
      <c r="B59" s="93"/>
      <c r="C59" s="92"/>
      <c r="D59" s="92"/>
      <c r="E59" s="92"/>
      <c r="F59" s="92"/>
      <c r="G59" s="92"/>
      <c r="H59" s="91"/>
      <c r="I59" s="91"/>
      <c r="J59" s="91"/>
      <c r="K59" s="91"/>
      <c r="L59" s="91"/>
      <c r="M59" s="91"/>
      <c r="N59" s="91"/>
      <c r="O59" s="91"/>
      <c r="P59" s="91"/>
      <c r="Q59" s="91"/>
      <c r="R59" s="91"/>
      <c r="S59" s="91"/>
    </row>
    <row r="60" spans="1:19" ht="15.75" customHeight="1" x14ac:dyDescent="0.25">
      <c r="A60" s="92"/>
      <c r="B60" s="93"/>
      <c r="C60" s="92"/>
      <c r="D60" s="92"/>
      <c r="E60" s="92"/>
      <c r="F60" s="92"/>
      <c r="G60" s="92"/>
      <c r="H60" s="91"/>
      <c r="I60" s="91"/>
      <c r="J60" s="91"/>
      <c r="K60" s="91"/>
      <c r="L60" s="91"/>
      <c r="M60" s="91"/>
      <c r="N60" s="91"/>
      <c r="O60" s="91"/>
      <c r="P60" s="91"/>
      <c r="Q60" s="91"/>
      <c r="R60" s="91"/>
      <c r="S60" s="91"/>
    </row>
    <row r="61" spans="1:19" ht="15.75" customHeight="1" x14ac:dyDescent="0.25">
      <c r="A61" s="92"/>
      <c r="B61" s="93"/>
      <c r="C61" s="92"/>
      <c r="D61" s="92"/>
      <c r="E61" s="92"/>
      <c r="F61" s="92"/>
      <c r="G61" s="92"/>
      <c r="H61" s="91"/>
      <c r="I61" s="91"/>
      <c r="J61" s="91"/>
      <c r="K61" s="91"/>
      <c r="L61" s="91"/>
      <c r="M61" s="91"/>
      <c r="N61" s="91"/>
      <c r="O61" s="91"/>
      <c r="P61" s="91"/>
      <c r="Q61" s="91"/>
      <c r="R61" s="91"/>
      <c r="S61" s="91"/>
    </row>
    <row r="62" spans="1:19" ht="15.75" customHeight="1" x14ac:dyDescent="0.25">
      <c r="A62" s="92"/>
      <c r="B62" s="93"/>
      <c r="C62" s="92"/>
      <c r="D62" s="92"/>
      <c r="E62" s="92"/>
      <c r="F62" s="92"/>
      <c r="G62" s="92"/>
      <c r="H62" s="91"/>
      <c r="I62" s="91"/>
      <c r="J62" s="91"/>
      <c r="K62" s="91"/>
      <c r="L62" s="91"/>
      <c r="M62" s="91"/>
      <c r="N62" s="91"/>
      <c r="O62" s="91"/>
      <c r="P62" s="91"/>
      <c r="Q62" s="91"/>
      <c r="R62" s="91"/>
      <c r="S62" s="91"/>
    </row>
    <row r="63" spans="1:19" ht="15.75" customHeight="1" x14ac:dyDescent="0.25">
      <c r="A63" s="92"/>
      <c r="B63" s="93"/>
      <c r="C63" s="92"/>
      <c r="D63" s="92"/>
      <c r="E63" s="92"/>
      <c r="F63" s="92"/>
      <c r="G63" s="92"/>
      <c r="H63" s="91"/>
      <c r="I63" s="91"/>
      <c r="J63" s="91"/>
      <c r="K63" s="91"/>
      <c r="L63" s="91"/>
      <c r="M63" s="91"/>
      <c r="N63" s="91"/>
      <c r="O63" s="91"/>
      <c r="P63" s="91"/>
      <c r="Q63" s="91"/>
      <c r="R63" s="91"/>
      <c r="S63" s="91"/>
    </row>
    <row r="64" spans="1:19" ht="15.75" customHeight="1" x14ac:dyDescent="0.25">
      <c r="A64" s="92"/>
      <c r="B64" s="93"/>
      <c r="C64" s="92"/>
      <c r="D64" s="92"/>
      <c r="E64" s="92"/>
      <c r="F64" s="92"/>
      <c r="G64" s="92"/>
      <c r="H64" s="91"/>
      <c r="I64" s="91"/>
      <c r="J64" s="91"/>
      <c r="K64" s="91"/>
      <c r="L64" s="91"/>
      <c r="M64" s="91"/>
      <c r="N64" s="91"/>
      <c r="O64" s="91"/>
      <c r="P64" s="91"/>
      <c r="Q64" s="91"/>
      <c r="R64" s="91"/>
      <c r="S64" s="91"/>
    </row>
    <row r="65" spans="1:19" ht="15.75" customHeight="1" x14ac:dyDescent="0.25">
      <c r="A65" s="92"/>
      <c r="B65" s="93"/>
      <c r="C65" s="92"/>
      <c r="D65" s="92"/>
      <c r="E65" s="92"/>
      <c r="F65" s="92"/>
      <c r="G65" s="92"/>
      <c r="H65" s="91"/>
      <c r="I65" s="91"/>
      <c r="J65" s="91"/>
      <c r="K65" s="91"/>
      <c r="L65" s="91"/>
      <c r="M65" s="91"/>
      <c r="N65" s="91"/>
      <c r="O65" s="91"/>
      <c r="P65" s="91"/>
      <c r="Q65" s="91"/>
      <c r="R65" s="91"/>
      <c r="S65" s="91"/>
    </row>
    <row r="66" spans="1:19" ht="15.75" customHeight="1" x14ac:dyDescent="0.25">
      <c r="A66" s="92"/>
      <c r="B66" s="93"/>
      <c r="C66" s="92"/>
      <c r="D66" s="92"/>
      <c r="E66" s="92"/>
      <c r="F66" s="92"/>
      <c r="G66" s="92"/>
      <c r="H66" s="91"/>
      <c r="I66" s="91"/>
      <c r="J66" s="91"/>
      <c r="K66" s="91"/>
      <c r="L66" s="91"/>
      <c r="M66" s="91"/>
      <c r="N66" s="91"/>
      <c r="O66" s="91"/>
      <c r="P66" s="91"/>
      <c r="Q66" s="91"/>
      <c r="R66" s="91"/>
      <c r="S66" s="91"/>
    </row>
    <row r="67" spans="1:19" ht="15.75" customHeight="1" x14ac:dyDescent="0.25">
      <c r="A67" s="92"/>
      <c r="B67" s="93"/>
      <c r="C67" s="92"/>
      <c r="D67" s="92"/>
      <c r="E67" s="92"/>
      <c r="F67" s="92"/>
      <c r="G67" s="92"/>
      <c r="H67" s="91"/>
      <c r="I67" s="91"/>
      <c r="J67" s="91"/>
      <c r="K67" s="91"/>
      <c r="L67" s="91"/>
      <c r="M67" s="91"/>
      <c r="N67" s="91"/>
      <c r="O67" s="91"/>
      <c r="P67" s="91"/>
      <c r="Q67" s="91"/>
      <c r="R67" s="91"/>
      <c r="S67" s="91"/>
    </row>
    <row r="68" spans="1:19" ht="15.75" customHeight="1" x14ac:dyDescent="0.25">
      <c r="A68" s="92"/>
      <c r="B68" s="93"/>
      <c r="C68" s="92"/>
      <c r="D68" s="92"/>
      <c r="E68" s="92"/>
      <c r="F68" s="92"/>
      <c r="G68" s="92"/>
      <c r="H68" s="91"/>
      <c r="I68" s="91"/>
      <c r="J68" s="91"/>
      <c r="K68" s="91"/>
      <c r="L68" s="91"/>
      <c r="M68" s="91"/>
      <c r="N68" s="91"/>
      <c r="O68" s="91"/>
      <c r="P68" s="91"/>
      <c r="Q68" s="91"/>
      <c r="R68" s="91"/>
      <c r="S68" s="91"/>
    </row>
    <row r="69" spans="1:19" ht="15.75" customHeight="1" x14ac:dyDescent="0.25">
      <c r="A69" s="92"/>
      <c r="B69" s="93"/>
      <c r="C69" s="92"/>
      <c r="D69" s="92"/>
      <c r="E69" s="92"/>
      <c r="F69" s="92"/>
      <c r="G69" s="92"/>
      <c r="H69" s="91"/>
      <c r="I69" s="91"/>
      <c r="J69" s="91"/>
      <c r="K69" s="91"/>
      <c r="L69" s="91"/>
      <c r="M69" s="91"/>
      <c r="N69" s="91"/>
      <c r="O69" s="91"/>
      <c r="P69" s="91"/>
      <c r="Q69" s="91"/>
      <c r="R69" s="91"/>
      <c r="S69" s="91"/>
    </row>
    <row r="70" spans="1:19" ht="15.75" customHeight="1" x14ac:dyDescent="0.25">
      <c r="A70" s="92"/>
      <c r="B70" s="93"/>
      <c r="C70" s="92"/>
      <c r="D70" s="92"/>
      <c r="E70" s="92"/>
      <c r="F70" s="92"/>
      <c r="G70" s="92"/>
      <c r="H70" s="91"/>
      <c r="I70" s="91"/>
      <c r="J70" s="91"/>
      <c r="K70" s="91"/>
      <c r="L70" s="91"/>
      <c r="M70" s="91"/>
      <c r="N70" s="91"/>
      <c r="O70" s="91"/>
      <c r="P70" s="91"/>
      <c r="Q70" s="91"/>
      <c r="R70" s="91"/>
      <c r="S70" s="91"/>
    </row>
    <row r="71" spans="1:19" ht="15.75" customHeight="1" x14ac:dyDescent="0.25">
      <c r="A71" s="92"/>
      <c r="B71" s="93"/>
      <c r="C71" s="92"/>
      <c r="D71" s="92"/>
      <c r="E71" s="92"/>
      <c r="F71" s="92"/>
      <c r="G71" s="92"/>
      <c r="H71" s="91"/>
      <c r="I71" s="91"/>
      <c r="J71" s="91"/>
      <c r="K71" s="91"/>
      <c r="L71" s="91"/>
      <c r="M71" s="91"/>
      <c r="N71" s="91"/>
      <c r="O71" s="91"/>
      <c r="P71" s="91"/>
      <c r="Q71" s="91"/>
      <c r="R71" s="91"/>
      <c r="S71" s="91"/>
    </row>
    <row r="72" spans="1:19" ht="15.75" customHeight="1" x14ac:dyDescent="0.25">
      <c r="A72" s="92"/>
      <c r="B72" s="93"/>
      <c r="C72" s="92"/>
      <c r="D72" s="92"/>
      <c r="E72" s="92"/>
      <c r="F72" s="92"/>
      <c r="G72" s="92"/>
      <c r="H72" s="91"/>
      <c r="I72" s="91"/>
      <c r="J72" s="91"/>
      <c r="K72" s="91"/>
      <c r="L72" s="91"/>
      <c r="M72" s="91"/>
      <c r="N72" s="91"/>
      <c r="O72" s="91"/>
      <c r="P72" s="91"/>
      <c r="Q72" s="91"/>
      <c r="R72" s="91"/>
      <c r="S72" s="91"/>
    </row>
    <row r="73" spans="1:19" ht="15.75" customHeight="1" x14ac:dyDescent="0.25">
      <c r="A73" s="92"/>
      <c r="B73" s="93"/>
      <c r="C73" s="92"/>
      <c r="D73" s="92"/>
      <c r="E73" s="92"/>
      <c r="F73" s="92"/>
      <c r="G73" s="92"/>
      <c r="H73" s="91"/>
      <c r="I73" s="91"/>
      <c r="J73" s="91"/>
      <c r="K73" s="91"/>
      <c r="L73" s="91"/>
      <c r="M73" s="91"/>
      <c r="N73" s="91"/>
      <c r="O73" s="91"/>
      <c r="P73" s="91"/>
      <c r="Q73" s="91"/>
      <c r="R73" s="91"/>
      <c r="S73" s="91"/>
    </row>
    <row r="74" spans="1:19" ht="15.75" customHeight="1" x14ac:dyDescent="0.25">
      <c r="A74" s="92"/>
      <c r="B74" s="93"/>
      <c r="C74" s="92"/>
      <c r="D74" s="92"/>
      <c r="E74" s="92"/>
      <c r="F74" s="92"/>
      <c r="G74" s="92"/>
      <c r="H74" s="91"/>
      <c r="I74" s="91"/>
      <c r="J74" s="91"/>
      <c r="K74" s="91"/>
      <c r="L74" s="91"/>
      <c r="M74" s="91"/>
      <c r="N74" s="91"/>
      <c r="O74" s="91"/>
      <c r="P74" s="91"/>
      <c r="Q74" s="91"/>
      <c r="R74" s="91"/>
      <c r="S74" s="91"/>
    </row>
    <row r="75" spans="1:19" ht="15.75" customHeight="1" x14ac:dyDescent="0.25">
      <c r="A75" s="92"/>
      <c r="B75" s="93"/>
      <c r="C75" s="92"/>
      <c r="D75" s="92"/>
      <c r="E75" s="92"/>
      <c r="F75" s="92"/>
      <c r="G75" s="92"/>
      <c r="H75" s="91"/>
      <c r="I75" s="91"/>
      <c r="J75" s="91"/>
      <c r="K75" s="91"/>
      <c r="L75" s="91"/>
      <c r="M75" s="91"/>
      <c r="N75" s="91"/>
      <c r="O75" s="91"/>
      <c r="P75" s="91"/>
      <c r="Q75" s="91"/>
      <c r="R75" s="91"/>
      <c r="S75" s="91"/>
    </row>
    <row r="76" spans="1:19" ht="15.75" customHeight="1" x14ac:dyDescent="0.25">
      <c r="A76" s="92"/>
      <c r="B76" s="93"/>
      <c r="C76" s="92"/>
      <c r="D76" s="92"/>
      <c r="E76" s="92"/>
      <c r="F76" s="92"/>
      <c r="G76" s="92"/>
      <c r="H76" s="91"/>
      <c r="I76" s="91"/>
      <c r="J76" s="91"/>
      <c r="K76" s="91"/>
      <c r="L76" s="91"/>
      <c r="M76" s="91"/>
      <c r="N76" s="91"/>
      <c r="O76" s="91"/>
      <c r="P76" s="91"/>
      <c r="Q76" s="91"/>
      <c r="R76" s="91"/>
      <c r="S76" s="91"/>
    </row>
    <row r="77" spans="1:19" ht="15.75" customHeight="1" x14ac:dyDescent="0.25">
      <c r="A77" s="92"/>
      <c r="B77" s="93"/>
      <c r="C77" s="92"/>
      <c r="D77" s="92"/>
      <c r="E77" s="92"/>
      <c r="F77" s="92"/>
      <c r="G77" s="92"/>
      <c r="H77" s="91"/>
      <c r="I77" s="91"/>
      <c r="J77" s="91"/>
      <c r="K77" s="91"/>
      <c r="L77" s="91"/>
      <c r="M77" s="91"/>
      <c r="N77" s="91"/>
      <c r="O77" s="91"/>
      <c r="P77" s="91"/>
      <c r="Q77" s="91"/>
      <c r="R77" s="91"/>
      <c r="S77" s="91"/>
    </row>
    <row r="78" spans="1:19" ht="15.75" customHeight="1" x14ac:dyDescent="0.25">
      <c r="A78" s="92"/>
      <c r="B78" s="93"/>
      <c r="C78" s="92"/>
      <c r="D78" s="92"/>
      <c r="E78" s="92"/>
      <c r="F78" s="92"/>
      <c r="G78" s="92"/>
      <c r="H78" s="91"/>
      <c r="I78" s="91"/>
      <c r="J78" s="91"/>
      <c r="K78" s="91"/>
      <c r="L78" s="91"/>
      <c r="M78" s="91"/>
      <c r="N78" s="91"/>
      <c r="O78" s="91"/>
      <c r="P78" s="91"/>
      <c r="Q78" s="91"/>
      <c r="R78" s="91"/>
      <c r="S78" s="91"/>
    </row>
    <row r="79" spans="1:19" ht="15.75" customHeight="1" x14ac:dyDescent="0.25">
      <c r="A79" s="92"/>
      <c r="B79" s="93"/>
      <c r="C79" s="92"/>
      <c r="D79" s="92"/>
      <c r="E79" s="92"/>
      <c r="F79" s="92"/>
      <c r="G79" s="92"/>
      <c r="H79" s="91"/>
      <c r="I79" s="91"/>
      <c r="J79" s="91"/>
      <c r="K79" s="91"/>
      <c r="L79" s="91"/>
      <c r="M79" s="91"/>
      <c r="N79" s="91"/>
      <c r="O79" s="91"/>
      <c r="P79" s="91"/>
      <c r="Q79" s="91"/>
      <c r="R79" s="91"/>
      <c r="S79" s="91"/>
    </row>
    <row r="80" spans="1:19" ht="15.75" customHeight="1" x14ac:dyDescent="0.25">
      <c r="A80" s="92"/>
      <c r="B80" s="93"/>
      <c r="C80" s="92"/>
      <c r="D80" s="92"/>
      <c r="E80" s="92"/>
      <c r="F80" s="92"/>
      <c r="G80" s="92"/>
      <c r="H80" s="91"/>
      <c r="I80" s="91"/>
      <c r="J80" s="91"/>
      <c r="K80" s="91"/>
      <c r="L80" s="91"/>
      <c r="M80" s="91"/>
      <c r="N80" s="91"/>
      <c r="O80" s="91"/>
      <c r="P80" s="91"/>
      <c r="Q80" s="91"/>
      <c r="R80" s="91"/>
      <c r="S80" s="91"/>
    </row>
    <row r="81" spans="1:19" ht="15.75" customHeight="1" x14ac:dyDescent="0.25">
      <c r="A81" s="92"/>
      <c r="B81" s="93"/>
      <c r="C81" s="92"/>
      <c r="D81" s="92"/>
      <c r="E81" s="92"/>
      <c r="F81" s="92"/>
      <c r="G81" s="92"/>
      <c r="H81" s="91"/>
      <c r="I81" s="91"/>
      <c r="J81" s="91"/>
      <c r="K81" s="91"/>
      <c r="L81" s="91"/>
      <c r="M81" s="91"/>
      <c r="N81" s="91"/>
      <c r="O81" s="91"/>
      <c r="P81" s="91"/>
      <c r="Q81" s="91"/>
      <c r="R81" s="91"/>
      <c r="S81" s="91"/>
    </row>
    <row r="82" spans="1:19" ht="15.75" customHeight="1" x14ac:dyDescent="0.25">
      <c r="A82" s="92"/>
      <c r="B82" s="93"/>
      <c r="C82" s="92"/>
      <c r="D82" s="92"/>
      <c r="E82" s="92"/>
      <c r="F82" s="92"/>
      <c r="G82" s="92"/>
      <c r="H82" s="91"/>
      <c r="I82" s="91"/>
      <c r="J82" s="91"/>
      <c r="K82" s="91"/>
      <c r="L82" s="91"/>
      <c r="M82" s="91"/>
      <c r="N82" s="91"/>
      <c r="O82" s="91"/>
      <c r="P82" s="91"/>
      <c r="Q82" s="91"/>
      <c r="R82" s="91"/>
      <c r="S82" s="91"/>
    </row>
    <row r="83" spans="1:19" ht="15.75" customHeight="1" x14ac:dyDescent="0.25">
      <c r="A83" s="92"/>
      <c r="B83" s="93"/>
      <c r="C83" s="92"/>
      <c r="D83" s="92"/>
      <c r="E83" s="92"/>
      <c r="F83" s="92"/>
      <c r="G83" s="92"/>
      <c r="H83" s="91"/>
      <c r="I83" s="91"/>
      <c r="J83" s="91"/>
      <c r="K83" s="91"/>
      <c r="L83" s="91"/>
      <c r="M83" s="91"/>
      <c r="N83" s="91"/>
      <c r="O83" s="91"/>
      <c r="P83" s="91"/>
      <c r="Q83" s="91"/>
      <c r="R83" s="91"/>
      <c r="S83" s="91"/>
    </row>
    <row r="84" spans="1:19" ht="15.75" customHeight="1" x14ac:dyDescent="0.25">
      <c r="A84" s="92"/>
      <c r="B84" s="93"/>
      <c r="C84" s="92"/>
      <c r="D84" s="92"/>
      <c r="E84" s="92"/>
      <c r="F84" s="92"/>
      <c r="G84" s="92"/>
      <c r="H84" s="91"/>
      <c r="I84" s="91"/>
      <c r="J84" s="91"/>
      <c r="K84" s="91"/>
      <c r="L84" s="91"/>
      <c r="M84" s="91"/>
      <c r="N84" s="91"/>
      <c r="O84" s="91"/>
      <c r="P84" s="91"/>
      <c r="Q84" s="91"/>
      <c r="R84" s="91"/>
      <c r="S84" s="91"/>
    </row>
    <row r="85" spans="1:19" ht="15.75" customHeight="1" x14ac:dyDescent="0.25">
      <c r="A85" s="92"/>
      <c r="B85" s="93"/>
      <c r="C85" s="92"/>
      <c r="D85" s="92"/>
      <c r="E85" s="92"/>
      <c r="F85" s="92"/>
      <c r="G85" s="92"/>
      <c r="H85" s="91"/>
      <c r="I85" s="91"/>
      <c r="J85" s="91"/>
      <c r="K85" s="91"/>
      <c r="L85" s="91"/>
      <c r="M85" s="91"/>
      <c r="N85" s="91"/>
      <c r="O85" s="91"/>
      <c r="P85" s="91"/>
      <c r="Q85" s="91"/>
      <c r="R85" s="91"/>
      <c r="S85" s="91"/>
    </row>
    <row r="86" spans="1:19" ht="15.75" customHeight="1" x14ac:dyDescent="0.25">
      <c r="A86" s="92"/>
      <c r="B86" s="93"/>
      <c r="C86" s="92"/>
      <c r="D86" s="92"/>
      <c r="E86" s="92"/>
      <c r="F86" s="92"/>
      <c r="G86" s="92"/>
      <c r="H86" s="91"/>
      <c r="I86" s="91"/>
      <c r="J86" s="91"/>
      <c r="K86" s="91"/>
      <c r="L86" s="91"/>
      <c r="M86" s="91"/>
      <c r="N86" s="91"/>
      <c r="O86" s="91"/>
      <c r="P86" s="91"/>
      <c r="Q86" s="91"/>
      <c r="R86" s="91"/>
      <c r="S86" s="91"/>
    </row>
    <row r="87" spans="1:19" ht="15.75" customHeight="1" x14ac:dyDescent="0.25">
      <c r="A87" s="92"/>
      <c r="B87" s="93"/>
      <c r="C87" s="92"/>
      <c r="D87" s="92"/>
      <c r="E87" s="92"/>
      <c r="F87" s="92"/>
      <c r="G87" s="92"/>
      <c r="H87" s="91"/>
      <c r="I87" s="91"/>
      <c r="J87" s="91"/>
      <c r="K87" s="91"/>
      <c r="L87" s="91"/>
      <c r="M87" s="91"/>
      <c r="N87" s="91"/>
      <c r="O87" s="91"/>
      <c r="P87" s="91"/>
      <c r="Q87" s="91"/>
      <c r="R87" s="91"/>
      <c r="S87" s="91"/>
    </row>
    <row r="88" spans="1:19" ht="15.75" customHeight="1" x14ac:dyDescent="0.25">
      <c r="A88" s="92"/>
      <c r="B88" s="93"/>
      <c r="C88" s="92"/>
      <c r="D88" s="92"/>
      <c r="E88" s="92"/>
      <c r="F88" s="92"/>
      <c r="G88" s="92"/>
      <c r="H88" s="91"/>
      <c r="I88" s="91"/>
      <c r="J88" s="91"/>
      <c r="K88" s="91"/>
      <c r="L88" s="91"/>
      <c r="M88" s="91"/>
      <c r="N88" s="91"/>
      <c r="O88" s="91"/>
      <c r="P88" s="91"/>
      <c r="Q88" s="91"/>
      <c r="R88" s="91"/>
      <c r="S88" s="91"/>
    </row>
    <row r="89" spans="1:19" ht="15.75" customHeight="1" x14ac:dyDescent="0.25">
      <c r="A89" s="92"/>
      <c r="B89" s="93"/>
      <c r="C89" s="92"/>
      <c r="D89" s="92"/>
      <c r="E89" s="92"/>
      <c r="F89" s="92"/>
      <c r="G89" s="92"/>
      <c r="H89" s="91"/>
      <c r="I89" s="91"/>
      <c r="J89" s="91"/>
      <c r="K89" s="91"/>
      <c r="L89" s="91"/>
      <c r="M89" s="91"/>
      <c r="N89" s="91"/>
      <c r="O89" s="91"/>
      <c r="P89" s="91"/>
      <c r="Q89" s="91"/>
      <c r="R89" s="91"/>
      <c r="S89" s="91"/>
    </row>
    <row r="90" spans="1:19" ht="15.75" customHeight="1" x14ac:dyDescent="0.25">
      <c r="A90" s="92"/>
      <c r="B90" s="93"/>
      <c r="C90" s="92"/>
      <c r="D90" s="92"/>
      <c r="E90" s="92"/>
      <c r="F90" s="92"/>
      <c r="G90" s="92"/>
      <c r="H90" s="91"/>
      <c r="I90" s="91"/>
      <c r="J90" s="91"/>
      <c r="K90" s="91"/>
      <c r="L90" s="91"/>
      <c r="M90" s="91"/>
      <c r="N90" s="91"/>
      <c r="O90" s="91"/>
      <c r="P90" s="91"/>
      <c r="Q90" s="91"/>
      <c r="R90" s="91"/>
      <c r="S90" s="91"/>
    </row>
    <row r="91" spans="1:19" ht="15.75" customHeight="1" x14ac:dyDescent="0.25">
      <c r="A91" s="92"/>
      <c r="B91" s="93"/>
      <c r="C91" s="92"/>
      <c r="D91" s="92"/>
      <c r="E91" s="92"/>
      <c r="F91" s="92"/>
      <c r="G91" s="92"/>
      <c r="H91" s="91"/>
      <c r="I91" s="91"/>
      <c r="J91" s="91"/>
      <c r="K91" s="91"/>
      <c r="L91" s="91"/>
      <c r="M91" s="91"/>
      <c r="N91" s="91"/>
      <c r="O91" s="91"/>
      <c r="P91" s="91"/>
      <c r="Q91" s="91"/>
      <c r="R91" s="91"/>
      <c r="S91" s="91"/>
    </row>
    <row r="92" spans="1:19" ht="15.75" customHeight="1" x14ac:dyDescent="0.25">
      <c r="A92" s="92"/>
      <c r="B92" s="93"/>
      <c r="C92" s="92"/>
      <c r="D92" s="92"/>
      <c r="E92" s="92"/>
      <c r="F92" s="92"/>
      <c r="G92" s="92"/>
      <c r="H92" s="91"/>
      <c r="I92" s="91"/>
      <c r="J92" s="91"/>
      <c r="K92" s="91"/>
      <c r="L92" s="91"/>
      <c r="M92" s="91"/>
      <c r="N92" s="91"/>
      <c r="O92" s="91"/>
      <c r="P92" s="91"/>
      <c r="Q92" s="91"/>
      <c r="R92" s="91"/>
      <c r="S92" s="91"/>
    </row>
    <row r="93" spans="1:19" ht="15.75" customHeight="1" x14ac:dyDescent="0.25">
      <c r="A93" s="92"/>
      <c r="B93" s="93"/>
      <c r="C93" s="92"/>
      <c r="D93" s="92"/>
      <c r="E93" s="92"/>
      <c r="F93" s="92"/>
      <c r="G93" s="92"/>
      <c r="H93" s="91"/>
      <c r="I93" s="91"/>
      <c r="J93" s="91"/>
      <c r="K93" s="91"/>
      <c r="L93" s="91"/>
      <c r="M93" s="91"/>
      <c r="N93" s="91"/>
      <c r="O93" s="91"/>
      <c r="P93" s="91"/>
      <c r="Q93" s="91"/>
      <c r="R93" s="91"/>
      <c r="S93" s="91"/>
    </row>
    <row r="94" spans="1:19" ht="15.75" customHeight="1" x14ac:dyDescent="0.25">
      <c r="A94" s="92"/>
      <c r="B94" s="93"/>
      <c r="C94" s="92"/>
      <c r="D94" s="92"/>
      <c r="E94" s="92"/>
      <c r="F94" s="92"/>
      <c r="G94" s="92"/>
      <c r="H94" s="91"/>
      <c r="I94" s="91"/>
      <c r="J94" s="91"/>
      <c r="K94" s="91"/>
      <c r="L94" s="91"/>
      <c r="M94" s="91"/>
      <c r="N94" s="91"/>
      <c r="O94" s="91"/>
      <c r="P94" s="91"/>
      <c r="Q94" s="91"/>
      <c r="R94" s="91"/>
      <c r="S94" s="91"/>
    </row>
    <row r="95" spans="1:19" ht="15.75" customHeight="1" x14ac:dyDescent="0.25">
      <c r="A95" s="92"/>
      <c r="B95" s="93"/>
      <c r="C95" s="92"/>
      <c r="D95" s="92"/>
      <c r="E95" s="92"/>
      <c r="F95" s="92"/>
      <c r="G95" s="92"/>
      <c r="H95" s="91"/>
      <c r="I95" s="91"/>
      <c r="J95" s="91"/>
      <c r="K95" s="91"/>
      <c r="L95" s="91"/>
      <c r="M95" s="91"/>
      <c r="N95" s="91"/>
      <c r="O95" s="91"/>
      <c r="P95" s="91"/>
      <c r="Q95" s="91"/>
      <c r="R95" s="91"/>
      <c r="S95" s="91"/>
    </row>
    <row r="96" spans="1:19" ht="15.75" customHeight="1" x14ac:dyDescent="0.25">
      <c r="A96" s="92"/>
      <c r="B96" s="93"/>
      <c r="C96" s="92"/>
      <c r="D96" s="92"/>
      <c r="E96" s="92"/>
      <c r="F96" s="92"/>
      <c r="G96" s="92"/>
      <c r="H96" s="91"/>
      <c r="I96" s="91"/>
      <c r="J96" s="91"/>
      <c r="K96" s="91"/>
      <c r="L96" s="91"/>
      <c r="M96" s="91"/>
      <c r="N96" s="91"/>
      <c r="O96" s="91"/>
      <c r="P96" s="91"/>
      <c r="Q96" s="91"/>
      <c r="R96" s="91"/>
      <c r="S96" s="91"/>
    </row>
    <row r="97" spans="1:19" ht="15.75" customHeight="1" x14ac:dyDescent="0.25">
      <c r="A97" s="92"/>
      <c r="B97" s="93"/>
      <c r="C97" s="92"/>
      <c r="D97" s="92"/>
      <c r="E97" s="92"/>
      <c r="F97" s="92"/>
      <c r="G97" s="92"/>
      <c r="H97" s="91"/>
      <c r="I97" s="91"/>
      <c r="J97" s="91"/>
      <c r="K97" s="91"/>
      <c r="L97" s="91"/>
      <c r="M97" s="91"/>
      <c r="N97" s="91"/>
      <c r="O97" s="91"/>
      <c r="P97" s="91"/>
      <c r="Q97" s="91"/>
      <c r="R97" s="91"/>
      <c r="S97" s="91"/>
    </row>
    <row r="98" spans="1:19" ht="15.75" customHeight="1" x14ac:dyDescent="0.25">
      <c r="A98" s="92"/>
      <c r="B98" s="93"/>
      <c r="C98" s="92"/>
      <c r="D98" s="92"/>
      <c r="E98" s="92"/>
      <c r="F98" s="92"/>
      <c r="G98" s="92"/>
      <c r="H98" s="91"/>
      <c r="I98" s="91"/>
      <c r="J98" s="91"/>
      <c r="K98" s="91"/>
      <c r="L98" s="91"/>
      <c r="M98" s="91"/>
      <c r="N98" s="91"/>
      <c r="O98" s="91"/>
      <c r="P98" s="91"/>
      <c r="Q98" s="91"/>
      <c r="R98" s="91"/>
      <c r="S98" s="91"/>
    </row>
    <row r="99" spans="1:19" ht="15.75" customHeight="1" x14ac:dyDescent="0.25">
      <c r="A99" s="92"/>
      <c r="B99" s="93"/>
      <c r="C99" s="92"/>
      <c r="D99" s="92"/>
      <c r="E99" s="92"/>
      <c r="F99" s="92"/>
      <c r="G99" s="92"/>
      <c r="H99" s="91"/>
      <c r="I99" s="91"/>
      <c r="J99" s="91"/>
      <c r="K99" s="91"/>
      <c r="L99" s="91"/>
      <c r="M99" s="91"/>
      <c r="N99" s="91"/>
      <c r="O99" s="91"/>
      <c r="P99" s="91"/>
      <c r="Q99" s="91"/>
      <c r="R99" s="91"/>
      <c r="S99" s="91"/>
    </row>
    <row r="100" spans="1:19" ht="15.75" customHeight="1" x14ac:dyDescent="0.25">
      <c r="A100" s="92"/>
      <c r="B100" s="93"/>
      <c r="C100" s="92"/>
      <c r="D100" s="92"/>
      <c r="E100" s="92"/>
      <c r="F100" s="92"/>
      <c r="G100" s="92"/>
      <c r="H100" s="91"/>
      <c r="I100" s="91"/>
      <c r="J100" s="91"/>
      <c r="K100" s="91"/>
      <c r="L100" s="91"/>
      <c r="M100" s="91"/>
      <c r="N100" s="91"/>
      <c r="O100" s="91"/>
      <c r="P100" s="91"/>
      <c r="Q100" s="91"/>
      <c r="R100" s="91"/>
      <c r="S100" s="91"/>
    </row>
    <row r="101" spans="1:19" ht="15.75" customHeight="1" x14ac:dyDescent="0.25">
      <c r="A101" s="92"/>
      <c r="B101" s="93"/>
      <c r="C101" s="92"/>
      <c r="D101" s="92"/>
      <c r="E101" s="92"/>
      <c r="F101" s="92"/>
      <c r="G101" s="92"/>
      <c r="H101" s="91"/>
      <c r="I101" s="91"/>
      <c r="J101" s="91"/>
      <c r="K101" s="91"/>
      <c r="L101" s="91"/>
      <c r="M101" s="91"/>
      <c r="N101" s="91"/>
      <c r="O101" s="91"/>
      <c r="P101" s="91"/>
      <c r="Q101" s="91"/>
      <c r="R101" s="91"/>
      <c r="S101" s="91"/>
    </row>
    <row r="102" spans="1:19" ht="15.75" customHeight="1" x14ac:dyDescent="0.25">
      <c r="A102" s="92"/>
      <c r="B102" s="93"/>
      <c r="C102" s="92"/>
      <c r="D102" s="92"/>
      <c r="E102" s="92"/>
      <c r="F102" s="92"/>
      <c r="G102" s="92"/>
      <c r="H102" s="91"/>
      <c r="I102" s="91"/>
      <c r="J102" s="91"/>
      <c r="K102" s="91"/>
      <c r="L102" s="91"/>
      <c r="M102" s="91"/>
      <c r="N102" s="91"/>
      <c r="O102" s="91"/>
      <c r="P102" s="91"/>
      <c r="Q102" s="91"/>
      <c r="R102" s="91"/>
      <c r="S102" s="91"/>
    </row>
    <row r="103" spans="1:19" ht="15.75" customHeight="1" x14ac:dyDescent="0.25">
      <c r="A103" s="92"/>
      <c r="B103" s="93"/>
      <c r="C103" s="92"/>
      <c r="D103" s="92"/>
      <c r="E103" s="92"/>
      <c r="F103" s="92"/>
      <c r="G103" s="92"/>
      <c r="H103" s="91"/>
      <c r="I103" s="91"/>
      <c r="J103" s="91"/>
      <c r="K103" s="91"/>
      <c r="L103" s="91"/>
      <c r="M103" s="91"/>
      <c r="N103" s="91"/>
      <c r="O103" s="91"/>
      <c r="P103" s="91"/>
      <c r="Q103" s="91"/>
      <c r="R103" s="91"/>
      <c r="S103" s="91"/>
    </row>
    <row r="104" spans="1:19" ht="15.75" customHeight="1" x14ac:dyDescent="0.25">
      <c r="A104" s="92"/>
      <c r="B104" s="93"/>
      <c r="C104" s="92"/>
      <c r="D104" s="92"/>
      <c r="E104" s="92"/>
      <c r="F104" s="92"/>
      <c r="G104" s="92"/>
      <c r="H104" s="91"/>
      <c r="I104" s="91"/>
      <c r="J104" s="91"/>
      <c r="K104" s="91"/>
      <c r="L104" s="91"/>
      <c r="M104" s="91"/>
      <c r="N104" s="91"/>
      <c r="O104" s="91"/>
      <c r="P104" s="91"/>
      <c r="Q104" s="91"/>
      <c r="R104" s="91"/>
      <c r="S104" s="91"/>
    </row>
    <row r="105" spans="1:19" ht="15.75" customHeight="1" x14ac:dyDescent="0.25">
      <c r="A105" s="92"/>
      <c r="B105" s="93"/>
      <c r="C105" s="92"/>
      <c r="D105" s="92"/>
      <c r="E105" s="92"/>
      <c r="F105" s="92"/>
      <c r="G105" s="92"/>
      <c r="H105" s="91"/>
      <c r="I105" s="91"/>
      <c r="J105" s="91"/>
      <c r="K105" s="91"/>
      <c r="L105" s="91"/>
      <c r="M105" s="91"/>
      <c r="N105" s="91"/>
      <c r="O105" s="91"/>
      <c r="P105" s="91"/>
      <c r="Q105" s="91"/>
      <c r="R105" s="91"/>
      <c r="S105" s="91"/>
    </row>
    <row r="106" spans="1:19" ht="15.75" customHeight="1" x14ac:dyDescent="0.25">
      <c r="A106" s="92"/>
      <c r="B106" s="93"/>
      <c r="C106" s="92"/>
      <c r="D106" s="92"/>
      <c r="E106" s="92"/>
      <c r="F106" s="92"/>
      <c r="G106" s="92"/>
      <c r="H106" s="91"/>
      <c r="I106" s="91"/>
      <c r="J106" s="91"/>
      <c r="K106" s="91"/>
      <c r="L106" s="91"/>
      <c r="M106" s="91"/>
      <c r="N106" s="91"/>
      <c r="O106" s="91"/>
      <c r="P106" s="91"/>
      <c r="Q106" s="91"/>
      <c r="R106" s="91"/>
      <c r="S106" s="91"/>
    </row>
    <row r="107" spans="1:19" ht="15.75" customHeight="1" x14ac:dyDescent="0.25">
      <c r="A107" s="92"/>
      <c r="B107" s="93"/>
      <c r="C107" s="92"/>
      <c r="D107" s="92"/>
      <c r="E107" s="92"/>
      <c r="F107" s="92"/>
      <c r="G107" s="92"/>
      <c r="H107" s="91"/>
      <c r="I107" s="91"/>
      <c r="J107" s="91"/>
      <c r="K107" s="91"/>
      <c r="L107" s="91"/>
      <c r="M107" s="91"/>
      <c r="N107" s="91"/>
      <c r="O107" s="91"/>
      <c r="P107" s="91"/>
      <c r="Q107" s="91"/>
      <c r="R107" s="91"/>
      <c r="S107" s="91"/>
    </row>
    <row r="108" spans="1:19" ht="15.75" customHeight="1" x14ac:dyDescent="0.25">
      <c r="A108" s="92"/>
      <c r="B108" s="93"/>
      <c r="C108" s="92"/>
      <c r="D108" s="92"/>
      <c r="E108" s="92"/>
      <c r="F108" s="92"/>
      <c r="G108" s="92"/>
      <c r="H108" s="91"/>
      <c r="I108" s="91"/>
      <c r="J108" s="91"/>
      <c r="K108" s="91"/>
      <c r="L108" s="91"/>
      <c r="M108" s="91"/>
      <c r="N108" s="91"/>
      <c r="O108" s="91"/>
      <c r="P108" s="91"/>
      <c r="Q108" s="91"/>
      <c r="R108" s="91"/>
      <c r="S108" s="91"/>
    </row>
    <row r="109" spans="1:19" ht="15.75" customHeight="1" x14ac:dyDescent="0.25">
      <c r="A109" s="92"/>
      <c r="B109" s="93"/>
      <c r="C109" s="92"/>
      <c r="D109" s="92"/>
      <c r="E109" s="92"/>
      <c r="F109" s="92"/>
      <c r="G109" s="92"/>
      <c r="H109" s="91"/>
      <c r="I109" s="91"/>
      <c r="J109" s="91"/>
      <c r="K109" s="91"/>
      <c r="L109" s="91"/>
      <c r="M109" s="91"/>
      <c r="N109" s="91"/>
      <c r="O109" s="91"/>
      <c r="P109" s="91"/>
      <c r="Q109" s="91"/>
      <c r="R109" s="91"/>
      <c r="S109" s="91"/>
    </row>
    <row r="110" spans="1:19" ht="15.75" customHeight="1" x14ac:dyDescent="0.25">
      <c r="A110" s="92"/>
      <c r="B110" s="93"/>
      <c r="C110" s="92"/>
      <c r="D110" s="92"/>
      <c r="E110" s="92"/>
      <c r="F110" s="92"/>
      <c r="G110" s="92"/>
      <c r="H110" s="91"/>
      <c r="I110" s="91"/>
      <c r="J110" s="91"/>
      <c r="K110" s="91"/>
      <c r="L110" s="91"/>
      <c r="M110" s="91"/>
      <c r="N110" s="91"/>
      <c r="O110" s="91"/>
      <c r="P110" s="91"/>
      <c r="Q110" s="91"/>
      <c r="R110" s="91"/>
      <c r="S110" s="91"/>
    </row>
    <row r="111" spans="1:19" ht="15.75" customHeight="1" x14ac:dyDescent="0.25">
      <c r="A111" s="92"/>
      <c r="B111" s="93"/>
      <c r="C111" s="92"/>
      <c r="D111" s="92"/>
      <c r="E111" s="92"/>
      <c r="F111" s="92"/>
      <c r="G111" s="92"/>
      <c r="H111" s="91"/>
      <c r="I111" s="91"/>
      <c r="J111" s="91"/>
      <c r="K111" s="91"/>
      <c r="L111" s="91"/>
      <c r="M111" s="91"/>
      <c r="N111" s="91"/>
      <c r="O111" s="91"/>
      <c r="P111" s="91"/>
      <c r="Q111" s="91"/>
      <c r="R111" s="91"/>
      <c r="S111" s="91"/>
    </row>
    <row r="112" spans="1:19" ht="15.75" customHeight="1" x14ac:dyDescent="0.25">
      <c r="A112" s="92"/>
      <c r="B112" s="93"/>
      <c r="C112" s="92"/>
      <c r="D112" s="92"/>
      <c r="E112" s="92"/>
      <c r="F112" s="92"/>
      <c r="G112" s="92"/>
      <c r="H112" s="91"/>
      <c r="I112" s="91"/>
      <c r="J112" s="91"/>
      <c r="K112" s="91"/>
      <c r="L112" s="91"/>
      <c r="M112" s="91"/>
      <c r="N112" s="91"/>
      <c r="O112" s="91"/>
      <c r="P112" s="91"/>
      <c r="Q112" s="91"/>
      <c r="R112" s="91"/>
      <c r="S112" s="91"/>
    </row>
    <row r="113" spans="1:19" ht="15.75" customHeight="1" x14ac:dyDescent="0.25">
      <c r="A113" s="92"/>
      <c r="B113" s="93"/>
      <c r="C113" s="92"/>
      <c r="D113" s="92"/>
      <c r="E113" s="92"/>
      <c r="F113" s="92"/>
      <c r="G113" s="92"/>
      <c r="H113" s="91"/>
      <c r="I113" s="91"/>
      <c r="J113" s="91"/>
      <c r="K113" s="91"/>
      <c r="L113" s="91"/>
      <c r="M113" s="91"/>
      <c r="N113" s="91"/>
      <c r="O113" s="91"/>
      <c r="P113" s="91"/>
      <c r="Q113" s="91"/>
      <c r="R113" s="91"/>
      <c r="S113" s="91"/>
    </row>
    <row r="114" spans="1:19" ht="15.75" customHeight="1" x14ac:dyDescent="0.25">
      <c r="A114" s="92"/>
      <c r="B114" s="93"/>
      <c r="C114" s="92"/>
      <c r="D114" s="92"/>
      <c r="E114" s="92"/>
      <c r="F114" s="92"/>
      <c r="G114" s="92"/>
      <c r="H114" s="91"/>
      <c r="I114" s="91"/>
      <c r="J114" s="91"/>
      <c r="K114" s="91"/>
      <c r="L114" s="91"/>
      <c r="M114" s="91"/>
      <c r="N114" s="91"/>
      <c r="O114" s="91"/>
      <c r="P114" s="91"/>
      <c r="Q114" s="91"/>
      <c r="R114" s="91"/>
      <c r="S114" s="91"/>
    </row>
    <row r="115" spans="1:19" ht="15.75" customHeight="1" x14ac:dyDescent="0.25">
      <c r="A115" s="92"/>
      <c r="B115" s="93"/>
      <c r="C115" s="92"/>
      <c r="D115" s="92"/>
      <c r="E115" s="92"/>
      <c r="F115" s="92"/>
      <c r="G115" s="92"/>
      <c r="H115" s="91"/>
      <c r="I115" s="91"/>
      <c r="J115" s="91"/>
      <c r="K115" s="91"/>
      <c r="L115" s="91"/>
      <c r="M115" s="91"/>
      <c r="N115" s="91"/>
      <c r="O115" s="91"/>
      <c r="P115" s="91"/>
      <c r="Q115" s="91"/>
      <c r="R115" s="91"/>
      <c r="S115" s="91"/>
    </row>
    <row r="116" spans="1:19" ht="15.75" customHeight="1" x14ac:dyDescent="0.25">
      <c r="A116" s="92"/>
      <c r="B116" s="93"/>
      <c r="C116" s="92"/>
      <c r="D116" s="92"/>
      <c r="E116" s="92"/>
      <c r="F116" s="92"/>
      <c r="G116" s="92"/>
      <c r="H116" s="91"/>
      <c r="I116" s="91"/>
      <c r="J116" s="91"/>
      <c r="K116" s="91"/>
      <c r="L116" s="91"/>
      <c r="M116" s="91"/>
      <c r="N116" s="91"/>
      <c r="O116" s="91"/>
      <c r="P116" s="91"/>
      <c r="Q116" s="91"/>
      <c r="R116" s="91"/>
      <c r="S116" s="91"/>
    </row>
    <row r="117" spans="1:19" ht="15.75" customHeight="1" x14ac:dyDescent="0.25">
      <c r="A117" s="92"/>
      <c r="B117" s="93"/>
      <c r="C117" s="92"/>
      <c r="D117" s="92"/>
      <c r="E117" s="92"/>
      <c r="F117" s="92"/>
      <c r="G117" s="92"/>
      <c r="H117" s="91"/>
      <c r="I117" s="91"/>
      <c r="J117" s="91"/>
      <c r="K117" s="91"/>
      <c r="L117" s="91"/>
      <c r="M117" s="91"/>
      <c r="N117" s="91"/>
      <c r="O117" s="91"/>
      <c r="P117" s="91"/>
      <c r="Q117" s="91"/>
      <c r="R117" s="91"/>
      <c r="S117" s="91"/>
    </row>
    <row r="118" spans="1:19" ht="15.75" customHeight="1" x14ac:dyDescent="0.25">
      <c r="A118" s="92"/>
      <c r="B118" s="93"/>
      <c r="C118" s="92"/>
      <c r="D118" s="92"/>
      <c r="E118" s="92"/>
      <c r="F118" s="92"/>
      <c r="G118" s="92"/>
      <c r="H118" s="91"/>
      <c r="I118" s="91"/>
      <c r="J118" s="91"/>
      <c r="K118" s="91"/>
      <c r="L118" s="91"/>
      <c r="M118" s="91"/>
      <c r="N118" s="91"/>
      <c r="O118" s="91"/>
      <c r="P118" s="91"/>
      <c r="Q118" s="91"/>
      <c r="R118" s="91"/>
      <c r="S118" s="91"/>
    </row>
    <row r="119" spans="1:19" ht="15.75" customHeight="1" x14ac:dyDescent="0.25">
      <c r="A119" s="92"/>
      <c r="B119" s="93"/>
      <c r="C119" s="92"/>
      <c r="D119" s="92"/>
      <c r="E119" s="92"/>
      <c r="F119" s="92"/>
      <c r="G119" s="92"/>
      <c r="H119" s="91"/>
      <c r="I119" s="91"/>
      <c r="J119" s="91"/>
      <c r="K119" s="91"/>
      <c r="L119" s="91"/>
      <c r="M119" s="91"/>
      <c r="N119" s="91"/>
      <c r="O119" s="91"/>
      <c r="P119" s="91"/>
      <c r="Q119" s="91"/>
      <c r="R119" s="91"/>
      <c r="S119" s="91"/>
    </row>
    <row r="120" spans="1:19" ht="15.75" customHeight="1" x14ac:dyDescent="0.25">
      <c r="A120" s="92"/>
      <c r="B120" s="93"/>
      <c r="C120" s="92"/>
      <c r="D120" s="92"/>
      <c r="E120" s="92"/>
      <c r="F120" s="92"/>
      <c r="G120" s="92"/>
      <c r="H120" s="91"/>
      <c r="I120" s="91"/>
      <c r="J120" s="91"/>
      <c r="K120" s="91"/>
      <c r="L120" s="91"/>
      <c r="M120" s="91"/>
      <c r="N120" s="91"/>
      <c r="O120" s="91"/>
      <c r="P120" s="91"/>
      <c r="Q120" s="91"/>
      <c r="R120" s="91"/>
      <c r="S120" s="91"/>
    </row>
    <row r="121" spans="1:19" ht="15.75" customHeight="1" x14ac:dyDescent="0.25">
      <c r="A121" s="92"/>
      <c r="B121" s="93"/>
      <c r="C121" s="92"/>
      <c r="D121" s="92"/>
      <c r="E121" s="92"/>
      <c r="F121" s="92"/>
      <c r="G121" s="92"/>
      <c r="H121" s="91"/>
      <c r="I121" s="91"/>
      <c r="J121" s="91"/>
      <c r="K121" s="91"/>
      <c r="L121" s="91"/>
      <c r="M121" s="91"/>
      <c r="N121" s="91"/>
      <c r="O121" s="91"/>
      <c r="P121" s="91"/>
      <c r="Q121" s="91"/>
      <c r="R121" s="91"/>
      <c r="S121" s="91"/>
    </row>
    <row r="122" spans="1:19" ht="15.75" customHeight="1" x14ac:dyDescent="0.25">
      <c r="A122" s="92"/>
      <c r="B122" s="93"/>
      <c r="C122" s="92"/>
      <c r="D122" s="92"/>
      <c r="E122" s="92"/>
      <c r="F122" s="92"/>
      <c r="G122" s="92"/>
      <c r="H122" s="91"/>
      <c r="I122" s="91"/>
      <c r="J122" s="91"/>
      <c r="K122" s="91"/>
      <c r="L122" s="91"/>
      <c r="M122" s="91"/>
      <c r="N122" s="91"/>
      <c r="O122" s="91"/>
      <c r="P122" s="91"/>
      <c r="Q122" s="91"/>
      <c r="R122" s="91"/>
      <c r="S122" s="91"/>
    </row>
    <row r="123" spans="1:19" ht="15.75" customHeight="1" x14ac:dyDescent="0.25">
      <c r="A123" s="92"/>
      <c r="B123" s="93"/>
      <c r="C123" s="92"/>
      <c r="D123" s="92"/>
      <c r="E123" s="92"/>
      <c r="F123" s="92"/>
      <c r="G123" s="92"/>
      <c r="H123" s="91"/>
      <c r="I123" s="91"/>
      <c r="J123" s="91"/>
      <c r="K123" s="91"/>
      <c r="L123" s="91"/>
      <c r="M123" s="91"/>
      <c r="N123" s="91"/>
      <c r="O123" s="91"/>
      <c r="P123" s="91"/>
      <c r="Q123" s="91"/>
      <c r="R123" s="91"/>
      <c r="S123" s="91"/>
    </row>
    <row r="124" spans="1:19" ht="15.75" customHeight="1" x14ac:dyDescent="0.25">
      <c r="A124" s="92"/>
      <c r="B124" s="93"/>
      <c r="C124" s="92"/>
      <c r="D124" s="92"/>
      <c r="E124" s="92"/>
      <c r="F124" s="92"/>
      <c r="G124" s="92"/>
      <c r="H124" s="91"/>
      <c r="I124" s="91"/>
      <c r="J124" s="91"/>
      <c r="K124" s="91"/>
      <c r="L124" s="91"/>
      <c r="M124" s="91"/>
      <c r="N124" s="91"/>
      <c r="O124" s="91"/>
      <c r="P124" s="91"/>
      <c r="Q124" s="91"/>
      <c r="R124" s="91"/>
      <c r="S124" s="91"/>
    </row>
    <row r="125" spans="1:19" ht="15.75" customHeight="1" x14ac:dyDescent="0.25">
      <c r="A125" s="92"/>
      <c r="B125" s="93"/>
      <c r="C125" s="92"/>
      <c r="D125" s="92"/>
      <c r="E125" s="92"/>
      <c r="F125" s="92"/>
      <c r="G125" s="92"/>
      <c r="H125" s="91"/>
      <c r="I125" s="91"/>
      <c r="J125" s="91"/>
      <c r="K125" s="91"/>
      <c r="L125" s="91"/>
      <c r="M125" s="91"/>
      <c r="N125" s="91"/>
      <c r="O125" s="91"/>
      <c r="P125" s="91"/>
      <c r="Q125" s="91"/>
      <c r="R125" s="91"/>
      <c r="S125" s="91"/>
    </row>
    <row r="126" spans="1:19" ht="15.75" customHeight="1" x14ac:dyDescent="0.25">
      <c r="A126" s="92"/>
      <c r="B126" s="93"/>
      <c r="C126" s="92"/>
      <c r="D126" s="92"/>
      <c r="E126" s="92"/>
      <c r="F126" s="92"/>
      <c r="G126" s="92"/>
      <c r="H126" s="91"/>
      <c r="I126" s="91"/>
      <c r="J126" s="91"/>
      <c r="K126" s="91"/>
      <c r="L126" s="91"/>
      <c r="M126" s="91"/>
      <c r="N126" s="91"/>
      <c r="O126" s="91"/>
      <c r="P126" s="91"/>
      <c r="Q126" s="91"/>
      <c r="R126" s="91"/>
      <c r="S126" s="91"/>
    </row>
    <row r="127" spans="1:19" ht="15.75" customHeight="1" x14ac:dyDescent="0.25">
      <c r="A127" s="92"/>
      <c r="B127" s="93"/>
      <c r="C127" s="92"/>
      <c r="D127" s="92"/>
      <c r="E127" s="92"/>
      <c r="F127" s="92"/>
      <c r="G127" s="92"/>
      <c r="H127" s="91"/>
      <c r="I127" s="91"/>
      <c r="J127" s="91"/>
      <c r="K127" s="91"/>
      <c r="L127" s="91"/>
      <c r="M127" s="91"/>
      <c r="N127" s="91"/>
      <c r="O127" s="91"/>
      <c r="P127" s="91"/>
      <c r="Q127" s="91"/>
      <c r="R127" s="91"/>
      <c r="S127" s="91"/>
    </row>
    <row r="128" spans="1:19" ht="15.75" customHeight="1" x14ac:dyDescent="0.25">
      <c r="A128" s="92"/>
      <c r="B128" s="93"/>
      <c r="C128" s="92"/>
      <c r="D128" s="92"/>
      <c r="E128" s="92"/>
      <c r="F128" s="92"/>
      <c r="G128" s="92"/>
      <c r="H128" s="91"/>
      <c r="I128" s="91"/>
      <c r="J128" s="91"/>
      <c r="K128" s="91"/>
      <c r="L128" s="91"/>
      <c r="M128" s="91"/>
      <c r="N128" s="91"/>
      <c r="O128" s="91"/>
      <c r="P128" s="91"/>
      <c r="Q128" s="91"/>
      <c r="R128" s="91"/>
      <c r="S128" s="91"/>
    </row>
    <row r="129" spans="1:19" ht="15.75" customHeight="1" x14ac:dyDescent="0.25">
      <c r="A129" s="92"/>
      <c r="B129" s="93"/>
      <c r="C129" s="92"/>
      <c r="D129" s="92"/>
      <c r="E129" s="92"/>
      <c r="F129" s="92"/>
      <c r="G129" s="92"/>
      <c r="H129" s="91"/>
      <c r="I129" s="91"/>
      <c r="J129" s="91"/>
      <c r="K129" s="91"/>
      <c r="L129" s="91"/>
      <c r="M129" s="91"/>
      <c r="N129" s="91"/>
      <c r="O129" s="91"/>
      <c r="P129" s="91"/>
      <c r="Q129" s="91"/>
      <c r="R129" s="91"/>
      <c r="S129" s="91"/>
    </row>
    <row r="130" spans="1:19" ht="15.75" customHeight="1" x14ac:dyDescent="0.25">
      <c r="A130" s="92"/>
      <c r="B130" s="93"/>
      <c r="C130" s="92"/>
      <c r="D130" s="92"/>
      <c r="E130" s="92"/>
      <c r="F130" s="92"/>
      <c r="G130" s="92"/>
      <c r="H130" s="91"/>
      <c r="I130" s="91"/>
      <c r="J130" s="91"/>
      <c r="K130" s="91"/>
      <c r="L130" s="91"/>
      <c r="M130" s="91"/>
      <c r="N130" s="91"/>
      <c r="O130" s="91"/>
      <c r="P130" s="91"/>
      <c r="Q130" s="91"/>
      <c r="R130" s="91"/>
      <c r="S130" s="91"/>
    </row>
    <row r="131" spans="1:19" ht="15.75" customHeight="1" x14ac:dyDescent="0.25">
      <c r="A131" s="92"/>
      <c r="B131" s="93"/>
      <c r="C131" s="92"/>
      <c r="D131" s="92"/>
      <c r="E131" s="92"/>
      <c r="F131" s="92"/>
      <c r="G131" s="92"/>
      <c r="H131" s="91"/>
      <c r="I131" s="91"/>
      <c r="J131" s="91"/>
      <c r="K131" s="91"/>
      <c r="L131" s="91"/>
      <c r="M131" s="91"/>
      <c r="N131" s="91"/>
      <c r="O131" s="91"/>
      <c r="P131" s="91"/>
      <c r="Q131" s="91"/>
      <c r="R131" s="91"/>
      <c r="S131" s="91"/>
    </row>
    <row r="132" spans="1:19" ht="15.75" customHeight="1" x14ac:dyDescent="0.25">
      <c r="A132" s="92"/>
      <c r="B132" s="93"/>
      <c r="C132" s="92"/>
      <c r="D132" s="92"/>
      <c r="E132" s="92"/>
      <c r="F132" s="92"/>
      <c r="G132" s="92"/>
      <c r="H132" s="91"/>
      <c r="I132" s="91"/>
      <c r="J132" s="91"/>
      <c r="K132" s="91"/>
      <c r="L132" s="91"/>
      <c r="M132" s="91"/>
      <c r="N132" s="91"/>
      <c r="O132" s="91"/>
      <c r="P132" s="91"/>
      <c r="Q132" s="91"/>
      <c r="R132" s="91"/>
      <c r="S132" s="91"/>
    </row>
    <row r="133" spans="1:19" ht="15.75" customHeight="1" x14ac:dyDescent="0.25">
      <c r="A133" s="92"/>
      <c r="B133" s="93"/>
      <c r="C133" s="92"/>
      <c r="D133" s="92"/>
      <c r="E133" s="92"/>
      <c r="F133" s="92"/>
      <c r="G133" s="92"/>
      <c r="H133" s="91"/>
      <c r="I133" s="91"/>
      <c r="J133" s="91"/>
      <c r="K133" s="91"/>
      <c r="L133" s="91"/>
      <c r="M133" s="91"/>
      <c r="N133" s="91"/>
      <c r="O133" s="91"/>
      <c r="P133" s="91"/>
      <c r="Q133" s="91"/>
      <c r="R133" s="91"/>
      <c r="S133" s="91"/>
    </row>
    <row r="134" spans="1:19" ht="15.75" customHeight="1" x14ac:dyDescent="0.25">
      <c r="A134" s="92"/>
      <c r="B134" s="93"/>
      <c r="C134" s="92"/>
      <c r="D134" s="92"/>
      <c r="E134" s="92"/>
      <c r="F134" s="92"/>
      <c r="G134" s="92"/>
      <c r="H134" s="91"/>
      <c r="I134" s="91"/>
      <c r="J134" s="91"/>
      <c r="K134" s="91"/>
      <c r="L134" s="91"/>
      <c r="M134" s="91"/>
      <c r="N134" s="91"/>
      <c r="O134" s="91"/>
      <c r="P134" s="91"/>
      <c r="Q134" s="91"/>
      <c r="R134" s="91"/>
      <c r="S134" s="91"/>
    </row>
    <row r="135" spans="1:19" ht="15.75" customHeight="1" x14ac:dyDescent="0.25">
      <c r="A135" s="92"/>
      <c r="B135" s="93"/>
      <c r="C135" s="92"/>
      <c r="D135" s="92"/>
      <c r="E135" s="92"/>
      <c r="F135" s="92"/>
      <c r="G135" s="92"/>
      <c r="H135" s="91"/>
      <c r="I135" s="91"/>
      <c r="J135" s="91"/>
      <c r="K135" s="91"/>
      <c r="L135" s="91"/>
      <c r="M135" s="91"/>
      <c r="N135" s="91"/>
      <c r="O135" s="91"/>
      <c r="P135" s="91"/>
      <c r="Q135" s="91"/>
      <c r="R135" s="91"/>
      <c r="S135" s="91"/>
    </row>
    <row r="136" spans="1:19" ht="15.75" customHeight="1" x14ac:dyDescent="0.25">
      <c r="A136" s="92"/>
      <c r="B136" s="93"/>
      <c r="C136" s="92"/>
      <c r="D136" s="92"/>
      <c r="E136" s="92"/>
      <c r="F136" s="92"/>
      <c r="G136" s="92"/>
      <c r="H136" s="91"/>
      <c r="I136" s="91"/>
      <c r="J136" s="91"/>
      <c r="K136" s="91"/>
      <c r="L136" s="91"/>
      <c r="M136" s="91"/>
      <c r="N136" s="91"/>
      <c r="O136" s="91"/>
      <c r="P136" s="91"/>
      <c r="Q136" s="91"/>
      <c r="R136" s="91"/>
      <c r="S136" s="91"/>
    </row>
    <row r="137" spans="1:19" ht="15.75" customHeight="1" x14ac:dyDescent="0.25">
      <c r="A137" s="92"/>
      <c r="B137" s="93"/>
      <c r="C137" s="92"/>
      <c r="D137" s="92"/>
      <c r="E137" s="92"/>
      <c r="F137" s="92"/>
      <c r="G137" s="92"/>
      <c r="H137" s="91"/>
      <c r="I137" s="91"/>
      <c r="J137" s="91"/>
      <c r="K137" s="91"/>
      <c r="L137" s="91"/>
      <c r="M137" s="91"/>
      <c r="N137" s="91"/>
      <c r="O137" s="91"/>
      <c r="P137" s="91"/>
      <c r="Q137" s="91"/>
      <c r="R137" s="91"/>
      <c r="S137" s="91"/>
    </row>
    <row r="138" spans="1:19" ht="15.75" customHeight="1" x14ac:dyDescent="0.25">
      <c r="A138" s="92"/>
      <c r="B138" s="93"/>
      <c r="C138" s="92"/>
      <c r="D138" s="92"/>
      <c r="E138" s="92"/>
      <c r="F138" s="92"/>
      <c r="G138" s="92"/>
      <c r="H138" s="91"/>
      <c r="I138" s="91"/>
      <c r="J138" s="91"/>
      <c r="K138" s="91"/>
      <c r="L138" s="91"/>
      <c r="M138" s="91"/>
      <c r="N138" s="91"/>
      <c r="O138" s="91"/>
      <c r="P138" s="91"/>
      <c r="Q138" s="91"/>
      <c r="R138" s="91"/>
      <c r="S138" s="91"/>
    </row>
    <row r="139" spans="1:19" ht="15.75" customHeight="1" x14ac:dyDescent="0.25">
      <c r="A139" s="92"/>
      <c r="B139" s="93"/>
      <c r="C139" s="92"/>
      <c r="D139" s="92"/>
      <c r="E139" s="92"/>
      <c r="F139" s="92"/>
      <c r="G139" s="92"/>
      <c r="H139" s="91"/>
      <c r="I139" s="91"/>
      <c r="J139" s="91"/>
      <c r="K139" s="91"/>
      <c r="L139" s="91"/>
      <c r="M139" s="91"/>
      <c r="N139" s="91"/>
      <c r="O139" s="91"/>
      <c r="P139" s="91"/>
      <c r="Q139" s="91"/>
      <c r="R139" s="91"/>
      <c r="S139" s="91"/>
    </row>
    <row r="140" spans="1:19" ht="15.75" customHeight="1" x14ac:dyDescent="0.25">
      <c r="A140" s="92"/>
      <c r="B140" s="93"/>
      <c r="C140" s="92"/>
      <c r="D140" s="92"/>
      <c r="E140" s="92"/>
      <c r="F140" s="92"/>
      <c r="G140" s="92"/>
      <c r="H140" s="91"/>
      <c r="I140" s="91"/>
      <c r="J140" s="91"/>
      <c r="K140" s="91"/>
      <c r="L140" s="91"/>
      <c r="M140" s="91"/>
      <c r="N140" s="91"/>
      <c r="O140" s="91"/>
      <c r="P140" s="91"/>
      <c r="Q140" s="91"/>
      <c r="R140" s="91"/>
      <c r="S140" s="91"/>
    </row>
    <row r="141" spans="1:19" ht="15.75" customHeight="1" x14ac:dyDescent="0.25">
      <c r="A141" s="92"/>
      <c r="B141" s="93"/>
      <c r="C141" s="92"/>
      <c r="D141" s="92"/>
      <c r="E141" s="92"/>
      <c r="F141" s="92"/>
      <c r="G141" s="92"/>
      <c r="H141" s="91"/>
      <c r="I141" s="91"/>
      <c r="J141" s="91"/>
      <c r="K141" s="91"/>
      <c r="L141" s="91"/>
      <c r="M141" s="91"/>
      <c r="N141" s="91"/>
      <c r="O141" s="91"/>
      <c r="P141" s="91"/>
      <c r="Q141" s="91"/>
      <c r="R141" s="91"/>
      <c r="S141" s="91"/>
    </row>
    <row r="142" spans="1:19" ht="15.75" customHeight="1" x14ac:dyDescent="0.25">
      <c r="A142" s="92"/>
      <c r="B142" s="93"/>
      <c r="C142" s="92"/>
      <c r="D142" s="92"/>
      <c r="E142" s="92"/>
      <c r="F142" s="92"/>
      <c r="G142" s="92"/>
      <c r="H142" s="91"/>
      <c r="I142" s="91"/>
      <c r="J142" s="91"/>
      <c r="K142" s="91"/>
      <c r="L142" s="91"/>
      <c r="M142" s="91"/>
      <c r="N142" s="91"/>
      <c r="O142" s="91"/>
      <c r="P142" s="91"/>
      <c r="Q142" s="91"/>
      <c r="R142" s="91"/>
      <c r="S142" s="91"/>
    </row>
    <row r="143" spans="1:19" ht="15.75" customHeight="1" x14ac:dyDescent="0.25">
      <c r="A143" s="92"/>
      <c r="B143" s="93"/>
      <c r="C143" s="92"/>
      <c r="D143" s="92"/>
      <c r="E143" s="92"/>
      <c r="F143" s="92"/>
      <c r="G143" s="92"/>
      <c r="H143" s="91"/>
      <c r="I143" s="91"/>
      <c r="J143" s="91"/>
      <c r="K143" s="91"/>
      <c r="L143" s="91"/>
      <c r="M143" s="91"/>
      <c r="N143" s="91"/>
      <c r="O143" s="91"/>
      <c r="P143" s="91"/>
      <c r="Q143" s="91"/>
      <c r="R143" s="91"/>
      <c r="S143" s="91"/>
    </row>
    <row r="144" spans="1:19" ht="15.75" customHeight="1" x14ac:dyDescent="0.25">
      <c r="A144" s="92"/>
      <c r="B144" s="93"/>
      <c r="C144" s="92"/>
      <c r="D144" s="92"/>
      <c r="E144" s="92"/>
      <c r="F144" s="92"/>
      <c r="G144" s="92"/>
      <c r="H144" s="91"/>
      <c r="I144" s="91"/>
      <c r="J144" s="91"/>
      <c r="K144" s="91"/>
      <c r="L144" s="91"/>
      <c r="M144" s="91"/>
      <c r="N144" s="91"/>
      <c r="O144" s="91"/>
      <c r="P144" s="91"/>
      <c r="Q144" s="91"/>
      <c r="R144" s="91"/>
      <c r="S144" s="91"/>
    </row>
    <row r="145" spans="1:19" ht="15.75" customHeight="1" x14ac:dyDescent="0.25">
      <c r="A145" s="92"/>
      <c r="B145" s="93"/>
      <c r="C145" s="92"/>
      <c r="D145" s="92"/>
      <c r="E145" s="92"/>
      <c r="F145" s="92"/>
      <c r="G145" s="92"/>
      <c r="H145" s="91"/>
      <c r="I145" s="91"/>
      <c r="J145" s="91"/>
      <c r="K145" s="91"/>
      <c r="L145" s="91"/>
      <c r="M145" s="91"/>
      <c r="N145" s="91"/>
      <c r="O145" s="91"/>
      <c r="P145" s="91"/>
      <c r="Q145" s="91"/>
      <c r="R145" s="91"/>
      <c r="S145" s="91"/>
    </row>
    <row r="146" spans="1:19" ht="15.75" customHeight="1" x14ac:dyDescent="0.25">
      <c r="A146" s="92"/>
      <c r="B146" s="93"/>
      <c r="C146" s="92"/>
      <c r="D146" s="92"/>
      <c r="E146" s="92"/>
      <c r="F146" s="92"/>
      <c r="G146" s="92"/>
      <c r="H146" s="91"/>
      <c r="I146" s="91"/>
      <c r="J146" s="91"/>
      <c r="K146" s="91"/>
      <c r="L146" s="91"/>
      <c r="M146" s="91"/>
      <c r="N146" s="91"/>
      <c r="O146" s="91"/>
      <c r="P146" s="91"/>
      <c r="Q146" s="91"/>
      <c r="R146" s="91"/>
      <c r="S146" s="91"/>
    </row>
    <row r="147" spans="1:19" ht="15.75" customHeight="1" x14ac:dyDescent="0.25">
      <c r="A147" s="92"/>
      <c r="B147" s="93"/>
      <c r="C147" s="92"/>
      <c r="D147" s="92"/>
      <c r="E147" s="92"/>
      <c r="F147" s="92"/>
      <c r="G147" s="92"/>
      <c r="H147" s="91"/>
      <c r="I147" s="91"/>
      <c r="J147" s="91"/>
      <c r="K147" s="91"/>
      <c r="L147" s="91"/>
      <c r="M147" s="91"/>
      <c r="N147" s="91"/>
      <c r="O147" s="91"/>
      <c r="P147" s="91"/>
      <c r="Q147" s="91"/>
      <c r="R147" s="91"/>
      <c r="S147" s="91"/>
    </row>
    <row r="148" spans="1:19" ht="15.75" customHeight="1" x14ac:dyDescent="0.25">
      <c r="A148" s="92"/>
      <c r="B148" s="93"/>
      <c r="C148" s="92"/>
      <c r="D148" s="92"/>
      <c r="E148" s="92"/>
      <c r="F148" s="92"/>
      <c r="G148" s="92"/>
      <c r="H148" s="91"/>
      <c r="I148" s="91"/>
      <c r="J148" s="91"/>
      <c r="K148" s="91"/>
      <c r="L148" s="91"/>
      <c r="M148" s="91"/>
      <c r="N148" s="91"/>
      <c r="O148" s="91"/>
      <c r="P148" s="91"/>
      <c r="Q148" s="91"/>
      <c r="R148" s="91"/>
      <c r="S148" s="91"/>
    </row>
    <row r="149" spans="1:19" ht="15.75" customHeight="1" x14ac:dyDescent="0.25">
      <c r="A149" s="92"/>
      <c r="B149" s="93"/>
      <c r="C149" s="92"/>
      <c r="D149" s="92"/>
      <c r="E149" s="92"/>
      <c r="F149" s="92"/>
      <c r="G149" s="92"/>
      <c r="H149" s="91"/>
      <c r="I149" s="91"/>
      <c r="J149" s="91"/>
      <c r="K149" s="91"/>
      <c r="L149" s="91"/>
      <c r="M149" s="91"/>
      <c r="N149" s="91"/>
      <c r="O149" s="91"/>
      <c r="P149" s="91"/>
      <c r="Q149" s="91"/>
      <c r="R149" s="91"/>
      <c r="S149" s="91"/>
    </row>
    <row r="150" spans="1:19" ht="15.75" customHeight="1" x14ac:dyDescent="0.25">
      <c r="A150" s="92"/>
      <c r="B150" s="93"/>
      <c r="C150" s="92"/>
      <c r="D150" s="92"/>
      <c r="E150" s="92"/>
      <c r="F150" s="92"/>
      <c r="G150" s="92"/>
      <c r="H150" s="91"/>
      <c r="I150" s="91"/>
      <c r="J150" s="91"/>
      <c r="K150" s="91"/>
      <c r="L150" s="91"/>
      <c r="M150" s="91"/>
      <c r="N150" s="91"/>
      <c r="O150" s="91"/>
      <c r="P150" s="91"/>
      <c r="Q150" s="91"/>
      <c r="R150" s="91"/>
      <c r="S150" s="91"/>
    </row>
    <row r="151" spans="1:19" ht="15.75" customHeight="1" x14ac:dyDescent="0.25">
      <c r="A151" s="92"/>
      <c r="B151" s="93"/>
      <c r="C151" s="92"/>
      <c r="D151" s="92"/>
      <c r="E151" s="92"/>
      <c r="F151" s="92"/>
      <c r="G151" s="92"/>
      <c r="H151" s="91"/>
      <c r="I151" s="91"/>
      <c r="J151" s="91"/>
      <c r="K151" s="91"/>
      <c r="L151" s="91"/>
      <c r="M151" s="91"/>
      <c r="N151" s="91"/>
      <c r="O151" s="91"/>
      <c r="P151" s="91"/>
      <c r="Q151" s="91"/>
      <c r="R151" s="91"/>
      <c r="S151" s="91"/>
    </row>
    <row r="152" spans="1:19" ht="15.75" customHeight="1" x14ac:dyDescent="0.25">
      <c r="A152" s="92"/>
      <c r="B152" s="93"/>
      <c r="C152" s="92"/>
      <c r="D152" s="92"/>
      <c r="E152" s="92"/>
      <c r="F152" s="92"/>
      <c r="G152" s="92"/>
      <c r="H152" s="91"/>
      <c r="I152" s="91"/>
      <c r="J152" s="91"/>
      <c r="K152" s="91"/>
      <c r="L152" s="91"/>
      <c r="M152" s="91"/>
      <c r="N152" s="91"/>
      <c r="O152" s="91"/>
      <c r="P152" s="91"/>
      <c r="Q152" s="91"/>
      <c r="R152" s="91"/>
      <c r="S152" s="91"/>
    </row>
    <row r="153" spans="1:19" ht="15.75" customHeight="1" x14ac:dyDescent="0.25">
      <c r="A153" s="92"/>
      <c r="B153" s="93"/>
      <c r="C153" s="92"/>
      <c r="D153" s="92"/>
      <c r="E153" s="92"/>
      <c r="F153" s="92"/>
      <c r="G153" s="92"/>
      <c r="H153" s="91"/>
      <c r="I153" s="91"/>
      <c r="J153" s="91"/>
      <c r="K153" s="91"/>
      <c r="L153" s="91"/>
      <c r="M153" s="91"/>
      <c r="N153" s="91"/>
      <c r="O153" s="91"/>
      <c r="P153" s="91"/>
      <c r="Q153" s="91"/>
      <c r="R153" s="91"/>
      <c r="S153" s="91"/>
    </row>
    <row r="154" spans="1:19" ht="15.75" customHeight="1" x14ac:dyDescent="0.25">
      <c r="A154" s="92"/>
      <c r="B154" s="93"/>
      <c r="C154" s="92"/>
      <c r="D154" s="92"/>
      <c r="E154" s="92"/>
      <c r="F154" s="92"/>
      <c r="G154" s="92"/>
      <c r="H154" s="91"/>
      <c r="I154" s="91"/>
      <c r="J154" s="91"/>
      <c r="K154" s="91"/>
      <c r="L154" s="91"/>
      <c r="M154" s="91"/>
      <c r="N154" s="91"/>
      <c r="O154" s="91"/>
      <c r="P154" s="91"/>
      <c r="Q154" s="91"/>
      <c r="R154" s="91"/>
      <c r="S154" s="91"/>
    </row>
    <row r="155" spans="1:19" ht="15.75" customHeight="1" x14ac:dyDescent="0.25">
      <c r="A155" s="92"/>
      <c r="B155" s="93"/>
      <c r="C155" s="92"/>
      <c r="D155" s="92"/>
      <c r="E155" s="92"/>
      <c r="F155" s="92"/>
      <c r="G155" s="92"/>
      <c r="H155" s="91"/>
      <c r="I155" s="91"/>
      <c r="J155" s="91"/>
      <c r="K155" s="91"/>
      <c r="L155" s="91"/>
      <c r="M155" s="91"/>
      <c r="N155" s="91"/>
      <c r="O155" s="91"/>
      <c r="P155" s="91"/>
      <c r="Q155" s="91"/>
      <c r="R155" s="91"/>
      <c r="S155" s="91"/>
    </row>
    <row r="156" spans="1:19" ht="15.75" customHeight="1" x14ac:dyDescent="0.25">
      <c r="A156" s="92"/>
      <c r="B156" s="93"/>
      <c r="C156" s="92"/>
      <c r="D156" s="92"/>
      <c r="E156" s="92"/>
      <c r="F156" s="92"/>
      <c r="G156" s="92"/>
      <c r="H156" s="91"/>
      <c r="I156" s="91"/>
      <c r="J156" s="91"/>
      <c r="K156" s="91"/>
      <c r="L156" s="91"/>
      <c r="M156" s="91"/>
      <c r="N156" s="91"/>
      <c r="O156" s="91"/>
      <c r="P156" s="91"/>
      <c r="Q156" s="91"/>
      <c r="R156" s="91"/>
      <c r="S156" s="91"/>
    </row>
    <row r="157" spans="1:19" ht="15.75" customHeight="1" x14ac:dyDescent="0.25">
      <c r="A157" s="92"/>
      <c r="B157" s="93"/>
      <c r="C157" s="92"/>
      <c r="D157" s="92"/>
      <c r="E157" s="92"/>
      <c r="F157" s="92"/>
      <c r="G157" s="92"/>
      <c r="H157" s="91"/>
      <c r="I157" s="91"/>
      <c r="J157" s="91"/>
      <c r="K157" s="91"/>
      <c r="L157" s="91"/>
      <c r="M157" s="91"/>
      <c r="N157" s="91"/>
      <c r="O157" s="91"/>
      <c r="P157" s="91"/>
      <c r="Q157" s="91"/>
      <c r="R157" s="91"/>
      <c r="S157" s="91"/>
    </row>
    <row r="158" spans="1:19" ht="15.75" customHeight="1" x14ac:dyDescent="0.25">
      <c r="A158" s="92"/>
      <c r="B158" s="93"/>
      <c r="C158" s="92"/>
      <c r="D158" s="92"/>
      <c r="E158" s="92"/>
      <c r="F158" s="92"/>
      <c r="G158" s="92"/>
      <c r="H158" s="91"/>
      <c r="I158" s="91"/>
      <c r="J158" s="91"/>
      <c r="K158" s="91"/>
      <c r="L158" s="91"/>
      <c r="M158" s="91"/>
      <c r="N158" s="91"/>
      <c r="O158" s="91"/>
      <c r="P158" s="91"/>
      <c r="Q158" s="91"/>
      <c r="R158" s="91"/>
      <c r="S158" s="91"/>
    </row>
    <row r="159" spans="1:19" ht="15.75" customHeight="1" x14ac:dyDescent="0.25">
      <c r="A159" s="92"/>
      <c r="B159" s="93"/>
      <c r="C159" s="92"/>
      <c r="D159" s="92"/>
      <c r="E159" s="92"/>
      <c r="F159" s="92"/>
      <c r="G159" s="92"/>
      <c r="H159" s="91"/>
      <c r="I159" s="91"/>
      <c r="J159" s="91"/>
      <c r="K159" s="91"/>
      <c r="L159" s="91"/>
      <c r="M159" s="91"/>
      <c r="N159" s="91"/>
      <c r="O159" s="91"/>
      <c r="P159" s="91"/>
      <c r="Q159" s="91"/>
      <c r="R159" s="91"/>
      <c r="S159" s="91"/>
    </row>
    <row r="160" spans="1:19" ht="15.75" customHeight="1" x14ac:dyDescent="0.25">
      <c r="A160" s="92"/>
      <c r="B160" s="93"/>
      <c r="C160" s="92"/>
      <c r="D160" s="92"/>
      <c r="E160" s="92"/>
      <c r="F160" s="92"/>
      <c r="G160" s="92"/>
      <c r="H160" s="91"/>
      <c r="I160" s="91"/>
      <c r="J160" s="91"/>
      <c r="K160" s="91"/>
      <c r="L160" s="91"/>
      <c r="M160" s="91"/>
      <c r="N160" s="91"/>
      <c r="O160" s="91"/>
      <c r="P160" s="91"/>
      <c r="Q160" s="91"/>
      <c r="R160" s="91"/>
      <c r="S160" s="91"/>
    </row>
    <row r="161" spans="1:19" ht="15.75" customHeight="1" x14ac:dyDescent="0.25">
      <c r="A161" s="92"/>
      <c r="B161" s="93"/>
      <c r="C161" s="92"/>
      <c r="D161" s="92"/>
      <c r="E161" s="92"/>
      <c r="F161" s="92"/>
      <c r="G161" s="92"/>
      <c r="H161" s="91"/>
      <c r="I161" s="91"/>
      <c r="J161" s="91"/>
      <c r="K161" s="91"/>
      <c r="L161" s="91"/>
      <c r="M161" s="91"/>
      <c r="N161" s="91"/>
      <c r="O161" s="91"/>
      <c r="P161" s="91"/>
      <c r="Q161" s="91"/>
      <c r="R161" s="91"/>
      <c r="S161" s="91"/>
    </row>
    <row r="162" spans="1:19" ht="15.75" customHeight="1" x14ac:dyDescent="0.25">
      <c r="A162" s="92"/>
      <c r="B162" s="93"/>
      <c r="C162" s="92"/>
      <c r="D162" s="92"/>
      <c r="E162" s="92"/>
      <c r="F162" s="92"/>
      <c r="G162" s="92"/>
      <c r="H162" s="91"/>
      <c r="I162" s="91"/>
      <c r="J162" s="91"/>
      <c r="K162" s="91"/>
      <c r="L162" s="91"/>
      <c r="M162" s="91"/>
      <c r="N162" s="91"/>
      <c r="O162" s="91"/>
      <c r="P162" s="91"/>
      <c r="Q162" s="91"/>
      <c r="R162" s="91"/>
      <c r="S162" s="91"/>
    </row>
    <row r="163" spans="1:19" ht="15.75" customHeight="1" x14ac:dyDescent="0.25">
      <c r="A163" s="92"/>
      <c r="B163" s="93"/>
      <c r="C163" s="92"/>
      <c r="D163" s="92"/>
      <c r="E163" s="92"/>
      <c r="F163" s="92"/>
      <c r="G163" s="92"/>
      <c r="H163" s="91"/>
      <c r="I163" s="91"/>
      <c r="J163" s="91"/>
      <c r="K163" s="91"/>
      <c r="L163" s="91"/>
      <c r="M163" s="91"/>
      <c r="N163" s="91"/>
      <c r="O163" s="91"/>
      <c r="P163" s="91"/>
      <c r="Q163" s="91"/>
      <c r="R163" s="91"/>
      <c r="S163" s="91"/>
    </row>
    <row r="164" spans="1:19" ht="15.75" customHeight="1" x14ac:dyDescent="0.25">
      <c r="A164" s="92"/>
      <c r="B164" s="93"/>
      <c r="C164" s="92"/>
      <c r="D164" s="92"/>
      <c r="E164" s="92"/>
      <c r="F164" s="92"/>
      <c r="G164" s="92"/>
      <c r="H164" s="91"/>
      <c r="I164" s="91"/>
      <c r="J164" s="91"/>
      <c r="K164" s="91"/>
      <c r="L164" s="91"/>
      <c r="M164" s="91"/>
      <c r="N164" s="91"/>
      <c r="O164" s="91"/>
      <c r="P164" s="91"/>
      <c r="Q164" s="91"/>
      <c r="R164" s="91"/>
      <c r="S164" s="91"/>
    </row>
    <row r="165" spans="1:19" ht="15.75" customHeight="1" x14ac:dyDescent="0.25">
      <c r="A165" s="92"/>
      <c r="B165" s="93"/>
      <c r="C165" s="92"/>
      <c r="D165" s="92"/>
      <c r="E165" s="92"/>
      <c r="F165" s="92"/>
      <c r="G165" s="92"/>
      <c r="H165" s="91"/>
      <c r="I165" s="91"/>
      <c r="J165" s="91"/>
      <c r="K165" s="91"/>
      <c r="L165" s="91"/>
      <c r="M165" s="91"/>
      <c r="N165" s="91"/>
      <c r="O165" s="91"/>
      <c r="P165" s="91"/>
      <c r="Q165" s="91"/>
      <c r="R165" s="91"/>
      <c r="S165" s="91"/>
    </row>
    <row r="166" spans="1:19" ht="15.75" customHeight="1" x14ac:dyDescent="0.25">
      <c r="A166" s="92"/>
      <c r="B166" s="93"/>
      <c r="C166" s="92"/>
      <c r="D166" s="92"/>
      <c r="E166" s="92"/>
      <c r="F166" s="92"/>
      <c r="G166" s="92"/>
      <c r="H166" s="91"/>
      <c r="I166" s="91"/>
      <c r="J166" s="91"/>
      <c r="K166" s="91"/>
      <c r="L166" s="91"/>
      <c r="M166" s="91"/>
      <c r="N166" s="91"/>
      <c r="O166" s="91"/>
      <c r="P166" s="91"/>
      <c r="Q166" s="91"/>
      <c r="R166" s="91"/>
      <c r="S166" s="91"/>
    </row>
    <row r="167" spans="1:19" ht="15.75" customHeight="1" x14ac:dyDescent="0.25">
      <c r="A167" s="92"/>
      <c r="B167" s="93"/>
      <c r="C167" s="92"/>
      <c r="D167" s="92"/>
      <c r="E167" s="92"/>
      <c r="F167" s="92"/>
      <c r="G167" s="92"/>
      <c r="H167" s="91"/>
      <c r="I167" s="91"/>
      <c r="J167" s="91"/>
      <c r="K167" s="91"/>
      <c r="L167" s="91"/>
      <c r="M167" s="91"/>
      <c r="N167" s="91"/>
      <c r="O167" s="91"/>
      <c r="P167" s="91"/>
      <c r="Q167" s="91"/>
      <c r="R167" s="91"/>
      <c r="S167" s="91"/>
    </row>
    <row r="168" spans="1:19" ht="15.75" customHeight="1" x14ac:dyDescent="0.25">
      <c r="A168" s="92"/>
      <c r="B168" s="93"/>
      <c r="C168" s="92"/>
      <c r="D168" s="92"/>
      <c r="E168" s="92"/>
      <c r="F168" s="92"/>
      <c r="G168" s="92"/>
      <c r="H168" s="91"/>
      <c r="I168" s="91"/>
      <c r="J168" s="91"/>
      <c r="K168" s="91"/>
      <c r="L168" s="91"/>
      <c r="M168" s="91"/>
      <c r="N168" s="91"/>
      <c r="O168" s="91"/>
      <c r="P168" s="91"/>
      <c r="Q168" s="91"/>
      <c r="R168" s="91"/>
      <c r="S168" s="91"/>
    </row>
    <row r="169" spans="1:19" ht="15.75" customHeight="1" x14ac:dyDescent="0.25">
      <c r="A169" s="92"/>
      <c r="B169" s="93"/>
      <c r="C169" s="92"/>
      <c r="D169" s="92"/>
      <c r="E169" s="92"/>
      <c r="F169" s="92"/>
      <c r="G169" s="92"/>
      <c r="H169" s="91"/>
      <c r="I169" s="91"/>
      <c r="J169" s="91"/>
      <c r="K169" s="91"/>
      <c r="L169" s="91"/>
      <c r="M169" s="91"/>
      <c r="N169" s="91"/>
      <c r="O169" s="91"/>
      <c r="P169" s="91"/>
      <c r="Q169" s="91"/>
      <c r="R169" s="91"/>
      <c r="S169" s="91"/>
    </row>
    <row r="170" spans="1:19" ht="15.75" customHeight="1" x14ac:dyDescent="0.25">
      <c r="A170" s="92"/>
      <c r="B170" s="93"/>
      <c r="C170" s="92"/>
      <c r="D170" s="92"/>
      <c r="E170" s="92"/>
      <c r="F170" s="92"/>
      <c r="G170" s="92"/>
      <c r="H170" s="91"/>
      <c r="I170" s="91"/>
      <c r="J170" s="91"/>
      <c r="K170" s="91"/>
      <c r="L170" s="91"/>
      <c r="M170" s="91"/>
      <c r="N170" s="91"/>
      <c r="O170" s="91"/>
      <c r="P170" s="91"/>
      <c r="Q170" s="91"/>
      <c r="R170" s="91"/>
      <c r="S170" s="91"/>
    </row>
    <row r="171" spans="1:19" ht="15.75" customHeight="1" x14ac:dyDescent="0.25">
      <c r="A171" s="92"/>
      <c r="B171" s="93"/>
      <c r="C171" s="92"/>
      <c r="D171" s="92"/>
      <c r="E171" s="92"/>
      <c r="F171" s="92"/>
      <c r="G171" s="92"/>
      <c r="H171" s="91"/>
      <c r="I171" s="91"/>
      <c r="J171" s="91"/>
      <c r="K171" s="91"/>
      <c r="L171" s="91"/>
      <c r="M171" s="91"/>
      <c r="N171" s="91"/>
      <c r="O171" s="91"/>
      <c r="P171" s="91"/>
      <c r="Q171" s="91"/>
      <c r="R171" s="91"/>
      <c r="S171" s="91"/>
    </row>
    <row r="172" spans="1:19" ht="15.75" customHeight="1" x14ac:dyDescent="0.25">
      <c r="A172" s="92"/>
      <c r="B172" s="93"/>
      <c r="C172" s="92"/>
      <c r="D172" s="92"/>
      <c r="E172" s="92"/>
      <c r="F172" s="92"/>
      <c r="G172" s="92"/>
      <c r="H172" s="91"/>
      <c r="I172" s="91"/>
      <c r="J172" s="91"/>
      <c r="K172" s="91"/>
      <c r="L172" s="91"/>
      <c r="M172" s="91"/>
      <c r="N172" s="91"/>
      <c r="O172" s="91"/>
      <c r="P172" s="91"/>
      <c r="Q172" s="91"/>
      <c r="R172" s="91"/>
      <c r="S172" s="91"/>
    </row>
    <row r="173" spans="1:19" ht="15.75" customHeight="1" x14ac:dyDescent="0.25">
      <c r="A173" s="92"/>
      <c r="B173" s="93"/>
      <c r="C173" s="92"/>
      <c r="D173" s="92"/>
      <c r="E173" s="92"/>
      <c r="F173" s="92"/>
      <c r="G173" s="92"/>
      <c r="H173" s="91"/>
      <c r="I173" s="91"/>
      <c r="J173" s="91"/>
      <c r="K173" s="91"/>
      <c r="L173" s="91"/>
      <c r="M173" s="91"/>
      <c r="N173" s="91"/>
      <c r="O173" s="91"/>
      <c r="P173" s="91"/>
      <c r="Q173" s="91"/>
      <c r="R173" s="91"/>
      <c r="S173" s="91"/>
    </row>
    <row r="174" spans="1:19" ht="15.75" customHeight="1" x14ac:dyDescent="0.25">
      <c r="A174" s="92"/>
      <c r="B174" s="93"/>
      <c r="C174" s="92"/>
      <c r="D174" s="92"/>
      <c r="E174" s="92"/>
      <c r="F174" s="92"/>
      <c r="G174" s="92"/>
      <c r="H174" s="91"/>
      <c r="I174" s="91"/>
      <c r="J174" s="91"/>
      <c r="K174" s="91"/>
      <c r="L174" s="91"/>
      <c r="M174" s="91"/>
      <c r="N174" s="91"/>
      <c r="O174" s="91"/>
      <c r="P174" s="91"/>
      <c r="Q174" s="91"/>
      <c r="R174" s="91"/>
      <c r="S174" s="91"/>
    </row>
    <row r="175" spans="1:19" ht="15.75" customHeight="1" x14ac:dyDescent="0.25">
      <c r="A175" s="92"/>
      <c r="B175" s="93"/>
      <c r="C175" s="92"/>
      <c r="D175" s="92"/>
      <c r="E175" s="92"/>
      <c r="F175" s="92"/>
      <c r="G175" s="92"/>
      <c r="H175" s="91"/>
      <c r="I175" s="91"/>
      <c r="J175" s="91"/>
      <c r="K175" s="91"/>
      <c r="L175" s="91"/>
      <c r="M175" s="91"/>
      <c r="N175" s="91"/>
      <c r="O175" s="91"/>
      <c r="P175" s="91"/>
      <c r="Q175" s="91"/>
      <c r="R175" s="91"/>
      <c r="S175" s="91"/>
    </row>
    <row r="176" spans="1:19" ht="15.75" customHeight="1" x14ac:dyDescent="0.25">
      <c r="A176" s="92"/>
      <c r="B176" s="93"/>
      <c r="C176" s="92"/>
      <c r="D176" s="92"/>
      <c r="E176" s="92"/>
      <c r="F176" s="92"/>
      <c r="G176" s="92"/>
      <c r="H176" s="91"/>
      <c r="I176" s="91"/>
      <c r="J176" s="91"/>
      <c r="K176" s="91"/>
      <c r="L176" s="91"/>
      <c r="M176" s="91"/>
      <c r="N176" s="91"/>
      <c r="O176" s="91"/>
      <c r="P176" s="91"/>
      <c r="Q176" s="91"/>
      <c r="R176" s="91"/>
      <c r="S176" s="91"/>
    </row>
    <row r="177" spans="1:19" ht="15.75" customHeight="1" x14ac:dyDescent="0.25">
      <c r="A177" s="92"/>
      <c r="B177" s="93"/>
      <c r="C177" s="92"/>
      <c r="D177" s="92"/>
      <c r="E177" s="92"/>
      <c r="F177" s="92"/>
      <c r="G177" s="92"/>
      <c r="H177" s="91"/>
      <c r="I177" s="91"/>
      <c r="J177" s="91"/>
      <c r="K177" s="91"/>
      <c r="L177" s="91"/>
      <c r="M177" s="91"/>
      <c r="N177" s="91"/>
      <c r="O177" s="91"/>
      <c r="P177" s="91"/>
      <c r="Q177" s="91"/>
      <c r="R177" s="91"/>
      <c r="S177" s="91"/>
    </row>
    <row r="178" spans="1:19" ht="15.75" customHeight="1" x14ac:dyDescent="0.25">
      <c r="A178" s="92"/>
      <c r="B178" s="93"/>
      <c r="C178" s="92"/>
      <c r="D178" s="92"/>
      <c r="E178" s="92"/>
      <c r="F178" s="92"/>
      <c r="G178" s="92"/>
      <c r="H178" s="91"/>
      <c r="I178" s="91"/>
      <c r="J178" s="91"/>
      <c r="K178" s="91"/>
      <c r="L178" s="91"/>
      <c r="M178" s="91"/>
      <c r="N178" s="91"/>
      <c r="O178" s="91"/>
      <c r="P178" s="91"/>
      <c r="Q178" s="91"/>
      <c r="R178" s="91"/>
      <c r="S178" s="91"/>
    </row>
    <row r="179" spans="1:19" ht="15.75" customHeight="1" x14ac:dyDescent="0.25">
      <c r="A179" s="92"/>
      <c r="B179" s="93"/>
      <c r="C179" s="92"/>
      <c r="D179" s="92"/>
      <c r="E179" s="92"/>
      <c r="F179" s="92"/>
      <c r="G179" s="92"/>
      <c r="H179" s="91"/>
      <c r="I179" s="91"/>
      <c r="J179" s="91"/>
      <c r="K179" s="91"/>
      <c r="L179" s="91"/>
      <c r="M179" s="91"/>
      <c r="N179" s="91"/>
      <c r="O179" s="91"/>
      <c r="P179" s="91"/>
      <c r="Q179" s="91"/>
      <c r="R179" s="91"/>
      <c r="S179" s="91"/>
    </row>
    <row r="180" spans="1:19" ht="15.75" customHeight="1" x14ac:dyDescent="0.25">
      <c r="A180" s="92"/>
      <c r="B180" s="93"/>
      <c r="C180" s="92"/>
      <c r="D180" s="92"/>
      <c r="E180" s="92"/>
      <c r="F180" s="92"/>
      <c r="G180" s="92"/>
      <c r="H180" s="91"/>
      <c r="I180" s="91"/>
      <c r="J180" s="91"/>
      <c r="K180" s="91"/>
      <c r="L180" s="91"/>
      <c r="M180" s="91"/>
      <c r="N180" s="91"/>
      <c r="O180" s="91"/>
      <c r="P180" s="91"/>
      <c r="Q180" s="91"/>
      <c r="R180" s="91"/>
      <c r="S180" s="91"/>
    </row>
    <row r="181" spans="1:19" ht="15.75" customHeight="1" x14ac:dyDescent="0.25">
      <c r="A181" s="92"/>
      <c r="B181" s="93"/>
      <c r="C181" s="92"/>
      <c r="D181" s="92"/>
      <c r="E181" s="92"/>
      <c r="F181" s="92"/>
      <c r="G181" s="92"/>
      <c r="H181" s="91"/>
      <c r="I181" s="91"/>
      <c r="J181" s="91"/>
      <c r="K181" s="91"/>
      <c r="L181" s="91"/>
      <c r="M181" s="91"/>
      <c r="N181" s="91"/>
      <c r="O181" s="91"/>
      <c r="P181" s="91"/>
      <c r="Q181" s="91"/>
      <c r="R181" s="91"/>
      <c r="S181" s="91"/>
    </row>
    <row r="182" spans="1:19" ht="15.75" customHeight="1" x14ac:dyDescent="0.25">
      <c r="A182" s="92"/>
      <c r="B182" s="93"/>
      <c r="C182" s="92"/>
      <c r="D182" s="92"/>
      <c r="E182" s="92"/>
      <c r="F182" s="92"/>
      <c r="G182" s="92"/>
      <c r="H182" s="91"/>
      <c r="I182" s="91"/>
      <c r="J182" s="91"/>
      <c r="K182" s="91"/>
      <c r="L182" s="91"/>
      <c r="M182" s="91"/>
      <c r="N182" s="91"/>
      <c r="O182" s="91"/>
      <c r="P182" s="91"/>
      <c r="Q182" s="91"/>
      <c r="R182" s="91"/>
      <c r="S182" s="91"/>
    </row>
    <row r="183" spans="1:19" ht="15.75" customHeight="1" x14ac:dyDescent="0.25">
      <c r="A183" s="92"/>
      <c r="B183" s="93"/>
      <c r="C183" s="92"/>
      <c r="D183" s="92"/>
      <c r="E183" s="92"/>
      <c r="F183" s="92"/>
      <c r="G183" s="92"/>
      <c r="H183" s="91"/>
      <c r="I183" s="91"/>
      <c r="J183" s="91"/>
      <c r="K183" s="91"/>
      <c r="L183" s="91"/>
      <c r="M183" s="91"/>
      <c r="N183" s="91"/>
      <c r="O183" s="91"/>
      <c r="P183" s="91"/>
      <c r="Q183" s="91"/>
      <c r="R183" s="91"/>
      <c r="S183" s="91"/>
    </row>
    <row r="184" spans="1:19" ht="15.75" customHeight="1" x14ac:dyDescent="0.25">
      <c r="A184" s="92"/>
      <c r="B184" s="93"/>
      <c r="C184" s="92"/>
      <c r="D184" s="92"/>
      <c r="E184" s="92"/>
      <c r="F184" s="92"/>
      <c r="G184" s="92"/>
      <c r="H184" s="91"/>
      <c r="I184" s="91"/>
      <c r="J184" s="91"/>
      <c r="K184" s="91"/>
      <c r="L184" s="91"/>
      <c r="M184" s="91"/>
      <c r="N184" s="91"/>
      <c r="O184" s="91"/>
      <c r="P184" s="91"/>
      <c r="Q184" s="91"/>
      <c r="R184" s="91"/>
      <c r="S184" s="91"/>
    </row>
    <row r="185" spans="1:19" ht="15.75" customHeight="1" x14ac:dyDescent="0.25">
      <c r="A185" s="92"/>
      <c r="B185" s="93"/>
      <c r="C185" s="92"/>
      <c r="D185" s="92"/>
      <c r="E185" s="92"/>
      <c r="F185" s="92"/>
      <c r="G185" s="92"/>
      <c r="H185" s="91"/>
      <c r="I185" s="91"/>
      <c r="J185" s="91"/>
      <c r="K185" s="91"/>
      <c r="L185" s="91"/>
      <c r="M185" s="91"/>
      <c r="N185" s="91"/>
      <c r="O185" s="91"/>
      <c r="P185" s="91"/>
      <c r="Q185" s="91"/>
      <c r="R185" s="91"/>
      <c r="S185" s="91"/>
    </row>
    <row r="186" spans="1:19" ht="15.75" customHeight="1" x14ac:dyDescent="0.25">
      <c r="A186" s="92"/>
      <c r="B186" s="93"/>
      <c r="C186" s="92"/>
      <c r="D186" s="92"/>
      <c r="E186" s="92"/>
      <c r="F186" s="92"/>
      <c r="G186" s="92"/>
      <c r="H186" s="91"/>
      <c r="I186" s="91"/>
      <c r="J186" s="91"/>
      <c r="K186" s="91"/>
      <c r="L186" s="91"/>
      <c r="M186" s="91"/>
      <c r="N186" s="91"/>
      <c r="O186" s="91"/>
      <c r="P186" s="91"/>
      <c r="Q186" s="91"/>
      <c r="R186" s="91"/>
      <c r="S186" s="91"/>
    </row>
    <row r="187" spans="1:19" ht="15.75" customHeight="1" x14ac:dyDescent="0.25">
      <c r="A187" s="92"/>
      <c r="B187" s="93"/>
      <c r="C187" s="92"/>
      <c r="D187" s="92"/>
      <c r="E187" s="92"/>
      <c r="F187" s="92"/>
      <c r="G187" s="92"/>
      <c r="H187" s="91"/>
      <c r="I187" s="91"/>
      <c r="J187" s="91"/>
      <c r="K187" s="91"/>
      <c r="L187" s="91"/>
      <c r="M187" s="91"/>
      <c r="N187" s="91"/>
      <c r="O187" s="91"/>
      <c r="P187" s="91"/>
      <c r="Q187" s="91"/>
      <c r="R187" s="91"/>
      <c r="S187" s="91"/>
    </row>
    <row r="188" spans="1:19" ht="15.75" customHeight="1" x14ac:dyDescent="0.25">
      <c r="A188" s="92"/>
      <c r="B188" s="93"/>
      <c r="C188" s="92"/>
      <c r="D188" s="92"/>
      <c r="E188" s="92"/>
      <c r="F188" s="92"/>
      <c r="G188" s="92"/>
      <c r="H188" s="91"/>
      <c r="I188" s="91"/>
      <c r="J188" s="91"/>
      <c r="K188" s="91"/>
      <c r="L188" s="91"/>
      <c r="M188" s="91"/>
      <c r="N188" s="91"/>
      <c r="O188" s="91"/>
      <c r="P188" s="91"/>
      <c r="Q188" s="91"/>
      <c r="R188" s="91"/>
      <c r="S188" s="91"/>
    </row>
    <row r="189" spans="1:19" ht="15.75" customHeight="1" x14ac:dyDescent="0.25">
      <c r="A189" s="92"/>
      <c r="B189" s="93"/>
      <c r="C189" s="92"/>
      <c r="D189" s="92"/>
      <c r="E189" s="92"/>
      <c r="F189" s="92"/>
      <c r="G189" s="92"/>
      <c r="H189" s="91"/>
      <c r="I189" s="91"/>
      <c r="J189" s="91"/>
      <c r="K189" s="91"/>
      <c r="L189" s="91"/>
      <c r="M189" s="91"/>
      <c r="N189" s="91"/>
      <c r="O189" s="91"/>
      <c r="P189" s="91"/>
      <c r="Q189" s="91"/>
      <c r="R189" s="91"/>
      <c r="S189" s="91"/>
    </row>
    <row r="190" spans="1:19" ht="15.75" customHeight="1" x14ac:dyDescent="0.25">
      <c r="A190" s="92"/>
      <c r="B190" s="93"/>
      <c r="C190" s="92"/>
      <c r="D190" s="92"/>
      <c r="E190" s="92"/>
      <c r="F190" s="92"/>
      <c r="G190" s="92"/>
      <c r="H190" s="91"/>
      <c r="I190" s="91"/>
      <c r="J190" s="91"/>
      <c r="K190" s="91"/>
      <c r="L190" s="91"/>
      <c r="M190" s="91"/>
      <c r="N190" s="91"/>
      <c r="O190" s="91"/>
      <c r="P190" s="91"/>
      <c r="Q190" s="91"/>
      <c r="R190" s="91"/>
      <c r="S190" s="91"/>
    </row>
    <row r="191" spans="1:19" ht="15.75" customHeight="1" x14ac:dyDescent="0.25">
      <c r="A191" s="92"/>
      <c r="B191" s="93"/>
      <c r="C191" s="92"/>
      <c r="D191" s="92"/>
      <c r="E191" s="92"/>
      <c r="F191" s="92"/>
      <c r="G191" s="92"/>
      <c r="H191" s="91"/>
      <c r="I191" s="91"/>
      <c r="J191" s="91"/>
      <c r="K191" s="91"/>
      <c r="L191" s="91"/>
      <c r="M191" s="91"/>
      <c r="N191" s="91"/>
      <c r="O191" s="91"/>
      <c r="P191" s="91"/>
      <c r="Q191" s="91"/>
      <c r="R191" s="91"/>
      <c r="S191" s="91"/>
    </row>
    <row r="192" spans="1:19" ht="15.75" customHeight="1" x14ac:dyDescent="0.25">
      <c r="A192" s="92"/>
      <c r="B192" s="93"/>
      <c r="C192" s="92"/>
      <c r="D192" s="92"/>
      <c r="E192" s="92"/>
      <c r="F192" s="92"/>
      <c r="G192" s="92"/>
      <c r="H192" s="91"/>
      <c r="I192" s="91"/>
      <c r="J192" s="91"/>
      <c r="K192" s="91"/>
      <c r="L192" s="91"/>
      <c r="M192" s="91"/>
      <c r="N192" s="91"/>
      <c r="O192" s="91"/>
      <c r="P192" s="91"/>
      <c r="Q192" s="91"/>
      <c r="R192" s="91"/>
      <c r="S192" s="91"/>
    </row>
    <row r="193" spans="1:19" ht="15.75" customHeight="1" x14ac:dyDescent="0.25">
      <c r="A193" s="92"/>
      <c r="B193" s="93"/>
      <c r="C193" s="92"/>
      <c r="D193" s="92"/>
      <c r="E193" s="92"/>
      <c r="F193" s="92"/>
      <c r="G193" s="92"/>
      <c r="H193" s="91"/>
      <c r="I193" s="91"/>
      <c r="J193" s="91"/>
      <c r="K193" s="91"/>
      <c r="L193" s="91"/>
      <c r="M193" s="91"/>
      <c r="N193" s="91"/>
      <c r="O193" s="91"/>
      <c r="P193" s="91"/>
      <c r="Q193" s="91"/>
      <c r="R193" s="91"/>
      <c r="S193" s="91"/>
    </row>
    <row r="194" spans="1:19" ht="15.75" customHeight="1" x14ac:dyDescent="0.25">
      <c r="A194" s="92"/>
      <c r="B194" s="93"/>
      <c r="C194" s="92"/>
      <c r="D194" s="92"/>
      <c r="E194" s="92"/>
      <c r="F194" s="92"/>
      <c r="G194" s="92"/>
      <c r="H194" s="91"/>
      <c r="I194" s="91"/>
      <c r="J194" s="91"/>
      <c r="K194" s="91"/>
      <c r="L194" s="91"/>
      <c r="M194" s="91"/>
      <c r="N194" s="91"/>
      <c r="O194" s="91"/>
      <c r="P194" s="91"/>
      <c r="Q194" s="91"/>
      <c r="R194" s="91"/>
      <c r="S194" s="91"/>
    </row>
    <row r="195" spans="1:19" ht="15.75" customHeight="1" x14ac:dyDescent="0.25">
      <c r="A195" s="92"/>
      <c r="B195" s="93"/>
      <c r="C195" s="92"/>
      <c r="D195" s="92"/>
      <c r="E195" s="92"/>
      <c r="F195" s="92"/>
      <c r="G195" s="92"/>
      <c r="H195" s="91"/>
      <c r="I195" s="91"/>
      <c r="J195" s="91"/>
      <c r="K195" s="91"/>
      <c r="L195" s="91"/>
      <c r="M195" s="91"/>
      <c r="N195" s="91"/>
      <c r="O195" s="91"/>
      <c r="P195" s="91"/>
      <c r="Q195" s="91"/>
      <c r="R195" s="91"/>
      <c r="S195" s="91"/>
    </row>
    <row r="196" spans="1:19" ht="15.75" customHeight="1" x14ac:dyDescent="0.25">
      <c r="A196" s="92"/>
      <c r="B196" s="93"/>
      <c r="C196" s="92"/>
      <c r="D196" s="92"/>
      <c r="E196" s="92"/>
      <c r="F196" s="92"/>
      <c r="G196" s="92"/>
      <c r="H196" s="91"/>
      <c r="I196" s="91"/>
      <c r="J196" s="91"/>
      <c r="K196" s="91"/>
      <c r="L196" s="91"/>
      <c r="M196" s="91"/>
      <c r="N196" s="91"/>
      <c r="O196" s="91"/>
      <c r="P196" s="91"/>
      <c r="Q196" s="91"/>
      <c r="R196" s="91"/>
      <c r="S196" s="91"/>
    </row>
    <row r="197" spans="1:19" ht="15.75" customHeight="1" x14ac:dyDescent="0.25">
      <c r="A197" s="92"/>
      <c r="B197" s="93"/>
      <c r="C197" s="92"/>
      <c r="D197" s="92"/>
      <c r="E197" s="92"/>
      <c r="F197" s="92"/>
      <c r="G197" s="92"/>
      <c r="H197" s="91"/>
      <c r="I197" s="91"/>
      <c r="J197" s="91"/>
      <c r="K197" s="91"/>
      <c r="L197" s="91"/>
      <c r="M197" s="91"/>
      <c r="N197" s="91"/>
      <c r="O197" s="91"/>
      <c r="P197" s="91"/>
      <c r="Q197" s="91"/>
      <c r="R197" s="91"/>
      <c r="S197" s="91"/>
    </row>
    <row r="198" spans="1:19" ht="15.75" customHeight="1" x14ac:dyDescent="0.25">
      <c r="A198" s="92"/>
      <c r="B198" s="93"/>
      <c r="C198" s="92"/>
      <c r="D198" s="92"/>
      <c r="E198" s="92"/>
      <c r="F198" s="92"/>
      <c r="G198" s="92"/>
      <c r="H198" s="91"/>
      <c r="I198" s="91"/>
      <c r="J198" s="91"/>
      <c r="K198" s="91"/>
      <c r="L198" s="91"/>
      <c r="M198" s="91"/>
      <c r="N198" s="91"/>
      <c r="O198" s="91"/>
      <c r="P198" s="91"/>
      <c r="Q198" s="91"/>
      <c r="R198" s="91"/>
      <c r="S198" s="91"/>
    </row>
    <row r="199" spans="1:19" ht="15.75" customHeight="1" x14ac:dyDescent="0.25">
      <c r="A199" s="92"/>
      <c r="B199" s="93"/>
      <c r="C199" s="92"/>
      <c r="D199" s="92"/>
      <c r="E199" s="92"/>
      <c r="F199" s="92"/>
      <c r="G199" s="92"/>
      <c r="H199" s="91"/>
      <c r="I199" s="91"/>
      <c r="J199" s="91"/>
      <c r="K199" s="91"/>
      <c r="L199" s="91"/>
      <c r="M199" s="91"/>
      <c r="N199" s="91"/>
      <c r="O199" s="91"/>
      <c r="P199" s="91"/>
      <c r="Q199" s="91"/>
      <c r="R199" s="91"/>
      <c r="S199" s="91"/>
    </row>
    <row r="200" spans="1:19" ht="15.75" customHeight="1" x14ac:dyDescent="0.25">
      <c r="A200" s="92"/>
      <c r="B200" s="93"/>
      <c r="C200" s="92"/>
      <c r="D200" s="92"/>
      <c r="E200" s="92"/>
      <c r="F200" s="92"/>
      <c r="G200" s="92"/>
      <c r="H200" s="91"/>
      <c r="I200" s="91"/>
      <c r="J200" s="91"/>
      <c r="K200" s="91"/>
      <c r="L200" s="91"/>
      <c r="M200" s="91"/>
      <c r="N200" s="91"/>
      <c r="O200" s="91"/>
      <c r="P200" s="91"/>
      <c r="Q200" s="91"/>
      <c r="R200" s="91"/>
      <c r="S200" s="91"/>
    </row>
    <row r="201" spans="1:19" ht="15.75" customHeight="1" x14ac:dyDescent="0.25">
      <c r="A201" s="92"/>
      <c r="B201" s="93"/>
      <c r="C201" s="92"/>
      <c r="D201" s="92"/>
      <c r="E201" s="92"/>
      <c r="F201" s="92"/>
      <c r="G201" s="92"/>
      <c r="H201" s="91"/>
      <c r="I201" s="91"/>
      <c r="J201" s="91"/>
      <c r="K201" s="91"/>
      <c r="L201" s="91"/>
      <c r="M201" s="91"/>
      <c r="N201" s="91"/>
      <c r="O201" s="91"/>
      <c r="P201" s="91"/>
      <c r="Q201" s="91"/>
      <c r="R201" s="91"/>
      <c r="S201" s="91"/>
    </row>
    <row r="202" spans="1:19" ht="15.75" customHeight="1" x14ac:dyDescent="0.25">
      <c r="A202" s="92"/>
      <c r="B202" s="93"/>
      <c r="C202" s="92"/>
      <c r="D202" s="92"/>
      <c r="E202" s="92"/>
      <c r="F202" s="92"/>
      <c r="G202" s="92"/>
      <c r="H202" s="91"/>
      <c r="I202" s="91"/>
      <c r="J202" s="91"/>
      <c r="K202" s="91"/>
      <c r="L202" s="91"/>
      <c r="M202" s="91"/>
      <c r="N202" s="91"/>
      <c r="O202" s="91"/>
      <c r="P202" s="91"/>
      <c r="Q202" s="91"/>
      <c r="R202" s="91"/>
      <c r="S202" s="91"/>
    </row>
    <row r="203" spans="1:19" ht="15.75" customHeight="1" x14ac:dyDescent="0.25">
      <c r="A203" s="92"/>
      <c r="B203" s="93"/>
      <c r="C203" s="92"/>
      <c r="D203" s="92"/>
      <c r="E203" s="92"/>
      <c r="F203" s="92"/>
      <c r="G203" s="92"/>
      <c r="H203" s="91"/>
      <c r="I203" s="91"/>
      <c r="J203" s="91"/>
      <c r="K203" s="91"/>
      <c r="L203" s="91"/>
      <c r="M203" s="91"/>
      <c r="N203" s="91"/>
      <c r="O203" s="91"/>
      <c r="P203" s="91"/>
      <c r="Q203" s="91"/>
      <c r="R203" s="91"/>
      <c r="S203" s="91"/>
    </row>
    <row r="204" spans="1:19" ht="15.75" customHeight="1" x14ac:dyDescent="0.25">
      <c r="A204" s="92"/>
      <c r="B204" s="93"/>
      <c r="C204" s="92"/>
      <c r="D204" s="92"/>
      <c r="E204" s="92"/>
      <c r="F204" s="92"/>
      <c r="G204" s="92"/>
      <c r="H204" s="91"/>
      <c r="I204" s="91"/>
      <c r="J204" s="91"/>
      <c r="K204" s="91"/>
      <c r="L204" s="91"/>
      <c r="M204" s="91"/>
      <c r="N204" s="91"/>
      <c r="O204" s="91"/>
      <c r="P204" s="91"/>
      <c r="Q204" s="91"/>
      <c r="R204" s="91"/>
      <c r="S204" s="91"/>
    </row>
    <row r="205" spans="1:19" ht="15.75" customHeight="1" x14ac:dyDescent="0.25">
      <c r="A205" s="92"/>
      <c r="B205" s="93"/>
      <c r="C205" s="92"/>
      <c r="D205" s="92"/>
      <c r="E205" s="92"/>
      <c r="F205" s="92"/>
      <c r="G205" s="92"/>
      <c r="H205" s="91"/>
      <c r="I205" s="91"/>
      <c r="J205" s="91"/>
      <c r="K205" s="91"/>
      <c r="L205" s="91"/>
      <c r="M205" s="91"/>
      <c r="N205" s="91"/>
      <c r="O205" s="91"/>
      <c r="P205" s="91"/>
      <c r="Q205" s="91"/>
      <c r="R205" s="91"/>
      <c r="S205" s="91"/>
    </row>
    <row r="206" spans="1:19" ht="15.75" customHeight="1" x14ac:dyDescent="0.25">
      <c r="A206" s="92"/>
      <c r="B206" s="93"/>
      <c r="C206" s="92"/>
      <c r="D206" s="92"/>
      <c r="E206" s="92"/>
      <c r="F206" s="92"/>
      <c r="G206" s="92"/>
      <c r="H206" s="91"/>
      <c r="I206" s="91"/>
      <c r="J206" s="91"/>
      <c r="K206" s="91"/>
      <c r="L206" s="91"/>
      <c r="M206" s="91"/>
      <c r="N206" s="91"/>
      <c r="O206" s="91"/>
      <c r="P206" s="91"/>
      <c r="Q206" s="91"/>
      <c r="R206" s="91"/>
      <c r="S206" s="91"/>
    </row>
    <row r="207" spans="1:19" ht="15.75" customHeight="1" x14ac:dyDescent="0.25">
      <c r="A207" s="92"/>
      <c r="B207" s="93"/>
      <c r="C207" s="92"/>
      <c r="D207" s="92"/>
      <c r="E207" s="92"/>
      <c r="F207" s="92"/>
      <c r="G207" s="92"/>
      <c r="H207" s="91"/>
      <c r="I207" s="91"/>
      <c r="J207" s="91"/>
      <c r="K207" s="91"/>
      <c r="L207" s="91"/>
      <c r="M207" s="91"/>
      <c r="N207" s="91"/>
      <c r="O207" s="91"/>
      <c r="P207" s="91"/>
      <c r="Q207" s="91"/>
      <c r="R207" s="91"/>
      <c r="S207" s="91"/>
    </row>
    <row r="208" spans="1:19" ht="15.75" customHeight="1" x14ac:dyDescent="0.25">
      <c r="A208" s="92"/>
      <c r="B208" s="93"/>
      <c r="C208" s="92"/>
      <c r="D208" s="92"/>
      <c r="E208" s="92"/>
      <c r="F208" s="92"/>
      <c r="G208" s="92"/>
      <c r="H208" s="91"/>
      <c r="I208" s="91"/>
      <c r="J208" s="91"/>
      <c r="K208" s="91"/>
      <c r="L208" s="91"/>
      <c r="M208" s="91"/>
      <c r="N208" s="91"/>
      <c r="O208" s="91"/>
      <c r="P208" s="91"/>
      <c r="Q208" s="91"/>
      <c r="R208" s="91"/>
      <c r="S208" s="91"/>
    </row>
    <row r="209" spans="1:19" ht="15.75" customHeight="1" x14ac:dyDescent="0.25">
      <c r="A209" s="92"/>
      <c r="B209" s="93"/>
      <c r="C209" s="92"/>
      <c r="D209" s="92"/>
      <c r="E209" s="92"/>
      <c r="F209" s="92"/>
      <c r="G209" s="92"/>
      <c r="H209" s="91"/>
      <c r="I209" s="91"/>
      <c r="J209" s="91"/>
      <c r="K209" s="91"/>
      <c r="L209" s="91"/>
      <c r="M209" s="91"/>
      <c r="N209" s="91"/>
      <c r="O209" s="91"/>
      <c r="P209" s="91"/>
      <c r="Q209" s="91"/>
      <c r="R209" s="91"/>
      <c r="S209" s="91"/>
    </row>
    <row r="210" spans="1:19" ht="15.75" customHeight="1" x14ac:dyDescent="0.25">
      <c r="A210" s="92"/>
      <c r="B210" s="93"/>
      <c r="C210" s="92"/>
      <c r="D210" s="92"/>
      <c r="E210" s="92"/>
      <c r="F210" s="92"/>
      <c r="G210" s="92"/>
      <c r="H210" s="91"/>
      <c r="I210" s="91"/>
      <c r="J210" s="91"/>
      <c r="K210" s="91"/>
      <c r="L210" s="91"/>
      <c r="M210" s="91"/>
      <c r="N210" s="91"/>
      <c r="O210" s="91"/>
      <c r="P210" s="91"/>
      <c r="Q210" s="91"/>
      <c r="R210" s="91"/>
      <c r="S210" s="91"/>
    </row>
    <row r="211" spans="1:19" ht="15.75" customHeight="1" x14ac:dyDescent="0.25">
      <c r="A211" s="92"/>
      <c r="B211" s="93"/>
      <c r="C211" s="92"/>
      <c r="D211" s="92"/>
      <c r="E211" s="92"/>
      <c r="F211" s="92"/>
      <c r="G211" s="92"/>
      <c r="H211" s="91"/>
      <c r="I211" s="91"/>
      <c r="J211" s="91"/>
      <c r="K211" s="91"/>
      <c r="L211" s="91"/>
      <c r="M211" s="91"/>
      <c r="N211" s="91"/>
      <c r="O211" s="91"/>
      <c r="P211" s="91"/>
      <c r="Q211" s="91"/>
      <c r="R211" s="91"/>
      <c r="S211" s="91"/>
    </row>
    <row r="212" spans="1:19" ht="15.75" customHeight="1" x14ac:dyDescent="0.25">
      <c r="A212" s="92"/>
      <c r="B212" s="93"/>
      <c r="C212" s="92"/>
      <c r="D212" s="92"/>
      <c r="E212" s="92"/>
      <c r="F212" s="92"/>
      <c r="G212" s="92"/>
      <c r="H212" s="91"/>
      <c r="I212" s="91"/>
      <c r="J212" s="91"/>
      <c r="K212" s="91"/>
      <c r="L212" s="91"/>
      <c r="M212" s="91"/>
      <c r="N212" s="91"/>
      <c r="O212" s="91"/>
      <c r="P212" s="91"/>
      <c r="Q212" s="91"/>
      <c r="R212" s="91"/>
      <c r="S212" s="91"/>
    </row>
    <row r="213" spans="1:19" ht="15.75" customHeight="1" x14ac:dyDescent="0.25">
      <c r="A213" s="92"/>
      <c r="B213" s="93"/>
      <c r="C213" s="92"/>
      <c r="D213" s="92"/>
      <c r="E213" s="92"/>
      <c r="F213" s="92"/>
      <c r="G213" s="92"/>
      <c r="H213" s="91"/>
      <c r="I213" s="91"/>
      <c r="J213" s="91"/>
      <c r="K213" s="91"/>
      <c r="L213" s="91"/>
      <c r="M213" s="91"/>
      <c r="N213" s="91"/>
      <c r="O213" s="91"/>
      <c r="P213" s="91"/>
      <c r="Q213" s="91"/>
      <c r="R213" s="91"/>
      <c r="S213" s="91"/>
    </row>
    <row r="214" spans="1:19" ht="15.75" customHeight="1" x14ac:dyDescent="0.25">
      <c r="A214" s="92"/>
      <c r="B214" s="93"/>
      <c r="C214" s="92"/>
      <c r="D214" s="92"/>
      <c r="E214" s="92"/>
      <c r="F214" s="92"/>
      <c r="G214" s="92"/>
      <c r="H214" s="91"/>
      <c r="I214" s="91"/>
      <c r="J214" s="91"/>
      <c r="K214" s="91"/>
      <c r="L214" s="91"/>
      <c r="M214" s="91"/>
      <c r="N214" s="91"/>
      <c r="O214" s="91"/>
      <c r="P214" s="91"/>
      <c r="Q214" s="91"/>
      <c r="R214" s="91"/>
      <c r="S214" s="91"/>
    </row>
    <row r="215" spans="1:19" ht="15.75" customHeight="1" x14ac:dyDescent="0.25">
      <c r="A215" s="92"/>
      <c r="B215" s="93"/>
      <c r="C215" s="92"/>
      <c r="D215" s="92"/>
      <c r="E215" s="92"/>
      <c r="F215" s="92"/>
      <c r="G215" s="92"/>
      <c r="H215" s="91"/>
      <c r="I215" s="91"/>
      <c r="J215" s="91"/>
      <c r="K215" s="91"/>
      <c r="L215" s="91"/>
      <c r="M215" s="91"/>
      <c r="N215" s="91"/>
      <c r="O215" s="91"/>
      <c r="P215" s="91"/>
      <c r="Q215" s="91"/>
      <c r="R215" s="91"/>
      <c r="S215" s="91"/>
    </row>
    <row r="216" spans="1:19" ht="15.75" customHeight="1" x14ac:dyDescent="0.25">
      <c r="A216" s="92"/>
      <c r="B216" s="93"/>
      <c r="C216" s="92"/>
      <c r="D216" s="92"/>
      <c r="E216" s="92"/>
      <c r="F216" s="92"/>
      <c r="G216" s="92"/>
      <c r="H216" s="91"/>
      <c r="I216" s="91"/>
      <c r="J216" s="91"/>
      <c r="K216" s="91"/>
      <c r="L216" s="91"/>
      <c r="M216" s="91"/>
      <c r="N216" s="91"/>
      <c r="O216" s="91"/>
      <c r="P216" s="91"/>
      <c r="Q216" s="91"/>
      <c r="R216" s="91"/>
      <c r="S216" s="91"/>
    </row>
    <row r="217" spans="1:19" ht="15.75" customHeight="1" x14ac:dyDescent="0.25">
      <c r="A217" s="92"/>
      <c r="B217" s="93"/>
      <c r="C217" s="92"/>
      <c r="D217" s="92"/>
      <c r="E217" s="92"/>
      <c r="F217" s="92"/>
      <c r="G217" s="92"/>
      <c r="H217" s="91"/>
      <c r="I217" s="91"/>
      <c r="J217" s="91"/>
      <c r="K217" s="91"/>
      <c r="L217" s="91"/>
      <c r="M217" s="91"/>
      <c r="N217" s="91"/>
      <c r="O217" s="91"/>
      <c r="P217" s="91"/>
      <c r="Q217" s="91"/>
      <c r="R217" s="91"/>
      <c r="S217" s="91"/>
    </row>
    <row r="218" spans="1:19" ht="15.75" customHeight="1" x14ac:dyDescent="0.25">
      <c r="A218" s="92"/>
      <c r="B218" s="93"/>
      <c r="C218" s="92"/>
      <c r="D218" s="92"/>
      <c r="E218" s="92"/>
      <c r="F218" s="92"/>
      <c r="G218" s="92"/>
      <c r="H218" s="91"/>
      <c r="I218" s="91"/>
      <c r="J218" s="91"/>
      <c r="K218" s="91"/>
      <c r="L218" s="91"/>
      <c r="M218" s="91"/>
      <c r="N218" s="91"/>
      <c r="O218" s="91"/>
      <c r="P218" s="91"/>
      <c r="Q218" s="91"/>
      <c r="R218" s="91"/>
      <c r="S218" s="91"/>
    </row>
    <row r="219" spans="1:19" ht="15.75" customHeight="1" x14ac:dyDescent="0.25">
      <c r="A219" s="92"/>
      <c r="B219" s="93"/>
      <c r="C219" s="92"/>
      <c r="D219" s="92"/>
      <c r="E219" s="92"/>
      <c r="F219" s="92"/>
      <c r="G219" s="92"/>
      <c r="H219" s="91"/>
      <c r="I219" s="91"/>
      <c r="J219" s="91"/>
      <c r="K219" s="91"/>
      <c r="L219" s="91"/>
      <c r="M219" s="91"/>
      <c r="N219" s="91"/>
      <c r="O219" s="91"/>
      <c r="P219" s="91"/>
      <c r="Q219" s="91"/>
      <c r="R219" s="91"/>
      <c r="S219" s="91"/>
    </row>
    <row r="220" spans="1:19" ht="15.75" customHeight="1" x14ac:dyDescent="0.25">
      <c r="A220" s="92"/>
      <c r="B220" s="93"/>
      <c r="C220" s="92"/>
      <c r="D220" s="92"/>
      <c r="E220" s="92"/>
      <c r="F220" s="92"/>
      <c r="G220" s="92"/>
      <c r="H220" s="91"/>
      <c r="I220" s="91"/>
      <c r="J220" s="91"/>
      <c r="K220" s="91"/>
      <c r="L220" s="91"/>
      <c r="M220" s="91"/>
      <c r="N220" s="91"/>
      <c r="O220" s="91"/>
      <c r="P220" s="91"/>
      <c r="Q220" s="91"/>
      <c r="R220" s="91"/>
      <c r="S220" s="91"/>
    </row>
    <row r="221" spans="1:19" ht="15.75" customHeight="1" x14ac:dyDescent="0.25">
      <c r="A221" s="92"/>
      <c r="B221" s="93"/>
      <c r="C221" s="92"/>
      <c r="D221" s="92"/>
      <c r="E221" s="92"/>
      <c r="F221" s="92"/>
      <c r="G221" s="92"/>
      <c r="H221" s="91"/>
      <c r="I221" s="91"/>
      <c r="J221" s="91"/>
      <c r="K221" s="91"/>
      <c r="L221" s="91"/>
      <c r="M221" s="91"/>
      <c r="N221" s="91"/>
      <c r="O221" s="91"/>
      <c r="P221" s="91"/>
      <c r="Q221" s="91"/>
      <c r="R221" s="91"/>
      <c r="S221" s="91"/>
    </row>
    <row r="222" spans="1:19" ht="15.75" customHeight="1" x14ac:dyDescent="0.25">
      <c r="A222" s="92"/>
      <c r="B222" s="93"/>
      <c r="C222" s="92"/>
      <c r="D222" s="92"/>
      <c r="E222" s="92"/>
      <c r="F222" s="92"/>
      <c r="G222" s="92"/>
      <c r="H222" s="91"/>
      <c r="I222" s="91"/>
      <c r="J222" s="91"/>
      <c r="K222" s="91"/>
      <c r="L222" s="91"/>
      <c r="M222" s="91"/>
      <c r="N222" s="91"/>
      <c r="O222" s="91"/>
      <c r="P222" s="91"/>
      <c r="Q222" s="91"/>
      <c r="R222" s="91"/>
      <c r="S222" s="91"/>
    </row>
    <row r="223" spans="1:19" ht="15.75" customHeight="1" x14ac:dyDescent="0.25">
      <c r="A223" s="92"/>
      <c r="B223" s="93"/>
      <c r="C223" s="92"/>
      <c r="D223" s="92"/>
      <c r="E223" s="92"/>
      <c r="F223" s="92"/>
      <c r="G223" s="92"/>
      <c r="H223" s="91"/>
      <c r="I223" s="91"/>
      <c r="J223" s="91"/>
      <c r="K223" s="91"/>
      <c r="L223" s="91"/>
      <c r="M223" s="91"/>
      <c r="N223" s="91"/>
      <c r="O223" s="91"/>
      <c r="P223" s="91"/>
      <c r="Q223" s="91"/>
      <c r="R223" s="91"/>
      <c r="S223" s="91"/>
    </row>
    <row r="224" spans="1:19" ht="15.75" customHeight="1" x14ac:dyDescent="0.25">
      <c r="A224" s="92"/>
      <c r="B224" s="93"/>
      <c r="C224" s="92"/>
      <c r="D224" s="92"/>
      <c r="E224" s="92"/>
      <c r="F224" s="92"/>
      <c r="G224" s="92"/>
      <c r="H224" s="91"/>
      <c r="I224" s="91"/>
      <c r="J224" s="91"/>
      <c r="K224" s="91"/>
      <c r="L224" s="91"/>
      <c r="M224" s="91"/>
      <c r="N224" s="91"/>
      <c r="O224" s="91"/>
      <c r="P224" s="91"/>
      <c r="Q224" s="91"/>
      <c r="R224" s="91"/>
      <c r="S224" s="91"/>
    </row>
    <row r="225" spans="1:19" ht="15.75" customHeight="1" x14ac:dyDescent="0.25">
      <c r="A225" s="92"/>
      <c r="B225" s="93"/>
      <c r="C225" s="92"/>
      <c r="D225" s="92"/>
      <c r="E225" s="92"/>
      <c r="F225" s="92"/>
      <c r="G225" s="92"/>
      <c r="H225" s="91"/>
      <c r="I225" s="91"/>
      <c r="J225" s="91"/>
      <c r="K225" s="91"/>
      <c r="L225" s="91"/>
      <c r="M225" s="91"/>
      <c r="N225" s="91"/>
      <c r="O225" s="91"/>
      <c r="P225" s="91"/>
      <c r="Q225" s="91"/>
      <c r="R225" s="91"/>
      <c r="S225" s="91"/>
    </row>
    <row r="226" spans="1:19" ht="15.75" customHeight="1" x14ac:dyDescent="0.25">
      <c r="A226" s="92"/>
      <c r="B226" s="93"/>
      <c r="C226" s="92"/>
      <c r="D226" s="92"/>
      <c r="E226" s="92"/>
      <c r="F226" s="92"/>
      <c r="G226" s="92"/>
      <c r="H226" s="91"/>
      <c r="I226" s="91"/>
      <c r="J226" s="91"/>
      <c r="K226" s="91"/>
      <c r="L226" s="91"/>
      <c r="M226" s="91"/>
      <c r="N226" s="91"/>
      <c r="O226" s="91"/>
      <c r="P226" s="91"/>
      <c r="Q226" s="91"/>
      <c r="R226" s="91"/>
      <c r="S226" s="91"/>
    </row>
    <row r="227" spans="1:19" ht="15.75" customHeight="1" x14ac:dyDescent="0.25">
      <c r="A227" s="92"/>
      <c r="B227" s="93"/>
      <c r="C227" s="92"/>
      <c r="D227" s="92"/>
      <c r="E227" s="92"/>
      <c r="F227" s="92"/>
      <c r="G227" s="92"/>
      <c r="H227" s="91"/>
      <c r="I227" s="91"/>
      <c r="J227" s="91"/>
      <c r="K227" s="91"/>
      <c r="L227" s="91"/>
      <c r="M227" s="91"/>
      <c r="N227" s="91"/>
      <c r="O227" s="91"/>
      <c r="P227" s="91"/>
      <c r="Q227" s="91"/>
      <c r="R227" s="91"/>
      <c r="S227" s="91"/>
    </row>
    <row r="228" spans="1:19" ht="15.75" customHeight="1" x14ac:dyDescent="0.25">
      <c r="A228" s="92"/>
      <c r="B228" s="93"/>
      <c r="C228" s="92"/>
      <c r="D228" s="92"/>
      <c r="E228" s="92"/>
      <c r="F228" s="92"/>
      <c r="G228" s="92"/>
      <c r="H228" s="91"/>
      <c r="I228" s="91"/>
      <c r="J228" s="91"/>
      <c r="K228" s="91"/>
      <c r="L228" s="91"/>
      <c r="M228" s="91"/>
      <c r="N228" s="91"/>
      <c r="O228" s="91"/>
      <c r="P228" s="91"/>
      <c r="Q228" s="91"/>
      <c r="R228" s="91"/>
      <c r="S228" s="91"/>
    </row>
    <row r="229" spans="1:19" ht="15.75" customHeight="1" x14ac:dyDescent="0.25">
      <c r="A229" s="92"/>
      <c r="B229" s="93"/>
      <c r="C229" s="92"/>
      <c r="D229" s="92"/>
      <c r="E229" s="92"/>
      <c r="F229" s="92"/>
      <c r="G229" s="92"/>
      <c r="H229" s="91"/>
      <c r="I229" s="91"/>
      <c r="J229" s="91"/>
      <c r="K229" s="91"/>
      <c r="L229" s="91"/>
      <c r="M229" s="91"/>
      <c r="N229" s="91"/>
      <c r="O229" s="91"/>
      <c r="P229" s="91"/>
      <c r="Q229" s="91"/>
      <c r="R229" s="91"/>
      <c r="S229" s="91"/>
    </row>
    <row r="230" spans="1:19" ht="15.75" customHeight="1" x14ac:dyDescent="0.25">
      <c r="A230" s="92"/>
      <c r="B230" s="93"/>
      <c r="C230" s="92"/>
      <c r="D230" s="92"/>
      <c r="E230" s="92"/>
      <c r="F230" s="92"/>
      <c r="G230" s="92"/>
      <c r="H230" s="91"/>
      <c r="I230" s="91"/>
      <c r="J230" s="91"/>
      <c r="K230" s="91"/>
      <c r="L230" s="91"/>
      <c r="M230" s="91"/>
      <c r="N230" s="91"/>
      <c r="O230" s="91"/>
      <c r="P230" s="91"/>
      <c r="Q230" s="91"/>
      <c r="R230" s="91"/>
      <c r="S230" s="91"/>
    </row>
    <row r="231" spans="1:19" ht="15.75" customHeight="1" x14ac:dyDescent="0.25">
      <c r="A231" s="92"/>
      <c r="B231" s="93"/>
      <c r="C231" s="92"/>
      <c r="D231" s="92"/>
      <c r="E231" s="92"/>
      <c r="F231" s="92"/>
      <c r="G231" s="92"/>
      <c r="H231" s="91"/>
      <c r="I231" s="91"/>
      <c r="J231" s="91"/>
      <c r="K231" s="91"/>
      <c r="L231" s="91"/>
      <c r="M231" s="91"/>
      <c r="N231" s="91"/>
      <c r="O231" s="91"/>
      <c r="P231" s="91"/>
      <c r="Q231" s="91"/>
      <c r="R231" s="91"/>
      <c r="S231" s="91"/>
    </row>
    <row r="232" spans="1:19" ht="15.75" customHeight="1" x14ac:dyDescent="0.25">
      <c r="A232" s="92"/>
      <c r="B232" s="93"/>
      <c r="C232" s="92"/>
      <c r="D232" s="92"/>
      <c r="E232" s="92"/>
      <c r="F232" s="92"/>
      <c r="G232" s="92"/>
      <c r="H232" s="91"/>
      <c r="I232" s="91"/>
      <c r="J232" s="91"/>
      <c r="K232" s="91"/>
      <c r="L232" s="91"/>
      <c r="M232" s="91"/>
      <c r="N232" s="91"/>
      <c r="O232" s="91"/>
      <c r="P232" s="91"/>
      <c r="Q232" s="91"/>
      <c r="R232" s="91"/>
      <c r="S232" s="91"/>
    </row>
    <row r="233" spans="1:19" ht="15.75" customHeight="1" x14ac:dyDescent="0.25">
      <c r="A233" s="92"/>
      <c r="B233" s="93"/>
      <c r="C233" s="92"/>
      <c r="D233" s="92"/>
      <c r="E233" s="92"/>
      <c r="F233" s="92"/>
      <c r="G233" s="92"/>
      <c r="H233" s="91"/>
      <c r="I233" s="91"/>
      <c r="J233" s="91"/>
      <c r="K233" s="91"/>
      <c r="L233" s="91"/>
      <c r="M233" s="91"/>
      <c r="N233" s="91"/>
      <c r="O233" s="91"/>
      <c r="P233" s="91"/>
      <c r="Q233" s="91"/>
      <c r="R233" s="91"/>
      <c r="S233" s="91"/>
    </row>
    <row r="234" spans="1:19" ht="15.75" customHeight="1" x14ac:dyDescent="0.25">
      <c r="A234" s="92"/>
      <c r="B234" s="93"/>
      <c r="C234" s="92"/>
      <c r="D234" s="92"/>
      <c r="E234" s="92"/>
      <c r="F234" s="92"/>
      <c r="G234" s="92"/>
      <c r="H234" s="91"/>
      <c r="I234" s="91"/>
      <c r="J234" s="91"/>
      <c r="K234" s="91"/>
      <c r="L234" s="91"/>
      <c r="M234" s="91"/>
      <c r="N234" s="91"/>
      <c r="O234" s="91"/>
      <c r="P234" s="91"/>
      <c r="Q234" s="91"/>
      <c r="R234" s="91"/>
      <c r="S234" s="91"/>
    </row>
    <row r="235" spans="1:19" ht="15.75" customHeight="1" x14ac:dyDescent="0.25">
      <c r="A235" s="92"/>
      <c r="B235" s="93"/>
      <c r="C235" s="92"/>
      <c r="D235" s="92"/>
      <c r="E235" s="92"/>
      <c r="F235" s="92"/>
      <c r="G235" s="92"/>
      <c r="H235" s="91"/>
      <c r="I235" s="91"/>
      <c r="J235" s="91"/>
      <c r="K235" s="91"/>
      <c r="L235" s="91"/>
      <c r="M235" s="91"/>
      <c r="N235" s="91"/>
      <c r="O235" s="91"/>
      <c r="P235" s="91"/>
      <c r="Q235" s="91"/>
      <c r="R235" s="91"/>
      <c r="S235" s="91"/>
    </row>
    <row r="236" spans="1:19" ht="15.75" customHeight="1" x14ac:dyDescent="0.25">
      <c r="A236" s="92"/>
      <c r="B236" s="93"/>
      <c r="C236" s="92"/>
      <c r="D236" s="92"/>
      <c r="E236" s="92"/>
      <c r="F236" s="92"/>
      <c r="G236" s="92"/>
      <c r="H236" s="91"/>
      <c r="I236" s="91"/>
      <c r="J236" s="91"/>
      <c r="K236" s="91"/>
      <c r="L236" s="91"/>
      <c r="M236" s="91"/>
      <c r="N236" s="91"/>
      <c r="O236" s="91"/>
      <c r="P236" s="91"/>
      <c r="Q236" s="91"/>
      <c r="R236" s="91"/>
      <c r="S236" s="91"/>
    </row>
    <row r="237" spans="1:19" ht="15.75" customHeight="1" x14ac:dyDescent="0.25">
      <c r="A237" s="92"/>
      <c r="B237" s="93"/>
      <c r="C237" s="92"/>
      <c r="D237" s="92"/>
      <c r="E237" s="92"/>
      <c r="F237" s="92"/>
      <c r="G237" s="92"/>
      <c r="H237" s="91"/>
      <c r="I237" s="91"/>
      <c r="J237" s="91"/>
      <c r="K237" s="91"/>
      <c r="L237" s="91"/>
      <c r="M237" s="91"/>
      <c r="N237" s="91"/>
      <c r="O237" s="91"/>
      <c r="P237" s="91"/>
      <c r="Q237" s="91"/>
      <c r="R237" s="91"/>
      <c r="S237" s="91"/>
    </row>
    <row r="238" spans="1:19" ht="15.75" customHeight="1" x14ac:dyDescent="0.25">
      <c r="A238" s="92"/>
      <c r="B238" s="93"/>
      <c r="C238" s="92"/>
      <c r="D238" s="92"/>
      <c r="E238" s="92"/>
      <c r="F238" s="92"/>
      <c r="G238" s="92"/>
      <c r="H238" s="91"/>
      <c r="I238" s="91"/>
      <c r="J238" s="91"/>
      <c r="K238" s="91"/>
      <c r="L238" s="91"/>
      <c r="M238" s="91"/>
      <c r="N238" s="91"/>
      <c r="O238" s="91"/>
      <c r="P238" s="91"/>
      <c r="Q238" s="91"/>
      <c r="R238" s="91"/>
      <c r="S238" s="91"/>
    </row>
    <row r="239" spans="1:19" ht="15.75" customHeight="1" x14ac:dyDescent="0.25">
      <c r="A239" s="92"/>
      <c r="B239" s="93"/>
      <c r="C239" s="92"/>
      <c r="D239" s="92"/>
      <c r="E239" s="92"/>
      <c r="F239" s="92"/>
      <c r="G239" s="92"/>
      <c r="H239" s="91"/>
      <c r="I239" s="91"/>
      <c r="J239" s="91"/>
      <c r="K239" s="91"/>
      <c r="L239" s="91"/>
      <c r="M239" s="91"/>
      <c r="N239" s="91"/>
      <c r="O239" s="91"/>
      <c r="P239" s="91"/>
      <c r="Q239" s="91"/>
      <c r="R239" s="91"/>
      <c r="S239" s="91"/>
    </row>
    <row r="240" spans="1:19" ht="15.75" customHeight="1" x14ac:dyDescent="0.25">
      <c r="A240" s="92"/>
      <c r="B240" s="93"/>
      <c r="C240" s="92"/>
      <c r="D240" s="92"/>
      <c r="E240" s="92"/>
      <c r="F240" s="92"/>
      <c r="G240" s="92"/>
      <c r="H240" s="91"/>
      <c r="I240" s="91"/>
      <c r="J240" s="91"/>
      <c r="K240" s="91"/>
      <c r="L240" s="91"/>
      <c r="M240" s="91"/>
      <c r="N240" s="91"/>
      <c r="O240" s="91"/>
      <c r="P240" s="91"/>
      <c r="Q240" s="91"/>
      <c r="R240" s="91"/>
      <c r="S240" s="91"/>
    </row>
    <row r="241" spans="1:19" ht="15.75" customHeight="1" x14ac:dyDescent="0.25">
      <c r="A241" s="92"/>
      <c r="B241" s="93"/>
      <c r="C241" s="92"/>
      <c r="D241" s="92"/>
      <c r="E241" s="92"/>
      <c r="F241" s="92"/>
      <c r="G241" s="92"/>
      <c r="H241" s="91"/>
      <c r="I241" s="91"/>
      <c r="J241" s="91"/>
      <c r="K241" s="91"/>
      <c r="L241" s="91"/>
      <c r="M241" s="91"/>
      <c r="N241" s="91"/>
      <c r="O241" s="91"/>
      <c r="P241" s="91"/>
      <c r="Q241" s="91"/>
      <c r="R241" s="91"/>
      <c r="S241" s="91"/>
    </row>
    <row r="242" spans="1:19" ht="15.75" customHeight="1" x14ac:dyDescent="0.25">
      <c r="A242" s="92"/>
      <c r="B242" s="93"/>
      <c r="C242" s="92"/>
      <c r="D242" s="92"/>
      <c r="E242" s="92"/>
      <c r="F242" s="92"/>
      <c r="G242" s="92"/>
      <c r="H242" s="91"/>
      <c r="I242" s="91"/>
      <c r="J242" s="91"/>
      <c r="K242" s="91"/>
      <c r="L242" s="91"/>
      <c r="M242" s="91"/>
      <c r="N242" s="91"/>
      <c r="O242" s="91"/>
      <c r="P242" s="91"/>
      <c r="Q242" s="91"/>
      <c r="R242" s="91"/>
      <c r="S242" s="91"/>
    </row>
    <row r="243" spans="1:19" ht="15.75" customHeight="1" x14ac:dyDescent="0.25">
      <c r="A243" s="92"/>
      <c r="B243" s="93"/>
      <c r="C243" s="92"/>
      <c r="D243" s="92"/>
      <c r="E243" s="92"/>
      <c r="F243" s="92"/>
      <c r="G243" s="92"/>
      <c r="H243" s="91"/>
      <c r="I243" s="91"/>
      <c r="J243" s="91"/>
      <c r="K243" s="91"/>
      <c r="L243" s="91"/>
      <c r="M243" s="91"/>
      <c r="N243" s="91"/>
      <c r="O243" s="91"/>
      <c r="P243" s="91"/>
      <c r="Q243" s="91"/>
      <c r="R243" s="91"/>
      <c r="S243" s="91"/>
    </row>
    <row r="244" spans="1:19" ht="15.75" customHeight="1" x14ac:dyDescent="0.25">
      <c r="A244" s="92"/>
      <c r="B244" s="93"/>
      <c r="C244" s="92"/>
      <c r="D244" s="92"/>
      <c r="E244" s="92"/>
      <c r="F244" s="92"/>
      <c r="G244" s="92"/>
      <c r="H244" s="91"/>
      <c r="I244" s="91"/>
      <c r="J244" s="91"/>
      <c r="K244" s="91"/>
      <c r="L244" s="91"/>
      <c r="M244" s="91"/>
      <c r="N244" s="91"/>
      <c r="O244" s="91"/>
      <c r="P244" s="91"/>
      <c r="Q244" s="91"/>
      <c r="R244" s="91"/>
      <c r="S244" s="91"/>
    </row>
    <row r="245" spans="1:19" ht="15.75" customHeight="1" x14ac:dyDescent="0.25">
      <c r="A245" s="92"/>
      <c r="B245" s="93"/>
      <c r="C245" s="92"/>
      <c r="D245" s="92"/>
      <c r="E245" s="92"/>
      <c r="F245" s="92"/>
      <c r="G245" s="92"/>
      <c r="H245" s="91"/>
      <c r="I245" s="91"/>
      <c r="J245" s="91"/>
      <c r="K245" s="91"/>
      <c r="L245" s="91"/>
      <c r="M245" s="91"/>
      <c r="N245" s="91"/>
      <c r="O245" s="91"/>
      <c r="P245" s="91"/>
      <c r="Q245" s="91"/>
      <c r="R245" s="91"/>
      <c r="S245" s="91"/>
    </row>
    <row r="246" spans="1:19" ht="15.75" customHeight="1" x14ac:dyDescent="0.25">
      <c r="A246" s="92"/>
      <c r="B246" s="93"/>
      <c r="C246" s="92"/>
      <c r="D246" s="92"/>
      <c r="E246" s="92"/>
      <c r="F246" s="92"/>
      <c r="G246" s="92"/>
      <c r="H246" s="91"/>
      <c r="I246" s="91"/>
      <c r="J246" s="91"/>
      <c r="K246" s="91"/>
      <c r="L246" s="91"/>
      <c r="M246" s="91"/>
      <c r="N246" s="91"/>
      <c r="O246" s="91"/>
      <c r="P246" s="91"/>
      <c r="Q246" s="91"/>
      <c r="R246" s="91"/>
      <c r="S246" s="91"/>
    </row>
    <row r="247" spans="1:19" ht="15.75" customHeight="1" x14ac:dyDescent="0.25">
      <c r="A247" s="92"/>
      <c r="B247" s="93"/>
      <c r="C247" s="92"/>
      <c r="D247" s="92"/>
      <c r="E247" s="92"/>
      <c r="F247" s="92"/>
      <c r="G247" s="92"/>
      <c r="H247" s="91"/>
      <c r="I247" s="91"/>
      <c r="J247" s="91"/>
      <c r="K247" s="91"/>
      <c r="L247" s="91"/>
      <c r="M247" s="91"/>
      <c r="N247" s="91"/>
      <c r="O247" s="91"/>
      <c r="P247" s="91"/>
      <c r="Q247" s="91"/>
      <c r="R247" s="91"/>
      <c r="S247" s="91"/>
    </row>
    <row r="248" spans="1:19" ht="15.75" customHeight="1" x14ac:dyDescent="0.25">
      <c r="A248" s="92"/>
      <c r="B248" s="93"/>
      <c r="C248" s="92"/>
      <c r="D248" s="92"/>
      <c r="E248" s="92"/>
      <c r="F248" s="92"/>
      <c r="G248" s="92"/>
      <c r="H248" s="91"/>
      <c r="I248" s="91"/>
      <c r="J248" s="91"/>
      <c r="K248" s="91"/>
      <c r="L248" s="91"/>
      <c r="M248" s="91"/>
      <c r="N248" s="91"/>
      <c r="O248" s="91"/>
      <c r="P248" s="91"/>
      <c r="Q248" s="91"/>
      <c r="R248" s="91"/>
      <c r="S248" s="91"/>
    </row>
    <row r="249" spans="1:19" ht="15.75" customHeight="1" x14ac:dyDescent="0.25">
      <c r="A249" s="92"/>
      <c r="B249" s="93"/>
      <c r="C249" s="92"/>
      <c r="D249" s="92"/>
      <c r="E249" s="92"/>
      <c r="F249" s="92"/>
      <c r="G249" s="92"/>
      <c r="H249" s="91"/>
      <c r="I249" s="91"/>
      <c r="J249" s="91"/>
      <c r="K249" s="91"/>
      <c r="L249" s="91"/>
      <c r="M249" s="91"/>
      <c r="N249" s="91"/>
      <c r="O249" s="91"/>
      <c r="P249" s="91"/>
      <c r="Q249" s="91"/>
      <c r="R249" s="91"/>
      <c r="S249" s="91"/>
    </row>
    <row r="250" spans="1:19" ht="15.75" customHeight="1" x14ac:dyDescent="0.25">
      <c r="A250" s="92"/>
      <c r="B250" s="93"/>
      <c r="C250" s="92"/>
      <c r="D250" s="92"/>
      <c r="E250" s="92"/>
      <c r="F250" s="92"/>
      <c r="G250" s="92"/>
      <c r="H250" s="91"/>
      <c r="I250" s="91"/>
      <c r="J250" s="91"/>
      <c r="K250" s="91"/>
      <c r="L250" s="91"/>
      <c r="M250" s="91"/>
      <c r="N250" s="91"/>
      <c r="O250" s="91"/>
      <c r="P250" s="91"/>
      <c r="Q250" s="91"/>
      <c r="R250" s="91"/>
      <c r="S250" s="91"/>
    </row>
    <row r="251" spans="1:19" ht="15.75" customHeight="1" x14ac:dyDescent="0.25">
      <c r="A251" s="92"/>
      <c r="B251" s="93"/>
      <c r="C251" s="92"/>
      <c r="D251" s="92"/>
      <c r="E251" s="92"/>
      <c r="F251" s="92"/>
      <c r="G251" s="92"/>
      <c r="H251" s="91"/>
      <c r="I251" s="91"/>
      <c r="J251" s="91"/>
      <c r="K251" s="91"/>
      <c r="L251" s="91"/>
      <c r="M251" s="91"/>
      <c r="N251" s="91"/>
      <c r="O251" s="91"/>
      <c r="P251" s="91"/>
      <c r="Q251" s="91"/>
      <c r="R251" s="91"/>
      <c r="S251" s="91"/>
    </row>
    <row r="252" spans="1:19" ht="15.75" customHeight="1" x14ac:dyDescent="0.25">
      <c r="A252" s="92"/>
      <c r="B252" s="93"/>
      <c r="C252" s="92"/>
      <c r="D252" s="92"/>
      <c r="E252" s="92"/>
      <c r="F252" s="92"/>
      <c r="G252" s="92"/>
      <c r="H252" s="91"/>
      <c r="I252" s="91"/>
      <c r="J252" s="91"/>
      <c r="K252" s="91"/>
      <c r="L252" s="91"/>
      <c r="M252" s="91"/>
      <c r="N252" s="91"/>
      <c r="O252" s="91"/>
      <c r="P252" s="91"/>
      <c r="Q252" s="91"/>
      <c r="R252" s="91"/>
      <c r="S252" s="91"/>
    </row>
    <row r="253" spans="1:19" ht="15.75" customHeight="1" x14ac:dyDescent="0.25">
      <c r="A253" s="92"/>
      <c r="B253" s="93"/>
      <c r="C253" s="92"/>
      <c r="D253" s="92"/>
      <c r="E253" s="92"/>
      <c r="F253" s="92"/>
      <c r="G253" s="92"/>
      <c r="H253" s="91"/>
      <c r="I253" s="91"/>
      <c r="J253" s="91"/>
      <c r="K253" s="91"/>
      <c r="L253" s="91"/>
      <c r="M253" s="91"/>
      <c r="N253" s="91"/>
      <c r="O253" s="91"/>
      <c r="P253" s="91"/>
      <c r="Q253" s="91"/>
      <c r="R253" s="91"/>
      <c r="S253" s="91"/>
    </row>
    <row r="254" spans="1:19" ht="15.75" customHeight="1" x14ac:dyDescent="0.25">
      <c r="A254" s="92"/>
      <c r="B254" s="93"/>
      <c r="C254" s="92"/>
      <c r="D254" s="92"/>
      <c r="E254" s="92"/>
      <c r="F254" s="92"/>
      <c r="G254" s="92"/>
      <c r="H254" s="91"/>
      <c r="I254" s="91"/>
      <c r="J254" s="91"/>
      <c r="K254" s="91"/>
      <c r="L254" s="91"/>
      <c r="M254" s="91"/>
      <c r="N254" s="91"/>
      <c r="O254" s="91"/>
      <c r="P254" s="91"/>
      <c r="Q254" s="91"/>
      <c r="R254" s="91"/>
      <c r="S254" s="91"/>
    </row>
    <row r="255" spans="1:19" ht="15.75" customHeight="1" x14ac:dyDescent="0.25">
      <c r="A255" s="92"/>
      <c r="B255" s="93"/>
      <c r="C255" s="92"/>
      <c r="D255" s="92"/>
      <c r="E255" s="92"/>
      <c r="F255" s="92"/>
      <c r="G255" s="92"/>
      <c r="H255" s="91"/>
      <c r="I255" s="91"/>
      <c r="J255" s="91"/>
      <c r="K255" s="91"/>
      <c r="L255" s="91"/>
      <c r="M255" s="91"/>
      <c r="N255" s="91"/>
      <c r="O255" s="91"/>
      <c r="P255" s="91"/>
      <c r="Q255" s="91"/>
      <c r="R255" s="91"/>
      <c r="S255" s="91"/>
    </row>
    <row r="256" spans="1:19" ht="15.75" customHeight="1" x14ac:dyDescent="0.25">
      <c r="A256" s="92"/>
      <c r="B256" s="93"/>
      <c r="C256" s="92"/>
      <c r="D256" s="92"/>
      <c r="E256" s="92"/>
      <c r="F256" s="92"/>
      <c r="G256" s="92"/>
      <c r="H256" s="91"/>
      <c r="I256" s="91"/>
      <c r="J256" s="91"/>
      <c r="K256" s="91"/>
      <c r="L256" s="91"/>
      <c r="M256" s="91"/>
      <c r="N256" s="91"/>
      <c r="O256" s="91"/>
      <c r="P256" s="91"/>
      <c r="Q256" s="91"/>
      <c r="R256" s="91"/>
      <c r="S256" s="91"/>
    </row>
    <row r="257" spans="1:19" ht="15.75" customHeight="1" x14ac:dyDescent="0.25">
      <c r="A257" s="92"/>
      <c r="B257" s="93"/>
      <c r="C257" s="92"/>
      <c r="D257" s="92"/>
      <c r="E257" s="92"/>
      <c r="F257" s="92"/>
      <c r="G257" s="92"/>
      <c r="H257" s="91"/>
      <c r="I257" s="91"/>
      <c r="J257" s="91"/>
      <c r="K257" s="91"/>
      <c r="L257" s="91"/>
      <c r="M257" s="91"/>
      <c r="N257" s="91"/>
      <c r="O257" s="91"/>
      <c r="P257" s="91"/>
      <c r="Q257" s="91"/>
      <c r="R257" s="91"/>
      <c r="S257" s="91"/>
    </row>
    <row r="258" spans="1:19" ht="15.75" customHeight="1" x14ac:dyDescent="0.25">
      <c r="A258" s="92"/>
      <c r="B258" s="93"/>
      <c r="C258" s="92"/>
      <c r="D258" s="92"/>
      <c r="E258" s="92"/>
      <c r="F258" s="92"/>
      <c r="G258" s="92"/>
      <c r="H258" s="91"/>
      <c r="I258" s="91"/>
      <c r="J258" s="91"/>
      <c r="K258" s="91"/>
      <c r="L258" s="91"/>
      <c r="M258" s="91"/>
      <c r="N258" s="91"/>
      <c r="O258" s="91"/>
      <c r="P258" s="91"/>
      <c r="Q258" s="91"/>
      <c r="R258" s="91"/>
      <c r="S258" s="91"/>
    </row>
    <row r="259" spans="1:19" ht="15.75" customHeight="1" x14ac:dyDescent="0.25">
      <c r="A259" s="92"/>
      <c r="B259" s="93"/>
      <c r="C259" s="92"/>
      <c r="D259" s="92"/>
      <c r="E259" s="92"/>
      <c r="F259" s="92"/>
      <c r="G259" s="92"/>
      <c r="H259" s="91"/>
      <c r="I259" s="91"/>
      <c r="J259" s="91"/>
      <c r="K259" s="91"/>
      <c r="L259" s="91"/>
      <c r="M259" s="91"/>
      <c r="N259" s="91"/>
      <c r="O259" s="91"/>
      <c r="P259" s="91"/>
      <c r="Q259" s="91"/>
      <c r="R259" s="91"/>
      <c r="S259" s="91"/>
    </row>
    <row r="260" spans="1:19" ht="15.75" customHeight="1" x14ac:dyDescent="0.25">
      <c r="A260" s="92"/>
      <c r="B260" s="93"/>
      <c r="C260" s="92"/>
      <c r="D260" s="92"/>
      <c r="E260" s="92"/>
      <c r="F260" s="92"/>
      <c r="G260" s="92"/>
      <c r="H260" s="91"/>
      <c r="I260" s="91"/>
      <c r="J260" s="91"/>
      <c r="K260" s="91"/>
      <c r="L260" s="91"/>
      <c r="M260" s="91"/>
      <c r="N260" s="91"/>
      <c r="O260" s="91"/>
      <c r="P260" s="91"/>
      <c r="Q260" s="91"/>
      <c r="R260" s="91"/>
      <c r="S260" s="91"/>
    </row>
    <row r="261" spans="1:19" ht="15.75" customHeight="1" x14ac:dyDescent="0.25">
      <c r="A261" s="92"/>
      <c r="B261" s="93"/>
      <c r="C261" s="92"/>
      <c r="D261" s="92"/>
      <c r="E261" s="92"/>
      <c r="F261" s="92"/>
      <c r="G261" s="92"/>
      <c r="H261" s="91"/>
      <c r="I261" s="91"/>
      <c r="J261" s="91"/>
      <c r="K261" s="91"/>
      <c r="L261" s="91"/>
      <c r="M261" s="91"/>
      <c r="N261" s="91"/>
      <c r="O261" s="91"/>
      <c r="P261" s="91"/>
      <c r="Q261" s="91"/>
      <c r="R261" s="91"/>
      <c r="S261" s="91"/>
    </row>
    <row r="262" spans="1:19" ht="15.75" customHeight="1" x14ac:dyDescent="0.25">
      <c r="A262" s="92"/>
      <c r="B262" s="93"/>
      <c r="C262" s="92"/>
      <c r="D262" s="92"/>
      <c r="E262" s="92"/>
      <c r="F262" s="92"/>
      <c r="G262" s="92"/>
      <c r="H262" s="91"/>
      <c r="I262" s="91"/>
      <c r="J262" s="91"/>
      <c r="K262" s="91"/>
      <c r="L262" s="91"/>
      <c r="M262" s="91"/>
      <c r="N262" s="91"/>
      <c r="O262" s="91"/>
      <c r="P262" s="91"/>
      <c r="Q262" s="91"/>
      <c r="R262" s="91"/>
      <c r="S262" s="91"/>
    </row>
    <row r="263" spans="1:19" ht="15.75" customHeight="1" x14ac:dyDescent="0.25">
      <c r="A263" s="92"/>
      <c r="B263" s="93"/>
      <c r="C263" s="92"/>
      <c r="D263" s="92"/>
      <c r="E263" s="92"/>
      <c r="F263" s="92"/>
      <c r="G263" s="92"/>
      <c r="H263" s="91"/>
      <c r="I263" s="91"/>
      <c r="J263" s="91"/>
      <c r="K263" s="91"/>
      <c r="L263" s="91"/>
      <c r="M263" s="91"/>
      <c r="N263" s="91"/>
      <c r="O263" s="91"/>
      <c r="P263" s="91"/>
      <c r="Q263" s="91"/>
      <c r="R263" s="91"/>
      <c r="S263" s="91"/>
    </row>
    <row r="264" spans="1:19" ht="15.75" customHeight="1" x14ac:dyDescent="0.25">
      <c r="A264" s="92"/>
      <c r="B264" s="93"/>
      <c r="C264" s="92"/>
      <c r="D264" s="92"/>
      <c r="E264" s="92"/>
      <c r="F264" s="92"/>
      <c r="G264" s="92"/>
      <c r="H264" s="91"/>
      <c r="I264" s="91"/>
      <c r="J264" s="91"/>
      <c r="K264" s="91"/>
      <c r="L264" s="91"/>
      <c r="M264" s="91"/>
      <c r="N264" s="91"/>
      <c r="O264" s="91"/>
      <c r="P264" s="91"/>
      <c r="Q264" s="91"/>
      <c r="R264" s="91"/>
      <c r="S264" s="91"/>
    </row>
    <row r="265" spans="1:19" ht="15.75" customHeight="1" x14ac:dyDescent="0.25">
      <c r="A265" s="92"/>
      <c r="B265" s="93"/>
      <c r="C265" s="92"/>
      <c r="D265" s="92"/>
      <c r="E265" s="92"/>
      <c r="F265" s="92"/>
      <c r="G265" s="92"/>
      <c r="H265" s="91"/>
      <c r="I265" s="91"/>
      <c r="J265" s="91"/>
      <c r="K265" s="91"/>
      <c r="L265" s="91"/>
      <c r="M265" s="91"/>
      <c r="N265" s="91"/>
      <c r="O265" s="91"/>
      <c r="P265" s="91"/>
      <c r="Q265" s="91"/>
      <c r="R265" s="91"/>
      <c r="S265" s="91"/>
    </row>
    <row r="266" spans="1:19" ht="15.75" customHeight="1" x14ac:dyDescent="0.25">
      <c r="A266" s="92"/>
      <c r="B266" s="93"/>
      <c r="C266" s="92"/>
      <c r="D266" s="92"/>
      <c r="E266" s="92"/>
      <c r="F266" s="92"/>
      <c r="G266" s="92"/>
      <c r="H266" s="91"/>
      <c r="I266" s="91"/>
      <c r="J266" s="91"/>
      <c r="K266" s="91"/>
      <c r="L266" s="91"/>
      <c r="M266" s="91"/>
      <c r="N266" s="91"/>
      <c r="O266" s="91"/>
      <c r="P266" s="91"/>
      <c r="Q266" s="91"/>
      <c r="R266" s="91"/>
      <c r="S266" s="91"/>
    </row>
    <row r="267" spans="1:19" ht="15.75" customHeight="1" x14ac:dyDescent="0.25">
      <c r="A267" s="92"/>
      <c r="B267" s="93"/>
      <c r="C267" s="92"/>
      <c r="D267" s="92"/>
      <c r="E267" s="92"/>
      <c r="F267" s="92"/>
      <c r="G267" s="92"/>
      <c r="H267" s="91"/>
      <c r="I267" s="91"/>
      <c r="J267" s="91"/>
      <c r="K267" s="91"/>
      <c r="L267" s="91"/>
      <c r="M267" s="91"/>
      <c r="N267" s="91"/>
      <c r="O267" s="91"/>
      <c r="P267" s="91"/>
      <c r="Q267" s="91"/>
      <c r="R267" s="91"/>
      <c r="S267" s="91"/>
    </row>
    <row r="268" spans="1:19" ht="15.75" customHeight="1" x14ac:dyDescent="0.25">
      <c r="A268" s="92"/>
      <c r="B268" s="93"/>
      <c r="C268" s="92"/>
      <c r="D268" s="92"/>
      <c r="E268" s="92"/>
      <c r="F268" s="92"/>
      <c r="G268" s="92"/>
      <c r="H268" s="91"/>
      <c r="I268" s="91"/>
      <c r="J268" s="91"/>
      <c r="K268" s="91"/>
      <c r="L268" s="91"/>
      <c r="M268" s="91"/>
      <c r="N268" s="91"/>
      <c r="O268" s="91"/>
      <c r="P268" s="91"/>
      <c r="Q268" s="91"/>
      <c r="R268" s="91"/>
      <c r="S268" s="91"/>
    </row>
    <row r="269" spans="1:19" ht="15.75" customHeight="1" x14ac:dyDescent="0.25">
      <c r="A269" s="92"/>
      <c r="B269" s="93"/>
      <c r="C269" s="92"/>
      <c r="D269" s="92"/>
      <c r="E269" s="92"/>
      <c r="F269" s="92"/>
      <c r="G269" s="92"/>
      <c r="H269" s="91"/>
      <c r="I269" s="91"/>
      <c r="J269" s="91"/>
      <c r="K269" s="91"/>
      <c r="L269" s="91"/>
      <c r="M269" s="91"/>
      <c r="N269" s="91"/>
      <c r="O269" s="91"/>
      <c r="P269" s="91"/>
      <c r="Q269" s="91"/>
      <c r="R269" s="91"/>
      <c r="S269" s="91"/>
    </row>
    <row r="270" spans="1:19" ht="15.75" customHeight="1" x14ac:dyDescent="0.25">
      <c r="A270" s="92"/>
      <c r="B270" s="93"/>
      <c r="C270" s="92"/>
      <c r="D270" s="92"/>
      <c r="E270" s="92"/>
      <c r="F270" s="92"/>
      <c r="G270" s="92"/>
      <c r="H270" s="91"/>
      <c r="I270" s="91"/>
      <c r="J270" s="91"/>
      <c r="K270" s="91"/>
      <c r="L270" s="91"/>
      <c r="M270" s="91"/>
      <c r="N270" s="91"/>
      <c r="O270" s="91"/>
      <c r="P270" s="91"/>
      <c r="Q270" s="91"/>
      <c r="R270" s="91"/>
      <c r="S270" s="91"/>
    </row>
    <row r="271" spans="1:19" ht="15.75" customHeight="1" x14ac:dyDescent="0.25">
      <c r="A271" s="92"/>
      <c r="B271" s="93"/>
      <c r="C271" s="92"/>
      <c r="D271" s="92"/>
      <c r="E271" s="92"/>
      <c r="F271" s="92"/>
      <c r="G271" s="92"/>
      <c r="H271" s="91"/>
      <c r="I271" s="91"/>
      <c r="J271" s="91"/>
      <c r="K271" s="91"/>
      <c r="L271" s="91"/>
      <c r="M271" s="91"/>
      <c r="N271" s="91"/>
      <c r="O271" s="91"/>
      <c r="P271" s="91"/>
      <c r="Q271" s="91"/>
      <c r="R271" s="91"/>
      <c r="S271" s="91"/>
    </row>
    <row r="272" spans="1:19" ht="15.75" customHeight="1" x14ac:dyDescent="0.25">
      <c r="A272" s="92"/>
      <c r="B272" s="93"/>
      <c r="C272" s="92"/>
      <c r="D272" s="92"/>
      <c r="E272" s="92"/>
      <c r="F272" s="92"/>
      <c r="G272" s="92"/>
      <c r="H272" s="91"/>
      <c r="I272" s="91"/>
      <c r="J272" s="91"/>
      <c r="K272" s="91"/>
      <c r="L272" s="91"/>
      <c r="M272" s="91"/>
      <c r="N272" s="91"/>
      <c r="O272" s="91"/>
      <c r="P272" s="91"/>
      <c r="Q272" s="91"/>
      <c r="R272" s="91"/>
      <c r="S272" s="91"/>
    </row>
    <row r="273" spans="1:19" ht="15.75" customHeight="1" x14ac:dyDescent="0.25">
      <c r="A273" s="92"/>
      <c r="B273" s="93"/>
      <c r="C273" s="92"/>
      <c r="D273" s="92"/>
      <c r="E273" s="92"/>
      <c r="F273" s="92"/>
      <c r="G273" s="92"/>
      <c r="H273" s="91"/>
      <c r="I273" s="91"/>
      <c r="J273" s="91"/>
      <c r="K273" s="91"/>
      <c r="L273" s="91"/>
      <c r="M273" s="91"/>
      <c r="N273" s="91"/>
      <c r="O273" s="91"/>
      <c r="P273" s="91"/>
      <c r="Q273" s="91"/>
      <c r="R273" s="91"/>
      <c r="S273" s="91"/>
    </row>
    <row r="274" spans="1:19" ht="15.75" customHeight="1" x14ac:dyDescent="0.25">
      <c r="A274" s="92"/>
      <c r="B274" s="93"/>
      <c r="C274" s="92"/>
      <c r="D274" s="92"/>
      <c r="E274" s="92"/>
      <c r="F274" s="92"/>
      <c r="G274" s="92"/>
      <c r="H274" s="91"/>
      <c r="I274" s="91"/>
      <c r="J274" s="91"/>
      <c r="K274" s="91"/>
      <c r="L274" s="91"/>
      <c r="M274" s="91"/>
      <c r="N274" s="91"/>
      <c r="O274" s="91"/>
      <c r="P274" s="91"/>
      <c r="Q274" s="91"/>
      <c r="R274" s="91"/>
      <c r="S274" s="91"/>
    </row>
    <row r="275" spans="1:19" ht="15.75" customHeight="1" x14ac:dyDescent="0.25">
      <c r="A275" s="92"/>
      <c r="B275" s="93"/>
      <c r="C275" s="92"/>
      <c r="D275" s="92"/>
      <c r="E275" s="92"/>
      <c r="F275" s="92"/>
      <c r="G275" s="92"/>
      <c r="H275" s="91"/>
      <c r="I275" s="91"/>
      <c r="J275" s="91"/>
      <c r="K275" s="91"/>
      <c r="L275" s="91"/>
      <c r="M275" s="91"/>
      <c r="N275" s="91"/>
      <c r="O275" s="91"/>
      <c r="P275" s="91"/>
      <c r="Q275" s="91"/>
      <c r="R275" s="91"/>
      <c r="S275" s="91"/>
    </row>
    <row r="276" spans="1:19" ht="15.75" customHeight="1" x14ac:dyDescent="0.25">
      <c r="A276" s="92"/>
      <c r="B276" s="93"/>
      <c r="C276" s="92"/>
      <c r="D276" s="92"/>
      <c r="E276" s="92"/>
      <c r="F276" s="92"/>
      <c r="G276" s="92"/>
      <c r="H276" s="91"/>
      <c r="I276" s="91"/>
      <c r="J276" s="91"/>
      <c r="K276" s="91"/>
      <c r="L276" s="91"/>
      <c r="M276" s="91"/>
      <c r="N276" s="91"/>
      <c r="O276" s="91"/>
      <c r="P276" s="91"/>
      <c r="Q276" s="91"/>
      <c r="R276" s="91"/>
      <c r="S276" s="91"/>
    </row>
    <row r="277" spans="1:19" ht="15.75" customHeight="1" x14ac:dyDescent="0.25">
      <c r="A277" s="92"/>
      <c r="B277" s="93"/>
      <c r="C277" s="92"/>
      <c r="D277" s="92"/>
      <c r="E277" s="92"/>
      <c r="F277" s="92"/>
      <c r="G277" s="92"/>
      <c r="H277" s="91"/>
      <c r="I277" s="91"/>
      <c r="J277" s="91"/>
      <c r="K277" s="91"/>
      <c r="L277" s="91"/>
      <c r="M277" s="91"/>
      <c r="N277" s="91"/>
      <c r="O277" s="91"/>
      <c r="P277" s="91"/>
      <c r="Q277" s="91"/>
      <c r="R277" s="91"/>
      <c r="S277" s="91"/>
    </row>
    <row r="278" spans="1:19" ht="15.75" customHeight="1" x14ac:dyDescent="0.25">
      <c r="A278" s="92"/>
      <c r="B278" s="93"/>
      <c r="C278" s="92"/>
      <c r="D278" s="92"/>
      <c r="E278" s="92"/>
      <c r="F278" s="92"/>
      <c r="G278" s="92"/>
      <c r="H278" s="91"/>
      <c r="I278" s="91"/>
      <c r="J278" s="91"/>
      <c r="K278" s="91"/>
      <c r="L278" s="91"/>
      <c r="M278" s="91"/>
      <c r="N278" s="91"/>
      <c r="O278" s="91"/>
      <c r="P278" s="91"/>
      <c r="Q278" s="91"/>
      <c r="R278" s="91"/>
      <c r="S278" s="91"/>
    </row>
    <row r="279" spans="1:19" ht="15.75" customHeight="1" x14ac:dyDescent="0.25">
      <c r="A279" s="92"/>
      <c r="B279" s="93"/>
      <c r="C279" s="92"/>
      <c r="D279" s="92"/>
      <c r="E279" s="92"/>
      <c r="F279" s="92"/>
      <c r="G279" s="92"/>
      <c r="H279" s="91"/>
      <c r="I279" s="91"/>
      <c r="J279" s="91"/>
      <c r="K279" s="91"/>
      <c r="L279" s="91"/>
      <c r="M279" s="91"/>
      <c r="N279" s="91"/>
      <c r="O279" s="91"/>
      <c r="P279" s="91"/>
      <c r="Q279" s="91"/>
      <c r="R279" s="91"/>
      <c r="S279" s="91"/>
    </row>
    <row r="280" spans="1:19" ht="15.75" customHeight="1" x14ac:dyDescent="0.25">
      <c r="A280" s="92"/>
      <c r="B280" s="93"/>
      <c r="C280" s="92"/>
      <c r="D280" s="92"/>
      <c r="E280" s="92"/>
      <c r="F280" s="92"/>
      <c r="G280" s="92"/>
      <c r="H280" s="91"/>
      <c r="I280" s="91"/>
      <c r="J280" s="91"/>
      <c r="K280" s="91"/>
      <c r="L280" s="91"/>
      <c r="M280" s="91"/>
      <c r="N280" s="91"/>
      <c r="O280" s="91"/>
      <c r="P280" s="91"/>
      <c r="Q280" s="91"/>
      <c r="R280" s="91"/>
      <c r="S280" s="91"/>
    </row>
    <row r="281" spans="1:19" ht="15.75" customHeight="1" x14ac:dyDescent="0.25">
      <c r="A281" s="92"/>
      <c r="B281" s="93"/>
      <c r="C281" s="92"/>
      <c r="D281" s="92"/>
      <c r="E281" s="92"/>
      <c r="F281" s="92"/>
      <c r="G281" s="92"/>
      <c r="H281" s="91"/>
      <c r="I281" s="91"/>
      <c r="J281" s="91"/>
      <c r="K281" s="91"/>
      <c r="L281" s="91"/>
      <c r="M281" s="91"/>
      <c r="N281" s="91"/>
      <c r="O281" s="91"/>
      <c r="P281" s="91"/>
      <c r="Q281" s="91"/>
      <c r="R281" s="91"/>
      <c r="S281" s="91"/>
    </row>
    <row r="282" spans="1:19" ht="15.75" customHeight="1" x14ac:dyDescent="0.25">
      <c r="A282" s="92"/>
      <c r="B282" s="93"/>
      <c r="C282" s="92"/>
      <c r="D282" s="92"/>
      <c r="E282" s="92"/>
      <c r="F282" s="92"/>
      <c r="G282" s="92"/>
      <c r="H282" s="91"/>
      <c r="I282" s="91"/>
      <c r="J282" s="91"/>
      <c r="K282" s="91"/>
      <c r="L282" s="91"/>
      <c r="M282" s="91"/>
      <c r="N282" s="91"/>
      <c r="O282" s="91"/>
      <c r="P282" s="91"/>
      <c r="Q282" s="91"/>
      <c r="R282" s="91"/>
      <c r="S282" s="91"/>
    </row>
    <row r="283" spans="1:19" ht="15.75" customHeight="1" x14ac:dyDescent="0.25">
      <c r="A283" s="92"/>
      <c r="B283" s="93"/>
      <c r="C283" s="92"/>
      <c r="D283" s="92"/>
      <c r="E283" s="92"/>
      <c r="F283" s="92"/>
      <c r="G283" s="92"/>
      <c r="H283" s="91"/>
      <c r="I283" s="91"/>
      <c r="J283" s="91"/>
      <c r="K283" s="91"/>
      <c r="L283" s="91"/>
      <c r="M283" s="91"/>
      <c r="N283" s="91"/>
      <c r="O283" s="91"/>
      <c r="P283" s="91"/>
      <c r="Q283" s="91"/>
      <c r="R283" s="91"/>
      <c r="S283" s="91"/>
    </row>
    <row r="284" spans="1:19" ht="15.75" customHeight="1" x14ac:dyDescent="0.25">
      <c r="A284" s="92"/>
      <c r="B284" s="93"/>
      <c r="C284" s="92"/>
      <c r="D284" s="92"/>
      <c r="E284" s="92"/>
      <c r="F284" s="92"/>
      <c r="G284" s="92"/>
      <c r="H284" s="91"/>
      <c r="I284" s="91"/>
      <c r="J284" s="91"/>
      <c r="K284" s="91"/>
      <c r="L284" s="91"/>
      <c r="M284" s="91"/>
      <c r="N284" s="91"/>
      <c r="O284" s="91"/>
      <c r="P284" s="91"/>
      <c r="Q284" s="91"/>
      <c r="R284" s="91"/>
      <c r="S284" s="91"/>
    </row>
    <row r="285" spans="1:19" ht="15.75" customHeight="1" x14ac:dyDescent="0.25">
      <c r="A285" s="92"/>
      <c r="B285" s="93"/>
      <c r="C285" s="92"/>
      <c r="D285" s="92"/>
      <c r="E285" s="92"/>
      <c r="F285" s="92"/>
      <c r="G285" s="92"/>
      <c r="H285" s="91"/>
      <c r="I285" s="91"/>
      <c r="J285" s="91"/>
      <c r="K285" s="91"/>
      <c r="L285" s="91"/>
      <c r="M285" s="91"/>
      <c r="N285" s="91"/>
      <c r="O285" s="91"/>
      <c r="P285" s="91"/>
      <c r="Q285" s="91"/>
      <c r="R285" s="91"/>
      <c r="S285" s="91"/>
    </row>
    <row r="286" spans="1:19" ht="15.75" customHeight="1" x14ac:dyDescent="0.25">
      <c r="A286" s="92"/>
      <c r="B286" s="93"/>
      <c r="C286" s="92"/>
      <c r="D286" s="92"/>
      <c r="E286" s="92"/>
      <c r="F286" s="92"/>
      <c r="G286" s="92"/>
      <c r="H286" s="91"/>
      <c r="I286" s="91"/>
      <c r="J286" s="91"/>
      <c r="K286" s="91"/>
      <c r="L286" s="91"/>
      <c r="M286" s="91"/>
      <c r="N286" s="91"/>
      <c r="O286" s="91"/>
      <c r="P286" s="91"/>
      <c r="Q286" s="91"/>
      <c r="R286" s="91"/>
      <c r="S286" s="91"/>
    </row>
    <row r="287" spans="1:19" ht="15.75" customHeight="1" x14ac:dyDescent="0.25">
      <c r="A287" s="92"/>
      <c r="B287" s="93"/>
      <c r="C287" s="92"/>
      <c r="D287" s="92"/>
      <c r="E287" s="92"/>
      <c r="F287" s="92"/>
      <c r="G287" s="92"/>
      <c r="H287" s="91"/>
      <c r="I287" s="91"/>
      <c r="J287" s="91"/>
      <c r="K287" s="91"/>
      <c r="L287" s="91"/>
      <c r="M287" s="91"/>
      <c r="N287" s="91"/>
      <c r="O287" s="91"/>
      <c r="P287" s="91"/>
      <c r="Q287" s="91"/>
      <c r="R287" s="91"/>
      <c r="S287" s="91"/>
    </row>
    <row r="288" spans="1:19" ht="15.75" customHeight="1" x14ac:dyDescent="0.25">
      <c r="A288" s="92"/>
      <c r="B288" s="93"/>
      <c r="C288" s="92"/>
      <c r="D288" s="92"/>
      <c r="E288" s="92"/>
      <c r="F288" s="92"/>
      <c r="G288" s="92"/>
      <c r="H288" s="91"/>
      <c r="I288" s="91"/>
      <c r="J288" s="91"/>
      <c r="K288" s="91"/>
      <c r="L288" s="91"/>
      <c r="M288" s="91"/>
      <c r="N288" s="91"/>
      <c r="O288" s="91"/>
      <c r="P288" s="91"/>
      <c r="Q288" s="91"/>
      <c r="R288" s="91"/>
      <c r="S288" s="91"/>
    </row>
    <row r="289" spans="1:19" ht="15.75" customHeight="1" x14ac:dyDescent="0.25">
      <c r="A289" s="92"/>
      <c r="B289" s="93"/>
      <c r="C289" s="92"/>
      <c r="D289" s="92"/>
      <c r="E289" s="92"/>
      <c r="F289" s="92"/>
      <c r="G289" s="92"/>
      <c r="H289" s="91"/>
      <c r="I289" s="91"/>
      <c r="J289" s="91"/>
      <c r="K289" s="91"/>
      <c r="L289" s="91"/>
      <c r="M289" s="91"/>
      <c r="N289" s="91"/>
      <c r="O289" s="91"/>
      <c r="P289" s="91"/>
      <c r="Q289" s="91"/>
      <c r="R289" s="91"/>
      <c r="S289" s="91"/>
    </row>
    <row r="290" spans="1:19" ht="15.75" customHeight="1" x14ac:dyDescent="0.25">
      <c r="A290" s="92"/>
      <c r="B290" s="93"/>
      <c r="C290" s="92"/>
      <c r="D290" s="92"/>
      <c r="E290" s="92"/>
      <c r="F290" s="92"/>
      <c r="G290" s="92"/>
      <c r="H290" s="91"/>
      <c r="I290" s="91"/>
      <c r="J290" s="91"/>
      <c r="K290" s="91"/>
      <c r="L290" s="91"/>
      <c r="M290" s="91"/>
      <c r="N290" s="91"/>
      <c r="O290" s="91"/>
      <c r="P290" s="91"/>
      <c r="Q290" s="91"/>
      <c r="R290" s="91"/>
      <c r="S290" s="91"/>
    </row>
    <row r="291" spans="1:19" ht="15.75" customHeight="1" x14ac:dyDescent="0.25">
      <c r="A291" s="92"/>
      <c r="B291" s="93"/>
      <c r="C291" s="92"/>
      <c r="D291" s="92"/>
      <c r="E291" s="92"/>
      <c r="F291" s="92"/>
      <c r="G291" s="92"/>
      <c r="H291" s="91"/>
      <c r="I291" s="91"/>
      <c r="J291" s="91"/>
      <c r="K291" s="91"/>
      <c r="L291" s="91"/>
      <c r="M291" s="91"/>
      <c r="N291" s="91"/>
      <c r="O291" s="91"/>
      <c r="P291" s="91"/>
      <c r="Q291" s="91"/>
      <c r="R291" s="91"/>
      <c r="S291" s="91"/>
    </row>
    <row r="292" spans="1:19" ht="15.75" customHeight="1" x14ac:dyDescent="0.25">
      <c r="A292" s="92"/>
      <c r="B292" s="93"/>
      <c r="C292" s="92"/>
      <c r="D292" s="92"/>
      <c r="E292" s="92"/>
      <c r="F292" s="92"/>
      <c r="G292" s="92"/>
      <c r="H292" s="91"/>
      <c r="I292" s="91"/>
      <c r="J292" s="91"/>
      <c r="K292" s="91"/>
      <c r="L292" s="91"/>
      <c r="M292" s="91"/>
      <c r="N292" s="91"/>
      <c r="O292" s="91"/>
      <c r="P292" s="91"/>
      <c r="Q292" s="91"/>
      <c r="R292" s="91"/>
      <c r="S292" s="91"/>
    </row>
    <row r="293" spans="1:19" ht="15.75" customHeight="1" x14ac:dyDescent="0.25">
      <c r="A293" s="92"/>
      <c r="B293" s="93"/>
      <c r="C293" s="92"/>
      <c r="D293" s="92"/>
      <c r="E293" s="92"/>
      <c r="F293" s="92"/>
      <c r="G293" s="92"/>
      <c r="H293" s="91"/>
      <c r="I293" s="91"/>
      <c r="J293" s="91"/>
      <c r="K293" s="91"/>
      <c r="L293" s="91"/>
      <c r="M293" s="91"/>
      <c r="N293" s="91"/>
      <c r="O293" s="91"/>
      <c r="P293" s="91"/>
      <c r="Q293" s="91"/>
      <c r="R293" s="91"/>
      <c r="S293" s="91"/>
    </row>
    <row r="294" spans="1:19" ht="15.75" customHeight="1" x14ac:dyDescent="0.25">
      <c r="A294" s="92"/>
      <c r="B294" s="93"/>
      <c r="C294" s="92"/>
      <c r="D294" s="92"/>
      <c r="E294" s="92"/>
      <c r="F294" s="92"/>
      <c r="G294" s="92"/>
      <c r="H294" s="91"/>
      <c r="I294" s="91"/>
      <c r="J294" s="91"/>
      <c r="K294" s="91"/>
      <c r="L294" s="91"/>
      <c r="M294" s="91"/>
      <c r="N294" s="91"/>
      <c r="O294" s="91"/>
      <c r="P294" s="91"/>
      <c r="Q294" s="91"/>
      <c r="R294" s="91"/>
      <c r="S294" s="91"/>
    </row>
    <row r="295" spans="1:19" ht="15.75" customHeight="1" x14ac:dyDescent="0.25">
      <c r="A295" s="92"/>
      <c r="B295" s="93"/>
      <c r="C295" s="92"/>
      <c r="D295" s="92"/>
      <c r="E295" s="92"/>
      <c r="F295" s="92"/>
      <c r="G295" s="92"/>
      <c r="H295" s="91"/>
      <c r="I295" s="91"/>
      <c r="J295" s="91"/>
      <c r="K295" s="91"/>
      <c r="L295" s="91"/>
      <c r="M295" s="91"/>
      <c r="N295" s="91"/>
      <c r="O295" s="91"/>
      <c r="P295" s="91"/>
      <c r="Q295" s="91"/>
      <c r="R295" s="91"/>
      <c r="S295" s="91"/>
    </row>
    <row r="296" spans="1:19" ht="15.75" customHeight="1" x14ac:dyDescent="0.25">
      <c r="A296" s="92"/>
      <c r="B296" s="93"/>
      <c r="C296" s="92"/>
      <c r="D296" s="92"/>
      <c r="E296" s="92"/>
      <c r="F296" s="92"/>
      <c r="G296" s="92"/>
      <c r="H296" s="91"/>
      <c r="I296" s="91"/>
      <c r="J296" s="91"/>
      <c r="K296" s="91"/>
      <c r="L296" s="91"/>
      <c r="M296" s="91"/>
      <c r="N296" s="91"/>
      <c r="O296" s="91"/>
      <c r="P296" s="91"/>
      <c r="Q296" s="91"/>
      <c r="R296" s="91"/>
      <c r="S296" s="91"/>
    </row>
    <row r="297" spans="1:19" ht="15.75" customHeight="1" x14ac:dyDescent="0.25">
      <c r="A297" s="92"/>
      <c r="B297" s="93"/>
      <c r="C297" s="92"/>
      <c r="D297" s="92"/>
      <c r="E297" s="92"/>
      <c r="F297" s="92"/>
      <c r="G297" s="92"/>
      <c r="H297" s="91"/>
      <c r="I297" s="91"/>
      <c r="J297" s="91"/>
      <c r="K297" s="91"/>
      <c r="L297" s="91"/>
      <c r="M297" s="91"/>
      <c r="N297" s="91"/>
      <c r="O297" s="91"/>
      <c r="P297" s="91"/>
      <c r="Q297" s="91"/>
      <c r="R297" s="91"/>
      <c r="S297" s="91"/>
    </row>
    <row r="298" spans="1:19" ht="15.75" customHeight="1" x14ac:dyDescent="0.25">
      <c r="A298" s="92"/>
      <c r="B298" s="93"/>
      <c r="C298" s="92"/>
      <c r="D298" s="92"/>
      <c r="E298" s="92"/>
      <c r="F298" s="92"/>
      <c r="G298" s="92"/>
      <c r="H298" s="91"/>
      <c r="I298" s="91"/>
      <c r="J298" s="91"/>
      <c r="K298" s="91"/>
      <c r="L298" s="91"/>
      <c r="M298" s="91"/>
      <c r="N298" s="91"/>
      <c r="O298" s="91"/>
      <c r="P298" s="91"/>
      <c r="Q298" s="91"/>
      <c r="R298" s="91"/>
      <c r="S298" s="91"/>
    </row>
    <row r="299" spans="1:19" ht="15.75" customHeight="1" x14ac:dyDescent="0.25">
      <c r="A299" s="92"/>
      <c r="B299" s="93"/>
      <c r="C299" s="92"/>
      <c r="D299" s="92"/>
      <c r="E299" s="92"/>
      <c r="F299" s="92"/>
      <c r="G299" s="92"/>
      <c r="H299" s="91"/>
      <c r="I299" s="91"/>
      <c r="J299" s="91"/>
      <c r="K299" s="91"/>
      <c r="L299" s="91"/>
      <c r="M299" s="91"/>
      <c r="N299" s="91"/>
      <c r="O299" s="91"/>
      <c r="P299" s="91"/>
      <c r="Q299" s="91"/>
      <c r="R299" s="91"/>
      <c r="S299" s="91"/>
    </row>
    <row r="300" spans="1:19" ht="15.75" customHeight="1" x14ac:dyDescent="0.25">
      <c r="A300" s="92"/>
      <c r="B300" s="93"/>
      <c r="C300" s="92"/>
      <c r="D300" s="92"/>
      <c r="E300" s="92"/>
      <c r="F300" s="92"/>
      <c r="G300" s="92"/>
      <c r="H300" s="91"/>
      <c r="I300" s="91"/>
      <c r="J300" s="91"/>
      <c r="K300" s="91"/>
      <c r="L300" s="91"/>
      <c r="M300" s="91"/>
      <c r="N300" s="91"/>
      <c r="O300" s="91"/>
      <c r="P300" s="91"/>
      <c r="Q300" s="91"/>
      <c r="R300" s="91"/>
      <c r="S300" s="91"/>
    </row>
    <row r="301" spans="1:19" ht="15.75" customHeight="1" x14ac:dyDescent="0.25">
      <c r="A301" s="92"/>
      <c r="B301" s="93"/>
      <c r="C301" s="92"/>
      <c r="D301" s="92"/>
      <c r="E301" s="92"/>
      <c r="F301" s="92"/>
      <c r="G301" s="92"/>
      <c r="H301" s="91"/>
      <c r="I301" s="91"/>
      <c r="J301" s="91"/>
      <c r="K301" s="91"/>
      <c r="L301" s="91"/>
      <c r="M301" s="91"/>
      <c r="N301" s="91"/>
      <c r="O301" s="91"/>
      <c r="P301" s="91"/>
      <c r="Q301" s="91"/>
      <c r="R301" s="91"/>
      <c r="S301" s="91"/>
    </row>
    <row r="302" spans="1:19" ht="15.75" customHeight="1" x14ac:dyDescent="0.25">
      <c r="A302" s="92"/>
      <c r="B302" s="93"/>
      <c r="C302" s="92"/>
      <c r="D302" s="92"/>
      <c r="E302" s="92"/>
      <c r="F302" s="92"/>
      <c r="G302" s="92"/>
      <c r="H302" s="91"/>
      <c r="I302" s="91"/>
      <c r="J302" s="91"/>
      <c r="K302" s="91"/>
      <c r="L302" s="91"/>
      <c r="M302" s="91"/>
      <c r="N302" s="91"/>
      <c r="O302" s="91"/>
      <c r="P302" s="91"/>
      <c r="Q302" s="91"/>
      <c r="R302" s="91"/>
      <c r="S302" s="91"/>
    </row>
    <row r="303" spans="1:19" ht="15.75" customHeight="1" x14ac:dyDescent="0.25">
      <c r="A303" s="92"/>
      <c r="B303" s="93"/>
      <c r="C303" s="92"/>
      <c r="D303" s="92"/>
      <c r="E303" s="92"/>
      <c r="F303" s="92"/>
      <c r="G303" s="92"/>
      <c r="H303" s="91"/>
      <c r="I303" s="91"/>
      <c r="J303" s="91"/>
      <c r="K303" s="91"/>
      <c r="L303" s="91"/>
      <c r="M303" s="91"/>
      <c r="N303" s="91"/>
      <c r="O303" s="91"/>
      <c r="P303" s="91"/>
      <c r="Q303" s="91"/>
      <c r="R303" s="91"/>
      <c r="S303" s="91"/>
    </row>
    <row r="304" spans="1:19" ht="15.75" customHeight="1" x14ac:dyDescent="0.25">
      <c r="A304" s="92"/>
      <c r="B304" s="93"/>
      <c r="C304" s="92"/>
      <c r="D304" s="92"/>
      <c r="E304" s="92"/>
      <c r="F304" s="92"/>
      <c r="G304" s="92"/>
      <c r="H304" s="91"/>
      <c r="I304" s="91"/>
      <c r="J304" s="91"/>
      <c r="K304" s="91"/>
      <c r="L304" s="91"/>
      <c r="M304" s="91"/>
      <c r="N304" s="91"/>
      <c r="O304" s="91"/>
      <c r="P304" s="91"/>
      <c r="Q304" s="91"/>
      <c r="R304" s="91"/>
      <c r="S304" s="91"/>
    </row>
    <row r="305" spans="1:19" ht="15.75" customHeight="1" x14ac:dyDescent="0.25">
      <c r="A305" s="92"/>
      <c r="B305" s="93"/>
      <c r="C305" s="92"/>
      <c r="D305" s="92"/>
      <c r="E305" s="92"/>
      <c r="F305" s="92"/>
      <c r="G305" s="92"/>
      <c r="H305" s="91"/>
      <c r="I305" s="91"/>
      <c r="J305" s="91"/>
      <c r="K305" s="91"/>
      <c r="L305" s="91"/>
      <c r="M305" s="91"/>
      <c r="N305" s="91"/>
      <c r="O305" s="91"/>
      <c r="P305" s="91"/>
      <c r="Q305" s="91"/>
      <c r="R305" s="91"/>
      <c r="S305" s="91"/>
    </row>
    <row r="306" spans="1:19" ht="15.75" customHeight="1" x14ac:dyDescent="0.25">
      <c r="A306" s="92"/>
      <c r="B306" s="93"/>
      <c r="C306" s="92"/>
      <c r="D306" s="92"/>
      <c r="E306" s="92"/>
      <c r="F306" s="92"/>
      <c r="G306" s="92"/>
      <c r="H306" s="91"/>
      <c r="I306" s="91"/>
      <c r="J306" s="91"/>
      <c r="K306" s="91"/>
      <c r="L306" s="91"/>
      <c r="M306" s="91"/>
      <c r="N306" s="91"/>
      <c r="O306" s="91"/>
      <c r="P306" s="91"/>
      <c r="Q306" s="91"/>
      <c r="R306" s="91"/>
      <c r="S306" s="91"/>
    </row>
    <row r="307" spans="1:19" ht="15.75" customHeight="1" x14ac:dyDescent="0.25">
      <c r="A307" s="92"/>
      <c r="B307" s="93"/>
      <c r="C307" s="92"/>
      <c r="D307" s="92"/>
      <c r="E307" s="92"/>
      <c r="F307" s="92"/>
      <c r="G307" s="92"/>
      <c r="H307" s="91"/>
      <c r="I307" s="91"/>
      <c r="J307" s="91"/>
      <c r="K307" s="91"/>
      <c r="L307" s="91"/>
      <c r="M307" s="91"/>
      <c r="N307" s="91"/>
      <c r="O307" s="91"/>
      <c r="P307" s="91"/>
      <c r="Q307" s="91"/>
      <c r="R307" s="91"/>
      <c r="S307" s="91"/>
    </row>
    <row r="308" spans="1:19" ht="15.75" customHeight="1" x14ac:dyDescent="0.25">
      <c r="A308" s="92"/>
      <c r="B308" s="93"/>
      <c r="C308" s="92"/>
      <c r="D308" s="92"/>
      <c r="E308" s="92"/>
      <c r="F308" s="92"/>
      <c r="G308" s="92"/>
      <c r="H308" s="91"/>
      <c r="I308" s="91"/>
      <c r="J308" s="91"/>
      <c r="K308" s="91"/>
      <c r="L308" s="91"/>
      <c r="M308" s="91"/>
      <c r="N308" s="91"/>
      <c r="O308" s="91"/>
      <c r="P308" s="91"/>
      <c r="Q308" s="91"/>
      <c r="R308" s="91"/>
      <c r="S308" s="91"/>
    </row>
    <row r="309" spans="1:19" ht="15.75" customHeight="1" x14ac:dyDescent="0.25">
      <c r="A309" s="92"/>
      <c r="B309" s="93"/>
      <c r="C309" s="92"/>
      <c r="D309" s="92"/>
      <c r="E309" s="92"/>
      <c r="F309" s="92"/>
      <c r="G309" s="92"/>
      <c r="H309" s="91"/>
      <c r="I309" s="91"/>
      <c r="J309" s="91"/>
      <c r="K309" s="91"/>
      <c r="L309" s="91"/>
      <c r="M309" s="91"/>
      <c r="N309" s="91"/>
      <c r="O309" s="91"/>
      <c r="P309" s="91"/>
      <c r="Q309" s="91"/>
      <c r="R309" s="91"/>
      <c r="S309" s="91"/>
    </row>
    <row r="310" spans="1:19" ht="15.75" customHeight="1" x14ac:dyDescent="0.25">
      <c r="A310" s="92"/>
      <c r="B310" s="93"/>
      <c r="C310" s="92"/>
      <c r="D310" s="92"/>
      <c r="E310" s="92"/>
      <c r="F310" s="92"/>
      <c r="G310" s="92"/>
      <c r="H310" s="91"/>
      <c r="I310" s="91"/>
      <c r="J310" s="91"/>
      <c r="K310" s="91"/>
      <c r="L310" s="91"/>
      <c r="M310" s="91"/>
      <c r="N310" s="91"/>
      <c r="O310" s="91"/>
      <c r="P310" s="91"/>
      <c r="Q310" s="91"/>
      <c r="R310" s="91"/>
      <c r="S310" s="91"/>
    </row>
    <row r="311" spans="1:19" ht="15.75" customHeight="1" x14ac:dyDescent="0.25">
      <c r="A311" s="92"/>
      <c r="B311" s="93"/>
      <c r="C311" s="92"/>
      <c r="D311" s="92"/>
      <c r="E311" s="92"/>
      <c r="F311" s="92"/>
      <c r="G311" s="92"/>
      <c r="H311" s="91"/>
      <c r="I311" s="91"/>
      <c r="J311" s="91"/>
      <c r="K311" s="91"/>
      <c r="L311" s="91"/>
      <c r="M311" s="91"/>
      <c r="N311" s="91"/>
      <c r="O311" s="91"/>
      <c r="P311" s="91"/>
      <c r="Q311" s="91"/>
      <c r="R311" s="91"/>
      <c r="S311" s="91"/>
    </row>
    <row r="312" spans="1:19" ht="15.75" customHeight="1" x14ac:dyDescent="0.25">
      <c r="A312" s="92"/>
      <c r="B312" s="93"/>
      <c r="C312" s="92"/>
      <c r="D312" s="92"/>
      <c r="E312" s="92"/>
      <c r="F312" s="92"/>
      <c r="G312" s="92"/>
      <c r="H312" s="91"/>
      <c r="I312" s="91"/>
      <c r="J312" s="91"/>
      <c r="K312" s="91"/>
      <c r="L312" s="91"/>
      <c r="M312" s="91"/>
      <c r="N312" s="91"/>
      <c r="O312" s="91"/>
      <c r="P312" s="91"/>
      <c r="Q312" s="91"/>
      <c r="R312" s="91"/>
      <c r="S312" s="91"/>
    </row>
    <row r="313" spans="1:19" ht="15.75" customHeight="1" x14ac:dyDescent="0.25">
      <c r="A313" s="92"/>
      <c r="B313" s="93"/>
      <c r="C313" s="92"/>
      <c r="D313" s="92"/>
      <c r="E313" s="92"/>
      <c r="F313" s="92"/>
      <c r="G313" s="92"/>
      <c r="H313" s="91"/>
      <c r="I313" s="91"/>
      <c r="J313" s="91"/>
      <c r="K313" s="91"/>
      <c r="L313" s="91"/>
      <c r="M313" s="91"/>
      <c r="N313" s="91"/>
      <c r="O313" s="91"/>
      <c r="P313" s="91"/>
      <c r="Q313" s="91"/>
      <c r="R313" s="91"/>
      <c r="S313" s="91"/>
    </row>
    <row r="314" spans="1:19" ht="15.75" customHeight="1" x14ac:dyDescent="0.25">
      <c r="A314" s="92"/>
      <c r="B314" s="93"/>
      <c r="C314" s="92"/>
      <c r="D314" s="92"/>
      <c r="E314" s="92"/>
      <c r="F314" s="92"/>
      <c r="G314" s="92"/>
      <c r="H314" s="91"/>
      <c r="I314" s="91"/>
      <c r="J314" s="91"/>
      <c r="K314" s="91"/>
      <c r="L314" s="91"/>
      <c r="M314" s="91"/>
      <c r="N314" s="91"/>
      <c r="O314" s="91"/>
      <c r="P314" s="91"/>
      <c r="Q314" s="91"/>
      <c r="R314" s="91"/>
      <c r="S314" s="91"/>
    </row>
    <row r="315" spans="1:19" ht="15.75" customHeight="1" x14ac:dyDescent="0.25">
      <c r="A315" s="92"/>
      <c r="B315" s="93"/>
      <c r="C315" s="92"/>
      <c r="D315" s="92"/>
      <c r="E315" s="92"/>
      <c r="F315" s="92"/>
      <c r="G315" s="92"/>
      <c r="H315" s="91"/>
      <c r="I315" s="91"/>
      <c r="J315" s="91"/>
      <c r="K315" s="91"/>
      <c r="L315" s="91"/>
      <c r="M315" s="91"/>
      <c r="N315" s="91"/>
      <c r="O315" s="91"/>
      <c r="P315" s="91"/>
      <c r="Q315" s="91"/>
      <c r="R315" s="91"/>
      <c r="S315" s="91"/>
    </row>
    <row r="316" spans="1:19" ht="15.75" customHeight="1" x14ac:dyDescent="0.25">
      <c r="A316" s="92"/>
      <c r="B316" s="93"/>
      <c r="C316" s="92"/>
      <c r="D316" s="92"/>
      <c r="E316" s="92"/>
      <c r="F316" s="92"/>
      <c r="G316" s="92"/>
      <c r="H316" s="91"/>
      <c r="I316" s="91"/>
      <c r="J316" s="91"/>
      <c r="K316" s="91"/>
      <c r="L316" s="91"/>
      <c r="M316" s="91"/>
      <c r="N316" s="91"/>
      <c r="O316" s="91"/>
      <c r="P316" s="91"/>
      <c r="Q316" s="91"/>
      <c r="R316" s="91"/>
      <c r="S316" s="91"/>
    </row>
    <row r="317" spans="1:19" ht="15.75" customHeight="1" x14ac:dyDescent="0.25">
      <c r="A317" s="92"/>
      <c r="B317" s="93"/>
      <c r="C317" s="92"/>
      <c r="D317" s="92"/>
      <c r="E317" s="92"/>
      <c r="F317" s="92"/>
      <c r="G317" s="92"/>
      <c r="H317" s="91"/>
      <c r="I317" s="91"/>
      <c r="J317" s="91"/>
      <c r="K317" s="91"/>
      <c r="L317" s="91"/>
      <c r="M317" s="91"/>
      <c r="N317" s="91"/>
      <c r="O317" s="91"/>
      <c r="P317" s="91"/>
      <c r="Q317" s="91"/>
      <c r="R317" s="91"/>
      <c r="S317" s="91"/>
    </row>
    <row r="318" spans="1:19" ht="15.75" customHeight="1" x14ac:dyDescent="0.25">
      <c r="A318" s="92"/>
      <c r="B318" s="93"/>
      <c r="C318" s="92"/>
      <c r="D318" s="92"/>
      <c r="E318" s="92"/>
      <c r="F318" s="92"/>
      <c r="G318" s="92"/>
      <c r="H318" s="91"/>
      <c r="I318" s="91"/>
      <c r="J318" s="91"/>
      <c r="K318" s="91"/>
      <c r="L318" s="91"/>
      <c r="M318" s="91"/>
      <c r="N318" s="91"/>
      <c r="O318" s="91"/>
      <c r="P318" s="91"/>
      <c r="Q318" s="91"/>
      <c r="R318" s="91"/>
      <c r="S318" s="91"/>
    </row>
    <row r="319" spans="1:19" ht="15.75" customHeight="1" x14ac:dyDescent="0.25">
      <c r="A319" s="92"/>
      <c r="B319" s="93"/>
      <c r="C319" s="92"/>
      <c r="D319" s="92"/>
      <c r="E319" s="92"/>
      <c r="F319" s="92"/>
      <c r="G319" s="92"/>
      <c r="H319" s="91"/>
      <c r="I319" s="91"/>
      <c r="J319" s="91"/>
      <c r="K319" s="91"/>
      <c r="L319" s="91"/>
      <c r="M319" s="91"/>
      <c r="N319" s="91"/>
      <c r="O319" s="91"/>
      <c r="P319" s="91"/>
      <c r="Q319" s="91"/>
      <c r="R319" s="91"/>
      <c r="S319" s="91"/>
    </row>
    <row r="320" spans="1:19" ht="15.75" customHeight="1" x14ac:dyDescent="0.25">
      <c r="A320" s="92"/>
      <c r="B320" s="93"/>
      <c r="C320" s="92"/>
      <c r="D320" s="92"/>
      <c r="E320" s="92"/>
      <c r="F320" s="92"/>
      <c r="G320" s="92"/>
      <c r="H320" s="91"/>
      <c r="I320" s="91"/>
      <c r="J320" s="91"/>
      <c r="K320" s="91"/>
      <c r="L320" s="91"/>
      <c r="M320" s="91"/>
      <c r="N320" s="91"/>
      <c r="O320" s="91"/>
      <c r="P320" s="91"/>
      <c r="Q320" s="91"/>
      <c r="R320" s="91"/>
      <c r="S320" s="91"/>
    </row>
    <row r="321" spans="1:19" ht="15.75" customHeight="1" x14ac:dyDescent="0.25">
      <c r="A321" s="92"/>
      <c r="B321" s="93"/>
      <c r="C321" s="92"/>
      <c r="D321" s="92"/>
      <c r="E321" s="92"/>
      <c r="F321" s="92"/>
      <c r="G321" s="92"/>
      <c r="H321" s="91"/>
      <c r="I321" s="91"/>
      <c r="J321" s="91"/>
      <c r="K321" s="91"/>
      <c r="L321" s="91"/>
      <c r="M321" s="91"/>
      <c r="N321" s="91"/>
      <c r="O321" s="91"/>
      <c r="P321" s="91"/>
      <c r="Q321" s="91"/>
      <c r="R321" s="91"/>
      <c r="S321" s="91"/>
    </row>
    <row r="322" spans="1:19" ht="15.75" customHeight="1" x14ac:dyDescent="0.25">
      <c r="A322" s="92"/>
      <c r="B322" s="93"/>
      <c r="C322" s="92"/>
      <c r="D322" s="92"/>
      <c r="E322" s="92"/>
      <c r="F322" s="92"/>
      <c r="G322" s="92"/>
      <c r="H322" s="91"/>
      <c r="I322" s="91"/>
      <c r="J322" s="91"/>
      <c r="K322" s="91"/>
      <c r="L322" s="91"/>
      <c r="M322" s="91"/>
      <c r="N322" s="91"/>
      <c r="O322" s="91"/>
      <c r="P322" s="91"/>
      <c r="Q322" s="91"/>
      <c r="R322" s="91"/>
      <c r="S322" s="91"/>
    </row>
    <row r="323" spans="1:19" ht="15.75" customHeight="1" x14ac:dyDescent="0.25">
      <c r="A323" s="92"/>
      <c r="B323" s="93"/>
      <c r="C323" s="92"/>
      <c r="D323" s="92"/>
      <c r="E323" s="92"/>
      <c r="F323" s="92"/>
      <c r="G323" s="92"/>
      <c r="H323" s="91"/>
      <c r="I323" s="91"/>
      <c r="J323" s="91"/>
      <c r="K323" s="91"/>
      <c r="L323" s="91"/>
      <c r="M323" s="91"/>
      <c r="N323" s="91"/>
      <c r="O323" s="91"/>
      <c r="P323" s="91"/>
      <c r="Q323" s="91"/>
      <c r="R323" s="91"/>
      <c r="S323" s="91"/>
    </row>
    <row r="324" spans="1:19" ht="15.75" customHeight="1" x14ac:dyDescent="0.25">
      <c r="A324" s="92"/>
      <c r="B324" s="93"/>
      <c r="C324" s="92"/>
      <c r="D324" s="92"/>
      <c r="E324" s="92"/>
      <c r="F324" s="92"/>
      <c r="G324" s="92"/>
      <c r="H324" s="91"/>
      <c r="I324" s="91"/>
      <c r="J324" s="91"/>
      <c r="K324" s="91"/>
      <c r="L324" s="91"/>
      <c r="M324" s="91"/>
      <c r="N324" s="91"/>
      <c r="O324" s="91"/>
      <c r="P324" s="91"/>
      <c r="Q324" s="91"/>
      <c r="R324" s="91"/>
      <c r="S324" s="91"/>
    </row>
    <row r="325" spans="1:19" ht="15.75" customHeight="1" x14ac:dyDescent="0.25">
      <c r="A325" s="92"/>
      <c r="B325" s="93"/>
      <c r="C325" s="92"/>
      <c r="D325" s="92"/>
      <c r="E325" s="92"/>
      <c r="F325" s="92"/>
      <c r="G325" s="92"/>
      <c r="H325" s="91"/>
      <c r="I325" s="91"/>
      <c r="J325" s="91"/>
      <c r="K325" s="91"/>
      <c r="L325" s="91"/>
      <c r="M325" s="91"/>
      <c r="N325" s="91"/>
      <c r="O325" s="91"/>
      <c r="P325" s="91"/>
      <c r="Q325" s="91"/>
      <c r="R325" s="91"/>
      <c r="S325" s="91"/>
    </row>
    <row r="326" spans="1:19" ht="15.75" customHeight="1" x14ac:dyDescent="0.25">
      <c r="A326" s="92"/>
      <c r="B326" s="93"/>
      <c r="C326" s="92"/>
      <c r="D326" s="92"/>
      <c r="E326" s="92"/>
      <c r="F326" s="92"/>
      <c r="G326" s="92"/>
      <c r="H326" s="91"/>
      <c r="I326" s="91"/>
      <c r="J326" s="91"/>
      <c r="K326" s="91"/>
      <c r="L326" s="91"/>
      <c r="M326" s="91"/>
      <c r="N326" s="91"/>
      <c r="O326" s="91"/>
      <c r="P326" s="91"/>
      <c r="Q326" s="91"/>
      <c r="R326" s="91"/>
      <c r="S326" s="91"/>
    </row>
    <row r="327" spans="1:19" ht="15.75" customHeight="1" x14ac:dyDescent="0.25">
      <c r="A327" s="92"/>
      <c r="B327" s="93"/>
      <c r="C327" s="92"/>
      <c r="D327" s="92"/>
      <c r="E327" s="92"/>
      <c r="F327" s="92"/>
      <c r="G327" s="92"/>
      <c r="H327" s="91"/>
      <c r="I327" s="91"/>
      <c r="J327" s="91"/>
      <c r="K327" s="91"/>
      <c r="L327" s="91"/>
      <c r="M327" s="91"/>
      <c r="N327" s="91"/>
      <c r="O327" s="91"/>
      <c r="P327" s="91"/>
      <c r="Q327" s="91"/>
      <c r="R327" s="91"/>
      <c r="S327" s="91"/>
    </row>
    <row r="328" spans="1:19" ht="15.75" customHeight="1" x14ac:dyDescent="0.25">
      <c r="A328" s="92"/>
      <c r="B328" s="93"/>
      <c r="C328" s="92"/>
      <c r="D328" s="92"/>
      <c r="E328" s="92"/>
      <c r="F328" s="92"/>
      <c r="G328" s="92"/>
      <c r="H328" s="91"/>
      <c r="I328" s="91"/>
      <c r="J328" s="91"/>
      <c r="K328" s="91"/>
      <c r="L328" s="91"/>
      <c r="M328" s="91"/>
      <c r="N328" s="91"/>
      <c r="O328" s="91"/>
      <c r="P328" s="91"/>
      <c r="Q328" s="91"/>
      <c r="R328" s="91"/>
      <c r="S328" s="91"/>
    </row>
    <row r="329" spans="1:19" ht="15.75" customHeight="1" x14ac:dyDescent="0.25">
      <c r="A329" s="92"/>
      <c r="B329" s="93"/>
      <c r="C329" s="92"/>
      <c r="D329" s="92"/>
      <c r="E329" s="92"/>
      <c r="F329" s="92"/>
      <c r="G329" s="92"/>
      <c r="H329" s="91"/>
      <c r="I329" s="91"/>
      <c r="J329" s="91"/>
      <c r="K329" s="91"/>
      <c r="L329" s="91"/>
      <c r="M329" s="91"/>
      <c r="N329" s="91"/>
      <c r="O329" s="91"/>
      <c r="P329" s="91"/>
      <c r="Q329" s="91"/>
      <c r="R329" s="91"/>
      <c r="S329" s="91"/>
    </row>
    <row r="330" spans="1:19" ht="15.75" customHeight="1" x14ac:dyDescent="0.25">
      <c r="A330" s="92"/>
      <c r="B330" s="93"/>
      <c r="C330" s="92"/>
      <c r="D330" s="92"/>
      <c r="E330" s="92"/>
      <c r="F330" s="92"/>
      <c r="G330" s="92"/>
      <c r="H330" s="91"/>
      <c r="I330" s="91"/>
      <c r="J330" s="91"/>
      <c r="K330" s="91"/>
      <c r="L330" s="91"/>
      <c r="M330" s="91"/>
      <c r="N330" s="91"/>
      <c r="O330" s="91"/>
      <c r="P330" s="91"/>
      <c r="Q330" s="91"/>
      <c r="R330" s="91"/>
      <c r="S330" s="91"/>
    </row>
    <row r="331" spans="1:19" ht="15.75" customHeight="1" x14ac:dyDescent="0.25">
      <c r="A331" s="92"/>
      <c r="B331" s="93"/>
      <c r="C331" s="92"/>
      <c r="D331" s="92"/>
      <c r="E331" s="92"/>
      <c r="F331" s="92"/>
      <c r="G331" s="92"/>
      <c r="H331" s="91"/>
      <c r="I331" s="91"/>
      <c r="J331" s="91"/>
      <c r="K331" s="91"/>
      <c r="L331" s="91"/>
      <c r="M331" s="91"/>
      <c r="N331" s="91"/>
      <c r="O331" s="91"/>
      <c r="P331" s="91"/>
      <c r="Q331" s="91"/>
      <c r="R331" s="91"/>
      <c r="S331" s="91"/>
    </row>
    <row r="332" spans="1:19" ht="15.75" customHeight="1" x14ac:dyDescent="0.25">
      <c r="A332" s="92"/>
      <c r="B332" s="93"/>
      <c r="C332" s="92"/>
      <c r="D332" s="92"/>
      <c r="E332" s="92"/>
      <c r="F332" s="92"/>
      <c r="G332" s="92"/>
      <c r="H332" s="91"/>
      <c r="I332" s="91"/>
      <c r="J332" s="91"/>
      <c r="K332" s="91"/>
      <c r="L332" s="91"/>
      <c r="M332" s="91"/>
      <c r="N332" s="91"/>
      <c r="O332" s="91"/>
      <c r="P332" s="91"/>
      <c r="Q332" s="91"/>
      <c r="R332" s="91"/>
      <c r="S332" s="91"/>
    </row>
    <row r="333" spans="1:19" ht="15.75" customHeight="1" x14ac:dyDescent="0.25">
      <c r="A333" s="92"/>
      <c r="B333" s="93"/>
      <c r="C333" s="92"/>
      <c r="D333" s="92"/>
      <c r="E333" s="92"/>
      <c r="F333" s="92"/>
      <c r="G333" s="92"/>
      <c r="H333" s="91"/>
      <c r="I333" s="91"/>
      <c r="J333" s="91"/>
      <c r="K333" s="91"/>
      <c r="L333" s="91"/>
      <c r="M333" s="91"/>
      <c r="N333" s="91"/>
      <c r="O333" s="91"/>
      <c r="P333" s="91"/>
      <c r="Q333" s="91"/>
      <c r="R333" s="91"/>
      <c r="S333" s="91"/>
    </row>
    <row r="334" spans="1:19" ht="15.75" customHeight="1" x14ac:dyDescent="0.25">
      <c r="A334" s="92"/>
      <c r="B334" s="93"/>
      <c r="C334" s="92"/>
      <c r="D334" s="92"/>
      <c r="E334" s="92"/>
      <c r="F334" s="92"/>
      <c r="G334" s="92"/>
      <c r="H334" s="91"/>
      <c r="I334" s="91"/>
      <c r="J334" s="91"/>
      <c r="K334" s="91"/>
      <c r="L334" s="91"/>
      <c r="M334" s="91"/>
      <c r="N334" s="91"/>
      <c r="O334" s="91"/>
      <c r="P334" s="91"/>
      <c r="Q334" s="91"/>
      <c r="R334" s="91"/>
      <c r="S334" s="91"/>
    </row>
    <row r="335" spans="1:19" ht="15.75" customHeight="1" x14ac:dyDescent="0.25">
      <c r="A335" s="92"/>
      <c r="B335" s="93"/>
      <c r="C335" s="92"/>
      <c r="D335" s="92"/>
      <c r="E335" s="92"/>
      <c r="F335" s="92"/>
      <c r="G335" s="92"/>
      <c r="H335" s="91"/>
      <c r="I335" s="91"/>
      <c r="J335" s="91"/>
      <c r="K335" s="91"/>
      <c r="L335" s="91"/>
      <c r="M335" s="91"/>
      <c r="N335" s="91"/>
      <c r="O335" s="91"/>
      <c r="P335" s="91"/>
      <c r="Q335" s="91"/>
      <c r="R335" s="91"/>
      <c r="S335" s="91"/>
    </row>
    <row r="336" spans="1:19" ht="15.75" customHeight="1" x14ac:dyDescent="0.25">
      <c r="A336" s="92"/>
      <c r="B336" s="93"/>
      <c r="C336" s="92"/>
      <c r="D336" s="92"/>
      <c r="E336" s="92"/>
      <c r="F336" s="92"/>
      <c r="G336" s="92"/>
      <c r="H336" s="91"/>
      <c r="I336" s="91"/>
      <c r="J336" s="91"/>
      <c r="K336" s="91"/>
      <c r="L336" s="91"/>
      <c r="M336" s="91"/>
      <c r="N336" s="91"/>
      <c r="O336" s="91"/>
      <c r="P336" s="91"/>
      <c r="Q336" s="91"/>
      <c r="R336" s="91"/>
      <c r="S336" s="91"/>
    </row>
    <row r="337" spans="1:19" ht="15.75" customHeight="1" x14ac:dyDescent="0.25">
      <c r="A337" s="92"/>
      <c r="B337" s="93"/>
      <c r="C337" s="92"/>
      <c r="D337" s="92"/>
      <c r="E337" s="92"/>
      <c r="F337" s="92"/>
      <c r="G337" s="92"/>
      <c r="H337" s="91"/>
      <c r="I337" s="91"/>
      <c r="J337" s="91"/>
      <c r="K337" s="91"/>
      <c r="L337" s="91"/>
      <c r="M337" s="91"/>
      <c r="N337" s="91"/>
      <c r="O337" s="91"/>
      <c r="P337" s="91"/>
      <c r="Q337" s="91"/>
      <c r="R337" s="91"/>
      <c r="S337" s="91"/>
    </row>
    <row r="338" spans="1:19" ht="15.75" customHeight="1" x14ac:dyDescent="0.25">
      <c r="A338" s="92"/>
      <c r="B338" s="93"/>
      <c r="C338" s="92"/>
      <c r="D338" s="92"/>
      <c r="E338" s="92"/>
      <c r="F338" s="92"/>
      <c r="G338" s="92"/>
      <c r="H338" s="91"/>
      <c r="I338" s="91"/>
      <c r="J338" s="91"/>
      <c r="K338" s="91"/>
      <c r="L338" s="91"/>
      <c r="M338" s="91"/>
      <c r="N338" s="91"/>
      <c r="O338" s="91"/>
      <c r="P338" s="91"/>
      <c r="Q338" s="91"/>
      <c r="R338" s="91"/>
      <c r="S338" s="91"/>
    </row>
    <row r="339" spans="1:19" ht="15.75" customHeight="1" x14ac:dyDescent="0.25">
      <c r="A339" s="92"/>
      <c r="B339" s="93"/>
      <c r="C339" s="92"/>
      <c r="D339" s="92"/>
      <c r="E339" s="92"/>
      <c r="F339" s="92"/>
      <c r="G339" s="92"/>
      <c r="H339" s="91"/>
      <c r="I339" s="91"/>
      <c r="J339" s="91"/>
      <c r="K339" s="91"/>
      <c r="L339" s="91"/>
      <c r="M339" s="91"/>
      <c r="N339" s="91"/>
      <c r="O339" s="91"/>
      <c r="P339" s="91"/>
      <c r="Q339" s="91"/>
      <c r="R339" s="91"/>
      <c r="S339" s="91"/>
    </row>
    <row r="340" spans="1:19" ht="15.75" customHeight="1" x14ac:dyDescent="0.25">
      <c r="A340" s="92"/>
      <c r="B340" s="93"/>
      <c r="C340" s="92"/>
      <c r="D340" s="92"/>
      <c r="E340" s="92"/>
      <c r="F340" s="92"/>
      <c r="G340" s="92"/>
      <c r="H340" s="91"/>
      <c r="I340" s="91"/>
      <c r="J340" s="91"/>
      <c r="K340" s="91"/>
      <c r="L340" s="91"/>
      <c r="M340" s="91"/>
      <c r="N340" s="91"/>
      <c r="O340" s="91"/>
      <c r="P340" s="91"/>
      <c r="Q340" s="91"/>
      <c r="R340" s="91"/>
      <c r="S340" s="91"/>
    </row>
    <row r="341" spans="1:19" ht="15.75" customHeight="1" x14ac:dyDescent="0.25">
      <c r="A341" s="92"/>
      <c r="B341" s="93"/>
      <c r="C341" s="92"/>
      <c r="D341" s="92"/>
      <c r="E341" s="92"/>
      <c r="F341" s="92"/>
      <c r="G341" s="92"/>
      <c r="H341" s="91"/>
      <c r="I341" s="91"/>
      <c r="J341" s="91"/>
      <c r="K341" s="91"/>
      <c r="L341" s="91"/>
      <c r="M341" s="91"/>
      <c r="N341" s="91"/>
      <c r="O341" s="91"/>
      <c r="P341" s="91"/>
      <c r="Q341" s="91"/>
      <c r="R341" s="91"/>
      <c r="S341" s="91"/>
    </row>
    <row r="342" spans="1:19" ht="15.75" customHeight="1" x14ac:dyDescent="0.25">
      <c r="A342" s="92"/>
      <c r="B342" s="93"/>
      <c r="C342" s="92"/>
      <c r="D342" s="92"/>
      <c r="E342" s="92"/>
      <c r="F342" s="92"/>
      <c r="G342" s="92"/>
      <c r="H342" s="91"/>
      <c r="I342" s="91"/>
      <c r="J342" s="91"/>
      <c r="K342" s="91"/>
      <c r="L342" s="91"/>
      <c r="M342" s="91"/>
      <c r="N342" s="91"/>
      <c r="O342" s="91"/>
      <c r="P342" s="91"/>
      <c r="Q342" s="91"/>
      <c r="R342" s="91"/>
      <c r="S342" s="91"/>
    </row>
    <row r="343" spans="1:19" ht="15.75" customHeight="1" x14ac:dyDescent="0.25">
      <c r="A343" s="92"/>
      <c r="B343" s="93"/>
      <c r="C343" s="92"/>
      <c r="D343" s="92"/>
      <c r="E343" s="92"/>
      <c r="F343" s="92"/>
      <c r="G343" s="92"/>
      <c r="H343" s="91"/>
      <c r="I343" s="91"/>
      <c r="J343" s="91"/>
      <c r="K343" s="91"/>
      <c r="L343" s="91"/>
      <c r="M343" s="91"/>
      <c r="N343" s="91"/>
      <c r="O343" s="91"/>
      <c r="P343" s="91"/>
      <c r="Q343" s="91"/>
      <c r="R343" s="91"/>
      <c r="S343" s="91"/>
    </row>
    <row r="344" spans="1:19" ht="15.75" customHeight="1" x14ac:dyDescent="0.25">
      <c r="A344" s="92"/>
      <c r="B344" s="93"/>
      <c r="C344" s="92"/>
      <c r="D344" s="92"/>
      <c r="E344" s="92"/>
      <c r="F344" s="92"/>
      <c r="G344" s="92"/>
      <c r="H344" s="91"/>
      <c r="I344" s="91"/>
      <c r="J344" s="91"/>
      <c r="K344" s="91"/>
      <c r="L344" s="91"/>
      <c r="M344" s="91"/>
      <c r="N344" s="91"/>
      <c r="O344" s="91"/>
      <c r="P344" s="91"/>
      <c r="Q344" s="91"/>
      <c r="R344" s="91"/>
      <c r="S344" s="91"/>
    </row>
    <row r="345" spans="1:19" ht="15.75" customHeight="1" x14ac:dyDescent="0.25">
      <c r="A345" s="92"/>
      <c r="B345" s="93"/>
      <c r="C345" s="92"/>
      <c r="D345" s="92"/>
      <c r="E345" s="92"/>
      <c r="F345" s="92"/>
      <c r="G345" s="92"/>
      <c r="H345" s="91"/>
      <c r="I345" s="91"/>
      <c r="J345" s="91"/>
      <c r="K345" s="91"/>
      <c r="L345" s="91"/>
      <c r="M345" s="91"/>
      <c r="N345" s="91"/>
      <c r="O345" s="91"/>
      <c r="P345" s="91"/>
      <c r="Q345" s="91"/>
      <c r="R345" s="91"/>
      <c r="S345" s="91"/>
    </row>
    <row r="346" spans="1:19" ht="15.75" customHeight="1" x14ac:dyDescent="0.25">
      <c r="A346" s="92"/>
      <c r="B346" s="93"/>
      <c r="C346" s="92"/>
      <c r="D346" s="92"/>
      <c r="E346" s="92"/>
      <c r="F346" s="92"/>
      <c r="G346" s="92"/>
      <c r="H346" s="91"/>
      <c r="I346" s="91"/>
      <c r="J346" s="91"/>
      <c r="K346" s="91"/>
      <c r="L346" s="91"/>
      <c r="M346" s="91"/>
      <c r="N346" s="91"/>
      <c r="O346" s="91"/>
      <c r="P346" s="91"/>
      <c r="Q346" s="91"/>
      <c r="R346" s="91"/>
      <c r="S346" s="91"/>
    </row>
    <row r="347" spans="1:19" ht="15.75" customHeight="1" x14ac:dyDescent="0.25">
      <c r="A347" s="92"/>
      <c r="B347" s="93"/>
      <c r="C347" s="92"/>
      <c r="D347" s="92"/>
      <c r="E347" s="92"/>
      <c r="F347" s="92"/>
      <c r="G347" s="92"/>
      <c r="H347" s="91"/>
      <c r="I347" s="91"/>
      <c r="J347" s="91"/>
      <c r="K347" s="91"/>
      <c r="L347" s="91"/>
      <c r="M347" s="91"/>
      <c r="N347" s="91"/>
      <c r="O347" s="91"/>
      <c r="P347" s="91"/>
      <c r="Q347" s="91"/>
      <c r="R347" s="91"/>
      <c r="S347" s="91"/>
    </row>
    <row r="348" spans="1:19" ht="15.75" customHeight="1" x14ac:dyDescent="0.25">
      <c r="A348" s="92"/>
      <c r="B348" s="93"/>
      <c r="C348" s="92"/>
      <c r="D348" s="92"/>
      <c r="E348" s="92"/>
      <c r="F348" s="92"/>
      <c r="G348" s="92"/>
      <c r="H348" s="91"/>
      <c r="I348" s="91"/>
      <c r="J348" s="91"/>
      <c r="K348" s="91"/>
      <c r="L348" s="91"/>
      <c r="M348" s="91"/>
      <c r="N348" s="91"/>
      <c r="O348" s="91"/>
      <c r="P348" s="91"/>
      <c r="Q348" s="91"/>
      <c r="R348" s="91"/>
      <c r="S348" s="91"/>
    </row>
    <row r="349" spans="1:19" ht="15.75" customHeight="1" x14ac:dyDescent="0.25">
      <c r="A349" s="92"/>
      <c r="B349" s="93"/>
      <c r="C349" s="92"/>
      <c r="D349" s="92"/>
      <c r="E349" s="92"/>
      <c r="F349" s="92"/>
      <c r="G349" s="92"/>
      <c r="H349" s="91"/>
      <c r="I349" s="91"/>
      <c r="J349" s="91"/>
      <c r="K349" s="91"/>
      <c r="L349" s="91"/>
      <c r="M349" s="91"/>
      <c r="N349" s="91"/>
      <c r="O349" s="91"/>
      <c r="P349" s="91"/>
      <c r="Q349" s="91"/>
      <c r="R349" s="91"/>
      <c r="S349" s="91"/>
    </row>
    <row r="350" spans="1:19" ht="15.75" customHeight="1" x14ac:dyDescent="0.25">
      <c r="A350" s="92"/>
      <c r="B350" s="93"/>
      <c r="C350" s="92"/>
      <c r="D350" s="92"/>
      <c r="E350" s="92"/>
      <c r="F350" s="92"/>
      <c r="G350" s="92"/>
      <c r="H350" s="91"/>
      <c r="I350" s="91"/>
      <c r="J350" s="91"/>
      <c r="K350" s="91"/>
      <c r="L350" s="91"/>
      <c r="M350" s="91"/>
      <c r="N350" s="91"/>
      <c r="O350" s="91"/>
      <c r="P350" s="91"/>
      <c r="Q350" s="91"/>
      <c r="R350" s="91"/>
      <c r="S350" s="91"/>
    </row>
    <row r="351" spans="1:19" ht="15.75" customHeight="1" x14ac:dyDescent="0.25">
      <c r="A351" s="92"/>
      <c r="B351" s="93"/>
      <c r="C351" s="92"/>
      <c r="D351" s="92"/>
      <c r="E351" s="92"/>
      <c r="F351" s="92"/>
      <c r="G351" s="92"/>
      <c r="H351" s="91"/>
      <c r="I351" s="91"/>
      <c r="J351" s="91"/>
      <c r="K351" s="91"/>
      <c r="L351" s="91"/>
      <c r="M351" s="91"/>
      <c r="N351" s="91"/>
      <c r="O351" s="91"/>
      <c r="P351" s="91"/>
      <c r="Q351" s="91"/>
      <c r="R351" s="91"/>
      <c r="S351" s="91"/>
    </row>
    <row r="352" spans="1:19" ht="15.75" customHeight="1" x14ac:dyDescent="0.25">
      <c r="A352" s="92"/>
      <c r="B352" s="93"/>
      <c r="C352" s="92"/>
      <c r="D352" s="92"/>
      <c r="E352" s="92"/>
      <c r="F352" s="92"/>
      <c r="G352" s="92"/>
      <c r="H352" s="91"/>
      <c r="I352" s="91"/>
      <c r="J352" s="91"/>
      <c r="K352" s="91"/>
      <c r="L352" s="91"/>
      <c r="M352" s="91"/>
      <c r="N352" s="91"/>
      <c r="O352" s="91"/>
      <c r="P352" s="91"/>
      <c r="Q352" s="91"/>
      <c r="R352" s="91"/>
      <c r="S352" s="91"/>
    </row>
    <row r="353" spans="1:19" ht="15.75" customHeight="1" x14ac:dyDescent="0.25">
      <c r="A353" s="92"/>
      <c r="B353" s="93"/>
      <c r="C353" s="92"/>
      <c r="D353" s="92"/>
      <c r="E353" s="92"/>
      <c r="F353" s="92"/>
      <c r="G353" s="92"/>
      <c r="H353" s="91"/>
      <c r="I353" s="91"/>
      <c r="J353" s="91"/>
      <c r="K353" s="91"/>
      <c r="L353" s="91"/>
      <c r="M353" s="91"/>
      <c r="N353" s="91"/>
      <c r="O353" s="91"/>
      <c r="P353" s="91"/>
      <c r="Q353" s="91"/>
      <c r="R353" s="91"/>
      <c r="S353" s="91"/>
    </row>
    <row r="354" spans="1:19" ht="15.75" customHeight="1" x14ac:dyDescent="0.25">
      <c r="A354" s="92"/>
      <c r="B354" s="93"/>
      <c r="C354" s="92"/>
      <c r="D354" s="92"/>
      <c r="E354" s="92"/>
      <c r="F354" s="92"/>
      <c r="G354" s="92"/>
      <c r="H354" s="91"/>
      <c r="I354" s="91"/>
      <c r="J354" s="91"/>
      <c r="K354" s="91"/>
      <c r="L354" s="91"/>
      <c r="M354" s="91"/>
      <c r="N354" s="91"/>
      <c r="O354" s="91"/>
      <c r="P354" s="91"/>
      <c r="Q354" s="91"/>
      <c r="R354" s="91"/>
      <c r="S354" s="91"/>
    </row>
    <row r="355" spans="1:19" ht="15.75" customHeight="1" x14ac:dyDescent="0.25">
      <c r="A355" s="92"/>
      <c r="B355" s="93"/>
      <c r="C355" s="92"/>
      <c r="D355" s="92"/>
      <c r="E355" s="92"/>
      <c r="F355" s="92"/>
      <c r="G355" s="92"/>
      <c r="H355" s="91"/>
      <c r="I355" s="91"/>
      <c r="J355" s="91"/>
      <c r="K355" s="91"/>
      <c r="L355" s="91"/>
      <c r="M355" s="91"/>
      <c r="N355" s="91"/>
      <c r="O355" s="91"/>
      <c r="P355" s="91"/>
      <c r="Q355" s="91"/>
      <c r="R355" s="91"/>
      <c r="S355" s="91"/>
    </row>
    <row r="356" spans="1:19" ht="15.75" customHeight="1" x14ac:dyDescent="0.25">
      <c r="A356" s="92"/>
      <c r="B356" s="93"/>
      <c r="C356" s="92"/>
      <c r="D356" s="92"/>
      <c r="E356" s="92"/>
      <c r="F356" s="92"/>
      <c r="G356" s="92"/>
      <c r="H356" s="91"/>
      <c r="I356" s="91"/>
      <c r="J356" s="91"/>
      <c r="K356" s="91"/>
      <c r="L356" s="91"/>
      <c r="M356" s="91"/>
      <c r="N356" s="91"/>
      <c r="O356" s="91"/>
      <c r="P356" s="91"/>
      <c r="Q356" s="91"/>
      <c r="R356" s="91"/>
      <c r="S356" s="91"/>
    </row>
    <row r="357" spans="1:19" ht="15.75" customHeight="1" x14ac:dyDescent="0.25">
      <c r="A357" s="92"/>
      <c r="B357" s="93"/>
      <c r="C357" s="92"/>
      <c r="D357" s="92"/>
      <c r="E357" s="92"/>
      <c r="F357" s="92"/>
      <c r="G357" s="92"/>
      <c r="H357" s="91"/>
      <c r="I357" s="91"/>
      <c r="J357" s="91"/>
      <c r="K357" s="91"/>
      <c r="L357" s="91"/>
      <c r="M357" s="91"/>
      <c r="N357" s="91"/>
      <c r="O357" s="91"/>
      <c r="P357" s="91"/>
      <c r="Q357" s="91"/>
      <c r="R357" s="91"/>
      <c r="S357" s="91"/>
    </row>
    <row r="358" spans="1:19" ht="15.75" customHeight="1" x14ac:dyDescent="0.25">
      <c r="A358" s="92"/>
      <c r="B358" s="93"/>
      <c r="C358" s="92"/>
      <c r="D358" s="92"/>
      <c r="E358" s="92"/>
      <c r="F358" s="92"/>
      <c r="G358" s="92"/>
      <c r="H358" s="91"/>
      <c r="I358" s="91"/>
      <c r="J358" s="91"/>
      <c r="K358" s="91"/>
      <c r="L358" s="91"/>
      <c r="M358" s="91"/>
      <c r="N358" s="91"/>
      <c r="O358" s="91"/>
      <c r="P358" s="91"/>
      <c r="Q358" s="91"/>
      <c r="R358" s="91"/>
      <c r="S358" s="91"/>
    </row>
    <row r="359" spans="1:19" ht="15.75" customHeight="1" x14ac:dyDescent="0.25">
      <c r="A359" s="92"/>
      <c r="B359" s="93"/>
      <c r="C359" s="92"/>
      <c r="D359" s="92"/>
      <c r="E359" s="92"/>
      <c r="F359" s="92"/>
      <c r="G359" s="92"/>
      <c r="H359" s="91"/>
      <c r="I359" s="91"/>
      <c r="J359" s="91"/>
      <c r="K359" s="91"/>
      <c r="L359" s="91"/>
      <c r="M359" s="91"/>
      <c r="N359" s="91"/>
      <c r="O359" s="91"/>
      <c r="P359" s="91"/>
      <c r="Q359" s="91"/>
      <c r="R359" s="91"/>
      <c r="S359" s="91"/>
    </row>
    <row r="360" spans="1:19" ht="15.75" customHeight="1" x14ac:dyDescent="0.25">
      <c r="A360" s="92"/>
      <c r="B360" s="93"/>
      <c r="C360" s="92"/>
      <c r="D360" s="92"/>
      <c r="E360" s="92"/>
      <c r="F360" s="92"/>
      <c r="G360" s="92"/>
      <c r="H360" s="91"/>
      <c r="I360" s="91"/>
      <c r="J360" s="91"/>
      <c r="K360" s="91"/>
      <c r="L360" s="91"/>
      <c r="M360" s="91"/>
      <c r="N360" s="91"/>
      <c r="O360" s="91"/>
      <c r="P360" s="91"/>
      <c r="Q360" s="91"/>
      <c r="R360" s="91"/>
      <c r="S360" s="91"/>
    </row>
    <row r="361" spans="1:19" ht="15.75" customHeight="1" x14ac:dyDescent="0.25">
      <c r="A361" s="92"/>
      <c r="B361" s="93"/>
      <c r="C361" s="92"/>
      <c r="D361" s="92"/>
      <c r="E361" s="92"/>
      <c r="F361" s="92"/>
      <c r="G361" s="92"/>
      <c r="H361" s="91"/>
      <c r="I361" s="91"/>
      <c r="J361" s="91"/>
      <c r="K361" s="91"/>
      <c r="L361" s="91"/>
      <c r="M361" s="91"/>
      <c r="N361" s="91"/>
      <c r="O361" s="91"/>
      <c r="P361" s="91"/>
      <c r="Q361" s="91"/>
      <c r="R361" s="91"/>
      <c r="S361" s="91"/>
    </row>
    <row r="362" spans="1:19" ht="15.75" customHeight="1" x14ac:dyDescent="0.25">
      <c r="A362" s="92"/>
      <c r="B362" s="93"/>
      <c r="C362" s="92"/>
      <c r="D362" s="92"/>
      <c r="E362" s="92"/>
      <c r="F362" s="92"/>
      <c r="G362" s="92"/>
      <c r="H362" s="91"/>
      <c r="I362" s="91"/>
      <c r="J362" s="91"/>
      <c r="K362" s="91"/>
      <c r="L362" s="91"/>
      <c r="M362" s="91"/>
      <c r="N362" s="91"/>
      <c r="O362" s="91"/>
      <c r="P362" s="91"/>
      <c r="Q362" s="91"/>
      <c r="R362" s="91"/>
      <c r="S362" s="91"/>
    </row>
    <row r="363" spans="1:19" ht="15.75" customHeight="1" x14ac:dyDescent="0.25">
      <c r="A363" s="92"/>
      <c r="B363" s="93"/>
      <c r="C363" s="92"/>
      <c r="D363" s="92"/>
      <c r="E363" s="92"/>
      <c r="F363" s="92"/>
      <c r="G363" s="92"/>
      <c r="H363" s="91"/>
      <c r="I363" s="91"/>
      <c r="J363" s="91"/>
      <c r="K363" s="91"/>
      <c r="L363" s="91"/>
      <c r="M363" s="91"/>
      <c r="N363" s="91"/>
      <c r="O363" s="91"/>
      <c r="P363" s="91"/>
      <c r="Q363" s="91"/>
      <c r="R363" s="91"/>
      <c r="S363" s="91"/>
    </row>
    <row r="364" spans="1:19" ht="15.75" customHeight="1" x14ac:dyDescent="0.25">
      <c r="A364" s="92"/>
      <c r="B364" s="93"/>
      <c r="C364" s="92"/>
      <c r="D364" s="92"/>
      <c r="E364" s="92"/>
      <c r="F364" s="92"/>
      <c r="G364" s="92"/>
      <c r="H364" s="91"/>
      <c r="I364" s="91"/>
      <c r="J364" s="91"/>
      <c r="K364" s="91"/>
      <c r="L364" s="91"/>
      <c r="M364" s="91"/>
      <c r="N364" s="91"/>
      <c r="O364" s="91"/>
      <c r="P364" s="91"/>
      <c r="Q364" s="91"/>
      <c r="R364" s="91"/>
      <c r="S364" s="91"/>
    </row>
    <row r="365" spans="1:19" ht="15.75" customHeight="1" x14ac:dyDescent="0.25">
      <c r="A365" s="92"/>
      <c r="B365" s="93"/>
      <c r="C365" s="92"/>
      <c r="D365" s="92"/>
      <c r="E365" s="92"/>
      <c r="F365" s="92"/>
      <c r="G365" s="92"/>
      <c r="H365" s="91"/>
      <c r="I365" s="91"/>
      <c r="J365" s="91"/>
      <c r="K365" s="91"/>
      <c r="L365" s="91"/>
      <c r="M365" s="91"/>
      <c r="N365" s="91"/>
      <c r="O365" s="91"/>
      <c r="P365" s="91"/>
      <c r="Q365" s="91"/>
      <c r="R365" s="91"/>
      <c r="S365" s="91"/>
    </row>
    <row r="366" spans="1:19" ht="15.75" customHeight="1" x14ac:dyDescent="0.25">
      <c r="A366" s="92"/>
      <c r="B366" s="93"/>
      <c r="C366" s="92"/>
      <c r="D366" s="92"/>
      <c r="E366" s="92"/>
      <c r="F366" s="92"/>
      <c r="G366" s="92"/>
      <c r="H366" s="91"/>
      <c r="I366" s="91"/>
      <c r="J366" s="91"/>
      <c r="K366" s="91"/>
      <c r="L366" s="91"/>
      <c r="M366" s="91"/>
      <c r="N366" s="91"/>
      <c r="O366" s="91"/>
      <c r="P366" s="91"/>
      <c r="Q366" s="91"/>
      <c r="R366" s="91"/>
      <c r="S366" s="91"/>
    </row>
    <row r="367" spans="1:19" ht="15.75" customHeight="1" x14ac:dyDescent="0.25">
      <c r="A367" s="92"/>
      <c r="B367" s="93"/>
      <c r="C367" s="92"/>
      <c r="D367" s="92"/>
      <c r="E367" s="92"/>
      <c r="F367" s="92"/>
      <c r="G367" s="92"/>
      <c r="H367" s="91"/>
      <c r="I367" s="91"/>
      <c r="J367" s="91"/>
      <c r="K367" s="91"/>
      <c r="L367" s="91"/>
      <c r="M367" s="91"/>
      <c r="N367" s="91"/>
      <c r="O367" s="91"/>
      <c r="P367" s="91"/>
      <c r="Q367" s="91"/>
      <c r="R367" s="91"/>
      <c r="S367" s="91"/>
    </row>
    <row r="368" spans="1:19" ht="15.75" customHeight="1" x14ac:dyDescent="0.25">
      <c r="A368" s="92"/>
      <c r="B368" s="93"/>
      <c r="C368" s="92"/>
      <c r="D368" s="92"/>
      <c r="E368" s="92"/>
      <c r="F368" s="92"/>
      <c r="G368" s="92"/>
      <c r="H368" s="91"/>
      <c r="I368" s="91"/>
      <c r="J368" s="91"/>
      <c r="K368" s="91"/>
      <c r="L368" s="91"/>
      <c r="M368" s="91"/>
      <c r="N368" s="91"/>
      <c r="O368" s="91"/>
      <c r="P368" s="91"/>
      <c r="Q368" s="91"/>
      <c r="R368" s="91"/>
      <c r="S368" s="91"/>
    </row>
    <row r="369" spans="1:19" ht="15.75" customHeight="1" x14ac:dyDescent="0.25">
      <c r="A369" s="92"/>
      <c r="B369" s="93"/>
      <c r="C369" s="92"/>
      <c r="D369" s="92"/>
      <c r="E369" s="92"/>
      <c r="F369" s="92"/>
      <c r="G369" s="92"/>
      <c r="H369" s="91"/>
      <c r="I369" s="91"/>
      <c r="J369" s="91"/>
      <c r="K369" s="91"/>
      <c r="L369" s="91"/>
      <c r="M369" s="91"/>
      <c r="N369" s="91"/>
      <c r="O369" s="91"/>
      <c r="P369" s="91"/>
      <c r="Q369" s="91"/>
      <c r="R369" s="91"/>
      <c r="S369" s="91"/>
    </row>
    <row r="370" spans="1:19" ht="15.75" customHeight="1" x14ac:dyDescent="0.25">
      <c r="A370" s="92"/>
      <c r="B370" s="93"/>
      <c r="C370" s="92"/>
      <c r="D370" s="92"/>
      <c r="E370" s="92"/>
      <c r="F370" s="92"/>
      <c r="G370" s="92"/>
      <c r="H370" s="91"/>
      <c r="I370" s="91"/>
      <c r="J370" s="91"/>
      <c r="K370" s="91"/>
      <c r="L370" s="91"/>
      <c r="M370" s="91"/>
      <c r="N370" s="91"/>
      <c r="O370" s="91"/>
      <c r="P370" s="91"/>
      <c r="Q370" s="91"/>
      <c r="R370" s="91"/>
      <c r="S370" s="91"/>
    </row>
    <row r="371" spans="1:19" ht="15.75" customHeight="1" x14ac:dyDescent="0.25">
      <c r="A371" s="92"/>
      <c r="B371" s="93"/>
      <c r="C371" s="92"/>
      <c r="D371" s="92"/>
      <c r="E371" s="92"/>
      <c r="F371" s="92"/>
      <c r="G371" s="92"/>
      <c r="H371" s="91"/>
      <c r="I371" s="91"/>
      <c r="J371" s="91"/>
      <c r="K371" s="91"/>
      <c r="L371" s="91"/>
      <c r="M371" s="91"/>
      <c r="N371" s="91"/>
      <c r="O371" s="91"/>
      <c r="P371" s="91"/>
      <c r="Q371" s="91"/>
      <c r="R371" s="91"/>
      <c r="S371" s="91"/>
    </row>
    <row r="372" spans="1:19" ht="15.75" customHeight="1" x14ac:dyDescent="0.25">
      <c r="A372" s="92"/>
      <c r="B372" s="93"/>
      <c r="C372" s="92"/>
      <c r="D372" s="92"/>
      <c r="E372" s="92"/>
      <c r="F372" s="92"/>
      <c r="G372" s="92"/>
      <c r="H372" s="91"/>
      <c r="I372" s="91"/>
      <c r="J372" s="91"/>
      <c r="K372" s="91"/>
      <c r="L372" s="91"/>
      <c r="M372" s="91"/>
      <c r="N372" s="91"/>
      <c r="O372" s="91"/>
      <c r="P372" s="91"/>
      <c r="Q372" s="91"/>
      <c r="R372" s="91"/>
      <c r="S372" s="91"/>
    </row>
    <row r="373" spans="1:19" ht="15.75" customHeight="1" x14ac:dyDescent="0.25">
      <c r="A373" s="92"/>
      <c r="B373" s="93"/>
      <c r="C373" s="92"/>
      <c r="D373" s="92"/>
      <c r="E373" s="92"/>
      <c r="F373" s="92"/>
      <c r="G373" s="92"/>
      <c r="H373" s="91"/>
      <c r="I373" s="91"/>
      <c r="J373" s="91"/>
      <c r="K373" s="91"/>
      <c r="L373" s="91"/>
      <c r="M373" s="91"/>
      <c r="N373" s="91"/>
      <c r="O373" s="91"/>
      <c r="P373" s="91"/>
      <c r="Q373" s="91"/>
      <c r="R373" s="91"/>
      <c r="S373" s="91"/>
    </row>
    <row r="374" spans="1:19" ht="15.75" customHeight="1" x14ac:dyDescent="0.25">
      <c r="A374" s="92"/>
      <c r="B374" s="93"/>
      <c r="C374" s="92"/>
      <c r="D374" s="92"/>
      <c r="E374" s="92"/>
      <c r="F374" s="92"/>
      <c r="G374" s="92"/>
      <c r="H374" s="91"/>
      <c r="I374" s="91"/>
      <c r="J374" s="91"/>
      <c r="K374" s="91"/>
      <c r="L374" s="91"/>
      <c r="M374" s="91"/>
      <c r="N374" s="91"/>
      <c r="O374" s="91"/>
      <c r="P374" s="91"/>
      <c r="Q374" s="91"/>
      <c r="R374" s="91"/>
      <c r="S374" s="91"/>
    </row>
    <row r="375" spans="1:19" ht="15.75" customHeight="1" x14ac:dyDescent="0.25">
      <c r="A375" s="92"/>
      <c r="B375" s="93"/>
      <c r="C375" s="92"/>
      <c r="D375" s="92"/>
      <c r="E375" s="92"/>
      <c r="F375" s="92"/>
      <c r="G375" s="92"/>
      <c r="H375" s="91"/>
      <c r="I375" s="91"/>
      <c r="J375" s="91"/>
      <c r="K375" s="91"/>
      <c r="L375" s="91"/>
      <c r="M375" s="91"/>
      <c r="N375" s="91"/>
      <c r="O375" s="91"/>
      <c r="P375" s="91"/>
      <c r="Q375" s="91"/>
      <c r="R375" s="91"/>
      <c r="S375" s="91"/>
    </row>
    <row r="376" spans="1:19" ht="15.75" customHeight="1" x14ac:dyDescent="0.25">
      <c r="A376" s="92"/>
      <c r="B376" s="93"/>
      <c r="C376" s="92"/>
      <c r="D376" s="92"/>
      <c r="E376" s="92"/>
      <c r="F376" s="92"/>
      <c r="G376" s="92"/>
      <c r="H376" s="91"/>
      <c r="I376" s="91"/>
      <c r="J376" s="91"/>
      <c r="K376" s="91"/>
      <c r="L376" s="91"/>
      <c r="M376" s="91"/>
      <c r="N376" s="91"/>
      <c r="O376" s="91"/>
      <c r="P376" s="91"/>
      <c r="Q376" s="91"/>
      <c r="R376" s="91"/>
      <c r="S376" s="91"/>
    </row>
    <row r="377" spans="1:19" ht="15.75" customHeight="1" x14ac:dyDescent="0.25">
      <c r="A377" s="92"/>
      <c r="B377" s="93"/>
      <c r="C377" s="92"/>
      <c r="D377" s="92"/>
      <c r="E377" s="92"/>
      <c r="F377" s="92"/>
      <c r="G377" s="92"/>
      <c r="H377" s="91"/>
      <c r="I377" s="91"/>
      <c r="J377" s="91"/>
      <c r="K377" s="91"/>
      <c r="L377" s="91"/>
      <c r="M377" s="91"/>
      <c r="N377" s="91"/>
      <c r="O377" s="91"/>
      <c r="P377" s="91"/>
      <c r="Q377" s="91"/>
      <c r="R377" s="91"/>
      <c r="S377" s="91"/>
    </row>
    <row r="378" spans="1:19" ht="15.75" customHeight="1" x14ac:dyDescent="0.25">
      <c r="A378" s="92"/>
      <c r="B378" s="93"/>
      <c r="C378" s="92"/>
      <c r="D378" s="92"/>
      <c r="E378" s="92"/>
      <c r="F378" s="92"/>
      <c r="G378" s="92"/>
      <c r="H378" s="91"/>
      <c r="I378" s="91"/>
      <c r="J378" s="91"/>
      <c r="K378" s="91"/>
      <c r="L378" s="91"/>
      <c r="M378" s="91"/>
      <c r="N378" s="91"/>
      <c r="O378" s="91"/>
      <c r="P378" s="91"/>
      <c r="Q378" s="91"/>
      <c r="R378" s="91"/>
      <c r="S378" s="91"/>
    </row>
    <row r="379" spans="1:19" ht="15.75" customHeight="1" x14ac:dyDescent="0.25">
      <c r="A379" s="92"/>
      <c r="B379" s="93"/>
      <c r="C379" s="92"/>
      <c r="D379" s="92"/>
      <c r="E379" s="92"/>
      <c r="F379" s="92"/>
      <c r="G379" s="92"/>
      <c r="H379" s="91"/>
      <c r="I379" s="91"/>
      <c r="J379" s="91"/>
      <c r="K379" s="91"/>
      <c r="L379" s="91"/>
      <c r="M379" s="91"/>
      <c r="N379" s="91"/>
      <c r="O379" s="91"/>
      <c r="P379" s="91"/>
      <c r="Q379" s="91"/>
      <c r="R379" s="91"/>
      <c r="S379" s="91"/>
    </row>
    <row r="380" spans="1:19" ht="15.75" customHeight="1" x14ac:dyDescent="0.25">
      <c r="A380" s="92"/>
      <c r="B380" s="93"/>
      <c r="C380" s="92"/>
      <c r="D380" s="92"/>
      <c r="E380" s="92"/>
      <c r="F380" s="92"/>
      <c r="G380" s="92"/>
      <c r="H380" s="91"/>
      <c r="I380" s="91"/>
      <c r="J380" s="91"/>
      <c r="K380" s="91"/>
      <c r="L380" s="91"/>
      <c r="M380" s="91"/>
      <c r="N380" s="91"/>
      <c r="O380" s="91"/>
      <c r="P380" s="91"/>
      <c r="Q380" s="91"/>
      <c r="R380" s="91"/>
      <c r="S380" s="91"/>
    </row>
    <row r="381" spans="1:19" ht="15.75" customHeight="1" x14ac:dyDescent="0.25">
      <c r="A381" s="92"/>
      <c r="B381" s="93"/>
      <c r="C381" s="92"/>
      <c r="D381" s="92"/>
      <c r="E381" s="92"/>
      <c r="F381" s="92"/>
      <c r="G381" s="92"/>
      <c r="H381" s="91"/>
      <c r="I381" s="91"/>
      <c r="J381" s="91"/>
      <c r="K381" s="91"/>
      <c r="L381" s="91"/>
      <c r="M381" s="91"/>
      <c r="N381" s="91"/>
      <c r="O381" s="91"/>
      <c r="P381" s="91"/>
      <c r="Q381" s="91"/>
      <c r="R381" s="91"/>
      <c r="S381" s="91"/>
    </row>
    <row r="382" spans="1:19" ht="15.75" customHeight="1" x14ac:dyDescent="0.25">
      <c r="A382" s="92"/>
      <c r="B382" s="93"/>
      <c r="C382" s="92"/>
      <c r="D382" s="92"/>
      <c r="E382" s="92"/>
      <c r="F382" s="92"/>
      <c r="G382" s="92"/>
      <c r="H382" s="91"/>
      <c r="I382" s="91"/>
      <c r="J382" s="91"/>
      <c r="K382" s="91"/>
      <c r="L382" s="91"/>
      <c r="M382" s="91"/>
      <c r="N382" s="91"/>
      <c r="O382" s="91"/>
      <c r="P382" s="91"/>
      <c r="Q382" s="91"/>
      <c r="R382" s="91"/>
      <c r="S382" s="91"/>
    </row>
    <row r="383" spans="1:19" ht="15.75" customHeight="1" x14ac:dyDescent="0.25">
      <c r="A383" s="92"/>
      <c r="B383" s="93"/>
      <c r="C383" s="92"/>
      <c r="D383" s="92"/>
      <c r="E383" s="92"/>
      <c r="F383" s="92"/>
      <c r="G383" s="92"/>
      <c r="H383" s="91"/>
      <c r="I383" s="91"/>
      <c r="J383" s="91"/>
      <c r="K383" s="91"/>
      <c r="L383" s="91"/>
      <c r="M383" s="91"/>
      <c r="N383" s="91"/>
      <c r="O383" s="91"/>
      <c r="P383" s="91"/>
      <c r="Q383" s="91"/>
      <c r="R383" s="91"/>
      <c r="S383" s="91"/>
    </row>
    <row r="384" spans="1:19" ht="15.75" customHeight="1" x14ac:dyDescent="0.25">
      <c r="A384" s="92"/>
      <c r="B384" s="93"/>
      <c r="C384" s="92"/>
      <c r="D384" s="92"/>
      <c r="E384" s="92"/>
      <c r="F384" s="92"/>
      <c r="G384" s="92"/>
      <c r="H384" s="91"/>
      <c r="I384" s="91"/>
      <c r="J384" s="91"/>
      <c r="K384" s="91"/>
      <c r="L384" s="91"/>
      <c r="M384" s="91"/>
      <c r="N384" s="91"/>
      <c r="O384" s="91"/>
      <c r="P384" s="91"/>
      <c r="Q384" s="91"/>
      <c r="R384" s="91"/>
      <c r="S384" s="91"/>
    </row>
    <row r="385" spans="1:19" ht="15.75" customHeight="1" x14ac:dyDescent="0.25">
      <c r="A385" s="92"/>
      <c r="B385" s="93"/>
      <c r="C385" s="92"/>
      <c r="D385" s="92"/>
      <c r="E385" s="92"/>
      <c r="F385" s="92"/>
      <c r="G385" s="92"/>
      <c r="H385" s="91"/>
      <c r="I385" s="91"/>
      <c r="J385" s="91"/>
      <c r="K385" s="91"/>
      <c r="L385" s="91"/>
      <c r="M385" s="91"/>
      <c r="N385" s="91"/>
      <c r="O385" s="91"/>
      <c r="P385" s="91"/>
      <c r="Q385" s="91"/>
      <c r="R385" s="91"/>
      <c r="S385" s="91"/>
    </row>
    <row r="386" spans="1:19" ht="15.75" customHeight="1" x14ac:dyDescent="0.25">
      <c r="A386" s="92"/>
      <c r="B386" s="93"/>
      <c r="C386" s="92"/>
      <c r="D386" s="92"/>
      <c r="E386" s="92"/>
      <c r="F386" s="92"/>
      <c r="G386" s="92"/>
      <c r="H386" s="91"/>
      <c r="I386" s="91"/>
      <c r="J386" s="91"/>
      <c r="K386" s="91"/>
      <c r="L386" s="91"/>
      <c r="M386" s="91"/>
      <c r="N386" s="91"/>
      <c r="O386" s="91"/>
      <c r="P386" s="91"/>
      <c r="Q386" s="91"/>
      <c r="R386" s="91"/>
      <c r="S386" s="91"/>
    </row>
    <row r="387" spans="1:19" ht="15.75" customHeight="1" x14ac:dyDescent="0.25">
      <c r="A387" s="92"/>
      <c r="B387" s="93"/>
      <c r="C387" s="92"/>
      <c r="D387" s="92"/>
      <c r="E387" s="92"/>
      <c r="F387" s="92"/>
      <c r="G387" s="92"/>
      <c r="H387" s="91"/>
      <c r="I387" s="91"/>
      <c r="J387" s="91"/>
      <c r="K387" s="91"/>
      <c r="L387" s="91"/>
      <c r="M387" s="91"/>
      <c r="N387" s="91"/>
      <c r="O387" s="91"/>
      <c r="P387" s="91"/>
      <c r="Q387" s="91"/>
      <c r="R387" s="91"/>
      <c r="S387" s="91"/>
    </row>
    <row r="388" spans="1:19" ht="15.75" customHeight="1" x14ac:dyDescent="0.25">
      <c r="A388" s="92"/>
      <c r="B388" s="93"/>
      <c r="C388" s="92"/>
      <c r="D388" s="92"/>
      <c r="E388" s="92"/>
      <c r="F388" s="92"/>
      <c r="G388" s="92"/>
      <c r="H388" s="91"/>
      <c r="I388" s="91"/>
      <c r="J388" s="91"/>
      <c r="K388" s="91"/>
      <c r="L388" s="91"/>
      <c r="M388" s="91"/>
      <c r="N388" s="91"/>
      <c r="O388" s="91"/>
      <c r="P388" s="91"/>
      <c r="Q388" s="91"/>
      <c r="R388" s="91"/>
      <c r="S388" s="91"/>
    </row>
    <row r="389" spans="1:19" ht="15.75" customHeight="1" x14ac:dyDescent="0.25">
      <c r="A389" s="92"/>
      <c r="B389" s="93"/>
      <c r="C389" s="92"/>
      <c r="D389" s="92"/>
      <c r="E389" s="92"/>
      <c r="F389" s="92"/>
      <c r="G389" s="92"/>
      <c r="H389" s="91"/>
      <c r="I389" s="91"/>
      <c r="J389" s="91"/>
      <c r="K389" s="91"/>
      <c r="L389" s="91"/>
      <c r="M389" s="91"/>
      <c r="N389" s="91"/>
      <c r="O389" s="91"/>
      <c r="P389" s="91"/>
      <c r="Q389" s="91"/>
      <c r="R389" s="91"/>
      <c r="S389" s="91"/>
    </row>
    <row r="390" spans="1:19" ht="15.75" customHeight="1" x14ac:dyDescent="0.25">
      <c r="A390" s="92"/>
      <c r="B390" s="93"/>
      <c r="C390" s="92"/>
      <c r="D390" s="92"/>
      <c r="E390" s="92"/>
      <c r="F390" s="92"/>
      <c r="G390" s="92"/>
      <c r="H390" s="91"/>
      <c r="I390" s="91"/>
      <c r="J390" s="91"/>
      <c r="K390" s="91"/>
      <c r="L390" s="91"/>
      <c r="M390" s="91"/>
      <c r="N390" s="91"/>
      <c r="O390" s="91"/>
      <c r="P390" s="91"/>
      <c r="Q390" s="91"/>
      <c r="R390" s="91"/>
      <c r="S390" s="91"/>
    </row>
    <row r="391" spans="1:19" ht="15.75" customHeight="1" x14ac:dyDescent="0.25">
      <c r="A391" s="92"/>
      <c r="B391" s="93"/>
      <c r="C391" s="92"/>
      <c r="D391" s="92"/>
      <c r="E391" s="92"/>
      <c r="F391" s="92"/>
      <c r="G391" s="92"/>
      <c r="H391" s="91"/>
      <c r="I391" s="91"/>
      <c r="J391" s="91"/>
      <c r="K391" s="91"/>
      <c r="L391" s="91"/>
      <c r="M391" s="91"/>
      <c r="N391" s="91"/>
      <c r="O391" s="91"/>
      <c r="P391" s="91"/>
      <c r="Q391" s="91"/>
      <c r="R391" s="91"/>
      <c r="S391" s="91"/>
    </row>
    <row r="392" spans="1:19" ht="15.75" customHeight="1" x14ac:dyDescent="0.25">
      <c r="A392" s="92"/>
      <c r="B392" s="93"/>
      <c r="C392" s="92"/>
      <c r="D392" s="92"/>
      <c r="E392" s="92"/>
      <c r="F392" s="92"/>
      <c r="G392" s="92"/>
      <c r="H392" s="91"/>
      <c r="I392" s="91"/>
      <c r="J392" s="91"/>
      <c r="K392" s="91"/>
      <c r="L392" s="91"/>
      <c r="M392" s="91"/>
      <c r="N392" s="91"/>
      <c r="O392" s="91"/>
      <c r="P392" s="91"/>
      <c r="Q392" s="91"/>
      <c r="R392" s="91"/>
      <c r="S392" s="91"/>
    </row>
    <row r="393" spans="1:19" ht="15.75" customHeight="1" x14ac:dyDescent="0.25">
      <c r="A393" s="92"/>
      <c r="B393" s="93"/>
      <c r="C393" s="92"/>
      <c r="D393" s="92"/>
      <c r="E393" s="92"/>
      <c r="F393" s="92"/>
      <c r="G393" s="92"/>
      <c r="H393" s="91"/>
      <c r="I393" s="91"/>
      <c r="J393" s="91"/>
      <c r="K393" s="91"/>
      <c r="L393" s="91"/>
      <c r="M393" s="91"/>
      <c r="N393" s="91"/>
      <c r="O393" s="91"/>
      <c r="P393" s="91"/>
      <c r="Q393" s="91"/>
      <c r="R393" s="91"/>
      <c r="S393" s="91"/>
    </row>
    <row r="394" spans="1:19" ht="15.75" customHeight="1" x14ac:dyDescent="0.25">
      <c r="A394" s="92"/>
      <c r="B394" s="93"/>
      <c r="C394" s="92"/>
      <c r="D394" s="92"/>
      <c r="E394" s="92"/>
      <c r="F394" s="92"/>
      <c r="G394" s="92"/>
      <c r="H394" s="91"/>
      <c r="I394" s="91"/>
      <c r="J394" s="91"/>
      <c r="K394" s="91"/>
      <c r="L394" s="91"/>
      <c r="M394" s="91"/>
      <c r="N394" s="91"/>
      <c r="O394" s="91"/>
      <c r="P394" s="91"/>
      <c r="Q394" s="91"/>
      <c r="R394" s="91"/>
      <c r="S394" s="91"/>
    </row>
    <row r="395" spans="1:19" ht="15.75" customHeight="1" x14ac:dyDescent="0.25">
      <c r="A395" s="92"/>
      <c r="B395" s="93"/>
      <c r="C395" s="92"/>
      <c r="D395" s="92"/>
      <c r="E395" s="92"/>
      <c r="F395" s="92"/>
      <c r="G395" s="92"/>
      <c r="H395" s="91"/>
      <c r="I395" s="91"/>
      <c r="J395" s="91"/>
      <c r="K395" s="91"/>
      <c r="L395" s="91"/>
      <c r="M395" s="91"/>
      <c r="N395" s="91"/>
      <c r="O395" s="91"/>
      <c r="P395" s="91"/>
      <c r="Q395" s="91"/>
      <c r="R395" s="91"/>
      <c r="S395" s="91"/>
    </row>
    <row r="396" spans="1:19" ht="15.75" customHeight="1" x14ac:dyDescent="0.25">
      <c r="A396" s="92"/>
      <c r="B396" s="93"/>
      <c r="C396" s="92"/>
      <c r="D396" s="92"/>
      <c r="E396" s="92"/>
      <c r="F396" s="92"/>
      <c r="G396" s="92"/>
      <c r="H396" s="91"/>
      <c r="I396" s="91"/>
      <c r="J396" s="91"/>
      <c r="K396" s="91"/>
      <c r="L396" s="91"/>
      <c r="M396" s="91"/>
      <c r="N396" s="91"/>
      <c r="O396" s="91"/>
      <c r="P396" s="91"/>
      <c r="Q396" s="91"/>
      <c r="R396" s="91"/>
      <c r="S396" s="91"/>
    </row>
    <row r="397" spans="1:19" ht="15.75" customHeight="1" x14ac:dyDescent="0.25">
      <c r="A397" s="92"/>
      <c r="B397" s="93"/>
      <c r="C397" s="92"/>
      <c r="D397" s="92"/>
      <c r="E397" s="92"/>
      <c r="F397" s="92"/>
      <c r="G397" s="92"/>
      <c r="H397" s="91"/>
      <c r="I397" s="91"/>
      <c r="J397" s="91"/>
      <c r="K397" s="91"/>
      <c r="L397" s="91"/>
      <c r="M397" s="91"/>
      <c r="N397" s="91"/>
      <c r="O397" s="91"/>
      <c r="P397" s="91"/>
      <c r="Q397" s="91"/>
      <c r="R397" s="91"/>
      <c r="S397" s="91"/>
    </row>
    <row r="398" spans="1:19" ht="15.75" customHeight="1" x14ac:dyDescent="0.25">
      <c r="A398" s="92"/>
      <c r="B398" s="93"/>
      <c r="C398" s="92"/>
      <c r="D398" s="92"/>
      <c r="E398" s="92"/>
      <c r="F398" s="92"/>
      <c r="G398" s="92"/>
      <c r="H398" s="91"/>
      <c r="I398" s="91"/>
      <c r="J398" s="91"/>
      <c r="K398" s="91"/>
      <c r="L398" s="91"/>
      <c r="M398" s="91"/>
      <c r="N398" s="91"/>
      <c r="O398" s="91"/>
      <c r="P398" s="91"/>
      <c r="Q398" s="91"/>
      <c r="R398" s="91"/>
      <c r="S398" s="91"/>
    </row>
    <row r="399" spans="1:19" ht="15.75" customHeight="1" x14ac:dyDescent="0.25">
      <c r="A399" s="92"/>
      <c r="B399" s="93"/>
      <c r="C399" s="92"/>
      <c r="D399" s="92"/>
      <c r="E399" s="92"/>
      <c r="F399" s="92"/>
      <c r="G399" s="92"/>
      <c r="H399" s="91"/>
      <c r="I399" s="91"/>
      <c r="J399" s="91"/>
      <c r="K399" s="91"/>
      <c r="L399" s="91"/>
      <c r="M399" s="91"/>
      <c r="N399" s="91"/>
      <c r="O399" s="91"/>
      <c r="P399" s="91"/>
      <c r="Q399" s="91"/>
      <c r="R399" s="91"/>
      <c r="S399" s="91"/>
    </row>
    <row r="400" spans="1:19" ht="15.75" customHeight="1" x14ac:dyDescent="0.25">
      <c r="A400" s="92"/>
      <c r="B400" s="93"/>
      <c r="C400" s="92"/>
      <c r="D400" s="92"/>
      <c r="E400" s="92"/>
      <c r="F400" s="92"/>
      <c r="G400" s="92"/>
      <c r="H400" s="91"/>
      <c r="I400" s="91"/>
      <c r="J400" s="91"/>
      <c r="K400" s="91"/>
      <c r="L400" s="91"/>
      <c r="M400" s="91"/>
      <c r="N400" s="91"/>
      <c r="O400" s="91"/>
      <c r="P400" s="91"/>
      <c r="Q400" s="91"/>
      <c r="R400" s="91"/>
      <c r="S400" s="91"/>
    </row>
    <row r="401" spans="1:19" ht="15.75" customHeight="1" x14ac:dyDescent="0.25">
      <c r="A401" s="92"/>
      <c r="B401" s="93"/>
      <c r="C401" s="92"/>
      <c r="D401" s="92"/>
      <c r="E401" s="92"/>
      <c r="F401" s="92"/>
      <c r="G401" s="92"/>
      <c r="H401" s="91"/>
      <c r="I401" s="91"/>
      <c r="J401" s="91"/>
      <c r="K401" s="91"/>
      <c r="L401" s="91"/>
      <c r="M401" s="91"/>
      <c r="N401" s="91"/>
      <c r="O401" s="91"/>
      <c r="P401" s="91"/>
      <c r="Q401" s="91"/>
      <c r="R401" s="91"/>
      <c r="S401" s="91"/>
    </row>
    <row r="402" spans="1:19" ht="15.75" customHeight="1" x14ac:dyDescent="0.25">
      <c r="A402" s="92"/>
      <c r="B402" s="93"/>
      <c r="C402" s="92"/>
      <c r="D402" s="92"/>
      <c r="E402" s="92"/>
      <c r="F402" s="92"/>
      <c r="G402" s="92"/>
      <c r="H402" s="91"/>
      <c r="I402" s="91"/>
      <c r="J402" s="91"/>
      <c r="K402" s="91"/>
      <c r="L402" s="91"/>
      <c r="M402" s="91"/>
      <c r="N402" s="91"/>
      <c r="O402" s="91"/>
      <c r="P402" s="91"/>
      <c r="Q402" s="91"/>
      <c r="R402" s="91"/>
      <c r="S402" s="91"/>
    </row>
    <row r="403" spans="1:19" ht="15.75" customHeight="1" x14ac:dyDescent="0.25">
      <c r="A403" s="92"/>
      <c r="B403" s="93"/>
      <c r="C403" s="92"/>
      <c r="D403" s="92"/>
      <c r="E403" s="92"/>
      <c r="F403" s="92"/>
      <c r="G403" s="92"/>
      <c r="H403" s="91"/>
      <c r="I403" s="91"/>
      <c r="J403" s="91"/>
      <c r="K403" s="91"/>
      <c r="L403" s="91"/>
      <c r="M403" s="91"/>
      <c r="N403" s="91"/>
      <c r="O403" s="91"/>
      <c r="P403" s="91"/>
      <c r="Q403" s="91"/>
      <c r="R403" s="91"/>
      <c r="S403" s="91"/>
    </row>
    <row r="404" spans="1:19" ht="15.75" customHeight="1" x14ac:dyDescent="0.25">
      <c r="A404" s="92"/>
      <c r="B404" s="93"/>
      <c r="C404" s="92"/>
      <c r="D404" s="92"/>
      <c r="E404" s="92"/>
      <c r="F404" s="92"/>
      <c r="G404" s="92"/>
      <c r="H404" s="91"/>
      <c r="I404" s="91"/>
      <c r="J404" s="91"/>
      <c r="K404" s="91"/>
      <c r="L404" s="91"/>
      <c r="M404" s="91"/>
      <c r="N404" s="91"/>
      <c r="O404" s="91"/>
      <c r="P404" s="91"/>
      <c r="Q404" s="91"/>
      <c r="R404" s="91"/>
      <c r="S404" s="91"/>
    </row>
    <row r="405" spans="1:19" ht="15.75" customHeight="1" x14ac:dyDescent="0.25">
      <c r="A405" s="92"/>
      <c r="B405" s="93"/>
      <c r="C405" s="92"/>
      <c r="D405" s="92"/>
      <c r="E405" s="92"/>
      <c r="F405" s="92"/>
      <c r="G405" s="92"/>
      <c r="H405" s="91"/>
      <c r="I405" s="91"/>
      <c r="J405" s="91"/>
      <c r="K405" s="91"/>
      <c r="L405" s="91"/>
      <c r="M405" s="91"/>
      <c r="N405" s="91"/>
      <c r="O405" s="91"/>
      <c r="P405" s="91"/>
      <c r="Q405" s="91"/>
      <c r="R405" s="91"/>
      <c r="S405" s="91"/>
    </row>
    <row r="406" spans="1:19" ht="15.75" customHeight="1" x14ac:dyDescent="0.25">
      <c r="A406" s="92"/>
      <c r="B406" s="93"/>
      <c r="C406" s="92"/>
      <c r="D406" s="92"/>
      <c r="E406" s="92"/>
      <c r="F406" s="92"/>
      <c r="G406" s="92"/>
      <c r="H406" s="91"/>
      <c r="I406" s="91"/>
      <c r="J406" s="91"/>
      <c r="K406" s="91"/>
      <c r="L406" s="91"/>
      <c r="M406" s="91"/>
      <c r="N406" s="91"/>
      <c r="O406" s="91"/>
      <c r="P406" s="91"/>
      <c r="Q406" s="91"/>
      <c r="R406" s="91"/>
      <c r="S406" s="91"/>
    </row>
    <row r="407" spans="1:19" ht="15.75" customHeight="1" x14ac:dyDescent="0.25">
      <c r="A407" s="92"/>
      <c r="B407" s="93"/>
      <c r="C407" s="92"/>
      <c r="D407" s="92"/>
      <c r="E407" s="92"/>
      <c r="F407" s="92"/>
      <c r="G407" s="92"/>
      <c r="H407" s="91"/>
      <c r="I407" s="91"/>
      <c r="J407" s="91"/>
      <c r="K407" s="91"/>
      <c r="L407" s="91"/>
      <c r="M407" s="91"/>
      <c r="N407" s="91"/>
      <c r="O407" s="91"/>
      <c r="P407" s="91"/>
      <c r="Q407" s="91"/>
      <c r="R407" s="91"/>
      <c r="S407" s="91"/>
    </row>
    <row r="408" spans="1:19" ht="15.75" customHeight="1" x14ac:dyDescent="0.25">
      <c r="A408" s="92"/>
      <c r="B408" s="93"/>
      <c r="C408" s="92"/>
      <c r="D408" s="92"/>
      <c r="E408" s="92"/>
      <c r="F408" s="92"/>
      <c r="G408" s="92"/>
      <c r="H408" s="91"/>
      <c r="I408" s="91"/>
      <c r="J408" s="91"/>
      <c r="K408" s="91"/>
      <c r="L408" s="91"/>
      <c r="M408" s="91"/>
      <c r="N408" s="91"/>
      <c r="O408" s="91"/>
      <c r="P408" s="91"/>
      <c r="Q408" s="91"/>
      <c r="R408" s="91"/>
      <c r="S408" s="91"/>
    </row>
    <row r="409" spans="1:19" ht="15.75" customHeight="1" x14ac:dyDescent="0.25">
      <c r="A409" s="92"/>
      <c r="B409" s="93"/>
      <c r="C409" s="92"/>
      <c r="D409" s="92"/>
      <c r="E409" s="92"/>
      <c r="F409" s="92"/>
      <c r="G409" s="92"/>
      <c r="H409" s="91"/>
      <c r="I409" s="91"/>
      <c r="J409" s="91"/>
      <c r="K409" s="91"/>
      <c r="L409" s="91"/>
      <c r="M409" s="91"/>
      <c r="N409" s="91"/>
      <c r="O409" s="91"/>
      <c r="P409" s="91"/>
      <c r="Q409" s="91"/>
      <c r="R409" s="91"/>
      <c r="S409" s="91"/>
    </row>
    <row r="410" spans="1:19" ht="15.75" customHeight="1" x14ac:dyDescent="0.25">
      <c r="A410" s="92"/>
      <c r="B410" s="93"/>
      <c r="C410" s="92"/>
      <c r="D410" s="92"/>
      <c r="E410" s="92"/>
      <c r="F410" s="92"/>
      <c r="G410" s="92"/>
      <c r="H410" s="91"/>
      <c r="I410" s="91"/>
      <c r="J410" s="91"/>
      <c r="K410" s="91"/>
      <c r="L410" s="91"/>
      <c r="M410" s="91"/>
      <c r="N410" s="91"/>
      <c r="O410" s="91"/>
      <c r="P410" s="91"/>
      <c r="Q410" s="91"/>
      <c r="R410" s="91"/>
      <c r="S410" s="91"/>
    </row>
    <row r="411" spans="1:19" ht="15.75" customHeight="1" x14ac:dyDescent="0.25">
      <c r="A411" s="92"/>
      <c r="B411" s="93"/>
      <c r="C411" s="92"/>
      <c r="D411" s="92"/>
      <c r="E411" s="92"/>
      <c r="F411" s="92"/>
      <c r="G411" s="92"/>
      <c r="H411" s="91"/>
      <c r="I411" s="91"/>
      <c r="J411" s="91"/>
      <c r="K411" s="91"/>
      <c r="L411" s="91"/>
      <c r="M411" s="91"/>
      <c r="N411" s="91"/>
      <c r="O411" s="91"/>
      <c r="P411" s="91"/>
      <c r="Q411" s="91"/>
      <c r="R411" s="91"/>
      <c r="S411" s="91"/>
    </row>
    <row r="412" spans="1:19" ht="15.75" customHeight="1" x14ac:dyDescent="0.25">
      <c r="A412" s="92"/>
      <c r="B412" s="93"/>
      <c r="C412" s="92"/>
      <c r="D412" s="92"/>
      <c r="E412" s="92"/>
      <c r="F412" s="92"/>
      <c r="G412" s="92"/>
      <c r="H412" s="91"/>
      <c r="I412" s="91"/>
      <c r="J412" s="91"/>
      <c r="K412" s="91"/>
      <c r="L412" s="91"/>
      <c r="M412" s="91"/>
      <c r="N412" s="91"/>
      <c r="O412" s="91"/>
      <c r="P412" s="91"/>
      <c r="Q412" s="91"/>
      <c r="R412" s="91"/>
      <c r="S412" s="91"/>
    </row>
    <row r="413" spans="1:19" ht="15.75" customHeight="1" x14ac:dyDescent="0.25">
      <c r="A413" s="92"/>
      <c r="B413" s="93"/>
      <c r="C413" s="92"/>
      <c r="D413" s="92"/>
      <c r="E413" s="92"/>
      <c r="F413" s="92"/>
      <c r="G413" s="92"/>
      <c r="H413" s="91"/>
      <c r="I413" s="91"/>
      <c r="J413" s="91"/>
      <c r="K413" s="91"/>
      <c r="L413" s="91"/>
      <c r="M413" s="91"/>
      <c r="N413" s="91"/>
      <c r="O413" s="91"/>
      <c r="P413" s="91"/>
      <c r="Q413" s="91"/>
      <c r="R413" s="91"/>
      <c r="S413" s="91"/>
    </row>
    <row r="414" spans="1:19" ht="15.75" customHeight="1" x14ac:dyDescent="0.25">
      <c r="A414" s="92"/>
      <c r="B414" s="93"/>
      <c r="C414" s="92"/>
      <c r="D414" s="92"/>
      <c r="E414" s="92"/>
      <c r="F414" s="92"/>
      <c r="G414" s="92"/>
      <c r="H414" s="91"/>
      <c r="I414" s="91"/>
      <c r="J414" s="91"/>
      <c r="K414" s="91"/>
      <c r="L414" s="91"/>
      <c r="M414" s="91"/>
      <c r="N414" s="91"/>
      <c r="O414" s="91"/>
      <c r="P414" s="91"/>
      <c r="Q414" s="91"/>
      <c r="R414" s="91"/>
      <c r="S414" s="91"/>
    </row>
    <row r="415" spans="1:19" ht="15.75" customHeight="1" x14ac:dyDescent="0.25">
      <c r="A415" s="92"/>
      <c r="B415" s="93"/>
      <c r="C415" s="92"/>
      <c r="D415" s="92"/>
      <c r="E415" s="92"/>
      <c r="F415" s="92"/>
      <c r="G415" s="92"/>
      <c r="H415" s="91"/>
      <c r="I415" s="91"/>
      <c r="J415" s="91"/>
      <c r="K415" s="91"/>
      <c r="L415" s="91"/>
      <c r="M415" s="91"/>
      <c r="N415" s="91"/>
      <c r="O415" s="91"/>
      <c r="P415" s="91"/>
      <c r="Q415" s="91"/>
      <c r="R415" s="91"/>
      <c r="S415" s="91"/>
    </row>
    <row r="416" spans="1:19" ht="15.75" customHeight="1" x14ac:dyDescent="0.25">
      <c r="A416" s="92"/>
      <c r="B416" s="93"/>
      <c r="C416" s="92"/>
      <c r="D416" s="92"/>
      <c r="E416" s="92"/>
      <c r="F416" s="92"/>
      <c r="G416" s="92"/>
      <c r="H416" s="91"/>
      <c r="I416" s="91"/>
      <c r="J416" s="91"/>
      <c r="K416" s="91"/>
      <c r="L416" s="91"/>
      <c r="M416" s="91"/>
      <c r="N416" s="91"/>
      <c r="O416" s="91"/>
      <c r="P416" s="91"/>
      <c r="Q416" s="91"/>
      <c r="R416" s="91"/>
      <c r="S416" s="91"/>
    </row>
    <row r="417" spans="1:19" ht="15.75" customHeight="1" x14ac:dyDescent="0.25">
      <c r="A417" s="92"/>
      <c r="B417" s="93"/>
      <c r="C417" s="92"/>
      <c r="D417" s="92"/>
      <c r="E417" s="92"/>
      <c r="F417" s="92"/>
      <c r="G417" s="92"/>
      <c r="H417" s="91"/>
      <c r="I417" s="91"/>
      <c r="J417" s="91"/>
      <c r="K417" s="91"/>
      <c r="L417" s="91"/>
      <c r="M417" s="91"/>
      <c r="N417" s="91"/>
      <c r="O417" s="91"/>
      <c r="P417" s="91"/>
      <c r="Q417" s="91"/>
      <c r="R417" s="91"/>
      <c r="S417" s="91"/>
    </row>
    <row r="418" spans="1:19" ht="15.75" customHeight="1" x14ac:dyDescent="0.25">
      <c r="A418" s="92"/>
      <c r="B418" s="93"/>
      <c r="C418" s="92"/>
      <c r="D418" s="92"/>
      <c r="E418" s="92"/>
      <c r="F418" s="92"/>
      <c r="G418" s="92"/>
      <c r="H418" s="91"/>
      <c r="I418" s="91"/>
      <c r="J418" s="91"/>
      <c r="K418" s="91"/>
      <c r="L418" s="91"/>
      <c r="M418" s="91"/>
      <c r="N418" s="91"/>
      <c r="O418" s="91"/>
      <c r="P418" s="91"/>
      <c r="Q418" s="91"/>
      <c r="R418" s="91"/>
      <c r="S418" s="91"/>
    </row>
    <row r="419" spans="1:19" ht="15.75" customHeight="1" x14ac:dyDescent="0.25">
      <c r="A419" s="92"/>
      <c r="B419" s="93"/>
      <c r="C419" s="92"/>
      <c r="D419" s="92"/>
      <c r="E419" s="92"/>
      <c r="F419" s="92"/>
      <c r="G419" s="92"/>
      <c r="H419" s="91"/>
      <c r="I419" s="91"/>
      <c r="J419" s="91"/>
      <c r="K419" s="91"/>
      <c r="L419" s="91"/>
      <c r="M419" s="91"/>
      <c r="N419" s="91"/>
      <c r="O419" s="91"/>
      <c r="P419" s="91"/>
      <c r="Q419" s="91"/>
      <c r="R419" s="91"/>
      <c r="S419" s="91"/>
    </row>
    <row r="420" spans="1:19" ht="15.75" customHeight="1" x14ac:dyDescent="0.25">
      <c r="A420" s="92"/>
      <c r="B420" s="93"/>
      <c r="C420" s="92"/>
      <c r="D420" s="92"/>
      <c r="E420" s="92"/>
      <c r="F420" s="92"/>
      <c r="G420" s="92"/>
      <c r="H420" s="91"/>
      <c r="I420" s="91"/>
      <c r="J420" s="91"/>
      <c r="K420" s="91"/>
      <c r="L420" s="91"/>
      <c r="M420" s="91"/>
      <c r="N420" s="91"/>
      <c r="O420" s="91"/>
      <c r="P420" s="91"/>
      <c r="Q420" s="91"/>
      <c r="R420" s="91"/>
      <c r="S420" s="91"/>
    </row>
    <row r="421" spans="1:19" ht="15.75" customHeight="1" x14ac:dyDescent="0.25">
      <c r="A421" s="92"/>
      <c r="B421" s="93"/>
      <c r="C421" s="92"/>
      <c r="D421" s="92"/>
      <c r="E421" s="92"/>
      <c r="F421" s="92"/>
      <c r="G421" s="92"/>
      <c r="H421" s="91"/>
      <c r="I421" s="91"/>
      <c r="J421" s="91"/>
      <c r="K421" s="91"/>
      <c r="L421" s="91"/>
      <c r="M421" s="91"/>
      <c r="N421" s="91"/>
      <c r="O421" s="91"/>
      <c r="P421" s="91"/>
      <c r="Q421" s="91"/>
      <c r="R421" s="91"/>
      <c r="S421" s="91"/>
    </row>
    <row r="422" spans="1:19" ht="15.75" customHeight="1" x14ac:dyDescent="0.25">
      <c r="A422" s="92"/>
      <c r="B422" s="93"/>
      <c r="C422" s="92"/>
      <c r="D422" s="92"/>
      <c r="E422" s="92"/>
      <c r="F422" s="92"/>
      <c r="G422" s="92"/>
      <c r="H422" s="91"/>
      <c r="I422" s="91"/>
      <c r="J422" s="91"/>
      <c r="K422" s="91"/>
      <c r="L422" s="91"/>
      <c r="M422" s="91"/>
      <c r="N422" s="91"/>
      <c r="O422" s="91"/>
      <c r="P422" s="91"/>
      <c r="Q422" s="91"/>
      <c r="R422" s="91"/>
      <c r="S422" s="91"/>
    </row>
    <row r="423" spans="1:19" ht="15.75" customHeight="1" x14ac:dyDescent="0.25">
      <c r="A423" s="92"/>
      <c r="B423" s="93"/>
      <c r="C423" s="92"/>
      <c r="D423" s="92"/>
      <c r="E423" s="92"/>
      <c r="F423" s="92"/>
      <c r="G423" s="92"/>
      <c r="H423" s="91"/>
      <c r="I423" s="91"/>
      <c r="J423" s="91"/>
      <c r="K423" s="91"/>
      <c r="L423" s="91"/>
      <c r="M423" s="91"/>
      <c r="N423" s="91"/>
      <c r="O423" s="91"/>
      <c r="P423" s="91"/>
      <c r="Q423" s="91"/>
      <c r="R423" s="91"/>
      <c r="S423" s="91"/>
    </row>
    <row r="424" spans="1:19" ht="15.75" customHeight="1" x14ac:dyDescent="0.25">
      <c r="A424" s="92"/>
      <c r="B424" s="93"/>
      <c r="C424" s="92"/>
      <c r="D424" s="92"/>
      <c r="E424" s="92"/>
      <c r="F424" s="92"/>
      <c r="G424" s="92"/>
      <c r="H424" s="91"/>
      <c r="I424" s="91"/>
      <c r="J424" s="91"/>
      <c r="K424" s="91"/>
      <c r="L424" s="91"/>
      <c r="M424" s="91"/>
      <c r="N424" s="91"/>
      <c r="O424" s="91"/>
      <c r="P424" s="91"/>
      <c r="Q424" s="91"/>
      <c r="R424" s="91"/>
      <c r="S424" s="91"/>
    </row>
    <row r="425" spans="1:19" ht="15.75" customHeight="1" x14ac:dyDescent="0.25">
      <c r="A425" s="92"/>
      <c r="B425" s="93"/>
      <c r="C425" s="92"/>
      <c r="D425" s="92"/>
      <c r="E425" s="92"/>
      <c r="F425" s="92"/>
      <c r="G425" s="92"/>
      <c r="H425" s="91"/>
      <c r="I425" s="91"/>
      <c r="J425" s="91"/>
      <c r="K425" s="91"/>
      <c r="L425" s="91"/>
      <c r="M425" s="91"/>
      <c r="N425" s="91"/>
      <c r="O425" s="91"/>
      <c r="P425" s="91"/>
      <c r="Q425" s="91"/>
      <c r="R425" s="91"/>
      <c r="S425" s="91"/>
    </row>
    <row r="426" spans="1:19" ht="15.75" customHeight="1" x14ac:dyDescent="0.25">
      <c r="A426" s="92"/>
      <c r="B426" s="93"/>
      <c r="C426" s="92"/>
      <c r="D426" s="92"/>
      <c r="E426" s="92"/>
      <c r="F426" s="92"/>
      <c r="G426" s="92"/>
      <c r="H426" s="91"/>
      <c r="I426" s="91"/>
      <c r="J426" s="91"/>
      <c r="K426" s="91"/>
      <c r="L426" s="91"/>
      <c r="M426" s="91"/>
      <c r="N426" s="91"/>
      <c r="O426" s="91"/>
      <c r="P426" s="91"/>
      <c r="Q426" s="91"/>
      <c r="R426" s="91"/>
      <c r="S426" s="91"/>
    </row>
    <row r="427" spans="1:19" ht="15.75" customHeight="1" x14ac:dyDescent="0.25">
      <c r="A427" s="92"/>
      <c r="B427" s="93"/>
      <c r="C427" s="92"/>
      <c r="D427" s="92"/>
      <c r="E427" s="92"/>
      <c r="F427" s="92"/>
      <c r="G427" s="92"/>
      <c r="H427" s="91"/>
      <c r="I427" s="91"/>
      <c r="J427" s="91"/>
      <c r="K427" s="91"/>
      <c r="L427" s="91"/>
      <c r="M427" s="91"/>
      <c r="N427" s="91"/>
      <c r="O427" s="91"/>
      <c r="P427" s="91"/>
      <c r="Q427" s="91"/>
      <c r="R427" s="91"/>
      <c r="S427" s="91"/>
    </row>
    <row r="428" spans="1:19" ht="15.75" customHeight="1" x14ac:dyDescent="0.25">
      <c r="A428" s="92"/>
      <c r="B428" s="93"/>
      <c r="C428" s="92"/>
      <c r="D428" s="92"/>
      <c r="E428" s="92"/>
      <c r="F428" s="92"/>
      <c r="G428" s="92"/>
      <c r="H428" s="91"/>
      <c r="I428" s="91"/>
      <c r="J428" s="91"/>
      <c r="K428" s="91"/>
      <c r="L428" s="91"/>
      <c r="M428" s="91"/>
      <c r="N428" s="91"/>
      <c r="O428" s="91"/>
      <c r="P428" s="91"/>
      <c r="Q428" s="91"/>
      <c r="R428" s="91"/>
      <c r="S428" s="91"/>
    </row>
    <row r="429" spans="1:19" ht="15.75" customHeight="1" x14ac:dyDescent="0.25">
      <c r="A429" s="92"/>
      <c r="B429" s="93"/>
      <c r="C429" s="92"/>
      <c r="D429" s="92"/>
      <c r="E429" s="92"/>
      <c r="F429" s="92"/>
      <c r="G429" s="92"/>
      <c r="H429" s="91"/>
      <c r="I429" s="91"/>
      <c r="J429" s="91"/>
      <c r="K429" s="91"/>
      <c r="L429" s="91"/>
      <c r="M429" s="91"/>
      <c r="N429" s="91"/>
      <c r="O429" s="91"/>
      <c r="P429" s="91"/>
      <c r="Q429" s="91"/>
      <c r="R429" s="91"/>
      <c r="S429" s="91"/>
    </row>
    <row r="430" spans="1:19" ht="15.75" customHeight="1" x14ac:dyDescent="0.25">
      <c r="A430" s="92"/>
      <c r="B430" s="93"/>
      <c r="C430" s="92"/>
      <c r="D430" s="92"/>
      <c r="E430" s="92"/>
      <c r="F430" s="92"/>
      <c r="G430" s="92"/>
      <c r="H430" s="91"/>
      <c r="I430" s="91"/>
      <c r="J430" s="91"/>
      <c r="K430" s="91"/>
      <c r="L430" s="91"/>
      <c r="M430" s="91"/>
      <c r="N430" s="91"/>
      <c r="O430" s="91"/>
      <c r="P430" s="91"/>
      <c r="Q430" s="91"/>
      <c r="R430" s="91"/>
      <c r="S430" s="91"/>
    </row>
    <row r="431" spans="1:19" ht="15.75" customHeight="1" x14ac:dyDescent="0.25">
      <c r="A431" s="92"/>
      <c r="B431" s="93"/>
      <c r="C431" s="92"/>
      <c r="D431" s="92"/>
      <c r="E431" s="92"/>
      <c r="F431" s="92"/>
      <c r="G431" s="92"/>
      <c r="H431" s="91"/>
      <c r="I431" s="91"/>
      <c r="J431" s="91"/>
      <c r="K431" s="91"/>
      <c r="L431" s="91"/>
      <c r="M431" s="91"/>
      <c r="N431" s="91"/>
      <c r="O431" s="91"/>
      <c r="P431" s="91"/>
      <c r="Q431" s="91"/>
      <c r="R431" s="91"/>
      <c r="S431" s="91"/>
    </row>
    <row r="432" spans="1:19" ht="15.75" customHeight="1" x14ac:dyDescent="0.25">
      <c r="A432" s="92"/>
      <c r="B432" s="93"/>
      <c r="C432" s="92"/>
      <c r="D432" s="92"/>
      <c r="E432" s="92"/>
      <c r="F432" s="92"/>
      <c r="G432" s="92"/>
      <c r="H432" s="91"/>
      <c r="I432" s="91"/>
      <c r="J432" s="91"/>
      <c r="K432" s="91"/>
      <c r="L432" s="91"/>
      <c r="M432" s="91"/>
      <c r="N432" s="91"/>
      <c r="O432" s="91"/>
      <c r="P432" s="91"/>
      <c r="Q432" s="91"/>
      <c r="R432" s="91"/>
      <c r="S432" s="91"/>
    </row>
    <row r="433" spans="1:19" ht="15.75" customHeight="1" x14ac:dyDescent="0.25">
      <c r="A433" s="92"/>
      <c r="B433" s="93"/>
      <c r="C433" s="92"/>
      <c r="D433" s="92"/>
      <c r="E433" s="92"/>
      <c r="F433" s="92"/>
      <c r="G433" s="92"/>
      <c r="H433" s="91"/>
      <c r="I433" s="91"/>
      <c r="J433" s="91"/>
      <c r="K433" s="91"/>
      <c r="L433" s="91"/>
      <c r="M433" s="91"/>
      <c r="N433" s="91"/>
      <c r="O433" s="91"/>
      <c r="P433" s="91"/>
      <c r="Q433" s="91"/>
      <c r="R433" s="91"/>
      <c r="S433" s="91"/>
    </row>
    <row r="434" spans="1:19" ht="15.75" customHeight="1" x14ac:dyDescent="0.25">
      <c r="A434" s="92"/>
      <c r="B434" s="93"/>
      <c r="C434" s="92"/>
      <c r="D434" s="92"/>
      <c r="E434" s="92"/>
      <c r="F434" s="92"/>
      <c r="G434" s="92"/>
      <c r="H434" s="91"/>
      <c r="I434" s="91"/>
      <c r="J434" s="91"/>
      <c r="K434" s="91"/>
      <c r="L434" s="91"/>
      <c r="M434" s="91"/>
      <c r="N434" s="91"/>
      <c r="O434" s="91"/>
      <c r="P434" s="91"/>
      <c r="Q434" s="91"/>
      <c r="R434" s="91"/>
      <c r="S434" s="91"/>
    </row>
    <row r="435" spans="1:19" ht="15.75" customHeight="1" x14ac:dyDescent="0.25">
      <c r="A435" s="92"/>
      <c r="B435" s="93"/>
      <c r="C435" s="92"/>
      <c r="D435" s="92"/>
      <c r="E435" s="92"/>
      <c r="F435" s="92"/>
      <c r="G435" s="92"/>
      <c r="H435" s="91"/>
      <c r="I435" s="91"/>
      <c r="J435" s="91"/>
      <c r="K435" s="91"/>
      <c r="L435" s="91"/>
      <c r="M435" s="91"/>
      <c r="N435" s="91"/>
      <c r="O435" s="91"/>
      <c r="P435" s="91"/>
      <c r="Q435" s="91"/>
      <c r="R435" s="91"/>
      <c r="S435" s="91"/>
    </row>
    <row r="436" spans="1:19" ht="15.75" customHeight="1" x14ac:dyDescent="0.25">
      <c r="A436" s="92"/>
      <c r="B436" s="93"/>
      <c r="C436" s="92"/>
      <c r="D436" s="92"/>
      <c r="E436" s="92"/>
      <c r="F436" s="92"/>
      <c r="G436" s="92"/>
      <c r="H436" s="91"/>
      <c r="I436" s="91"/>
      <c r="J436" s="91"/>
      <c r="K436" s="91"/>
      <c r="L436" s="91"/>
      <c r="M436" s="91"/>
      <c r="N436" s="91"/>
      <c r="O436" s="91"/>
      <c r="P436" s="91"/>
      <c r="Q436" s="91"/>
      <c r="R436" s="91"/>
      <c r="S436" s="91"/>
    </row>
    <row r="437" spans="1:19" ht="15.75" customHeight="1" x14ac:dyDescent="0.25">
      <c r="A437" s="92"/>
      <c r="B437" s="93"/>
      <c r="C437" s="92"/>
      <c r="D437" s="92"/>
      <c r="E437" s="92"/>
      <c r="F437" s="92"/>
      <c r="G437" s="92"/>
      <c r="H437" s="91"/>
      <c r="I437" s="91"/>
      <c r="J437" s="91"/>
      <c r="K437" s="91"/>
      <c r="L437" s="91"/>
      <c r="M437" s="91"/>
      <c r="N437" s="91"/>
      <c r="O437" s="91"/>
      <c r="P437" s="91"/>
      <c r="Q437" s="91"/>
      <c r="R437" s="91"/>
      <c r="S437" s="91"/>
    </row>
    <row r="438" spans="1:19" ht="15.75" customHeight="1" x14ac:dyDescent="0.25">
      <c r="A438" s="92"/>
      <c r="B438" s="93"/>
      <c r="C438" s="92"/>
      <c r="D438" s="92"/>
      <c r="E438" s="92"/>
      <c r="F438" s="92"/>
      <c r="G438" s="92"/>
      <c r="H438" s="91"/>
      <c r="I438" s="91"/>
      <c r="J438" s="91"/>
      <c r="K438" s="91"/>
      <c r="L438" s="91"/>
      <c r="M438" s="91"/>
      <c r="N438" s="91"/>
      <c r="O438" s="91"/>
      <c r="P438" s="91"/>
      <c r="Q438" s="91"/>
      <c r="R438" s="91"/>
      <c r="S438" s="91"/>
    </row>
    <row r="439" spans="1:19" ht="15.75" customHeight="1" x14ac:dyDescent="0.25">
      <c r="A439" s="92"/>
      <c r="B439" s="93"/>
      <c r="C439" s="92"/>
      <c r="D439" s="92"/>
      <c r="E439" s="92"/>
      <c r="F439" s="92"/>
      <c r="G439" s="92"/>
      <c r="H439" s="91"/>
      <c r="I439" s="91"/>
      <c r="J439" s="91"/>
      <c r="K439" s="91"/>
      <c r="L439" s="91"/>
      <c r="M439" s="91"/>
      <c r="N439" s="91"/>
      <c r="O439" s="91"/>
      <c r="P439" s="91"/>
      <c r="Q439" s="91"/>
      <c r="R439" s="91"/>
      <c r="S439" s="91"/>
    </row>
    <row r="440" spans="1:19" ht="15.75" customHeight="1" x14ac:dyDescent="0.25">
      <c r="A440" s="92"/>
      <c r="B440" s="93"/>
      <c r="C440" s="92"/>
      <c r="D440" s="92"/>
      <c r="E440" s="92"/>
      <c r="F440" s="92"/>
      <c r="G440" s="92"/>
      <c r="H440" s="91"/>
      <c r="I440" s="91"/>
      <c r="J440" s="91"/>
      <c r="K440" s="91"/>
      <c r="L440" s="91"/>
      <c r="M440" s="91"/>
      <c r="N440" s="91"/>
      <c r="O440" s="91"/>
      <c r="P440" s="91"/>
      <c r="Q440" s="91"/>
      <c r="R440" s="91"/>
      <c r="S440" s="91"/>
    </row>
    <row r="441" spans="1:19" ht="15.75" customHeight="1" x14ac:dyDescent="0.25">
      <c r="A441" s="92"/>
      <c r="B441" s="93"/>
      <c r="C441" s="92"/>
      <c r="D441" s="92"/>
      <c r="E441" s="92"/>
      <c r="F441" s="92"/>
      <c r="G441" s="92"/>
      <c r="H441" s="91"/>
      <c r="I441" s="91"/>
      <c r="J441" s="91"/>
      <c r="K441" s="91"/>
      <c r="L441" s="91"/>
      <c r="M441" s="91"/>
      <c r="N441" s="91"/>
      <c r="O441" s="91"/>
      <c r="P441" s="91"/>
      <c r="Q441" s="91"/>
      <c r="R441" s="91"/>
      <c r="S441" s="91"/>
    </row>
    <row r="442" spans="1:19" ht="15.75" customHeight="1" x14ac:dyDescent="0.25">
      <c r="A442" s="92"/>
      <c r="B442" s="93"/>
      <c r="C442" s="92"/>
      <c r="D442" s="92"/>
      <c r="E442" s="92"/>
      <c r="F442" s="92"/>
      <c r="G442" s="92"/>
      <c r="H442" s="91"/>
      <c r="I442" s="91"/>
      <c r="J442" s="91"/>
      <c r="K442" s="91"/>
      <c r="L442" s="91"/>
      <c r="M442" s="91"/>
      <c r="N442" s="91"/>
      <c r="O442" s="91"/>
      <c r="P442" s="91"/>
      <c r="Q442" s="91"/>
      <c r="R442" s="91"/>
      <c r="S442" s="91"/>
    </row>
    <row r="443" spans="1:19" ht="15.75" customHeight="1" x14ac:dyDescent="0.25">
      <c r="A443" s="92"/>
      <c r="B443" s="93"/>
      <c r="C443" s="92"/>
      <c r="D443" s="92"/>
      <c r="E443" s="92"/>
      <c r="F443" s="92"/>
      <c r="G443" s="92"/>
      <c r="H443" s="91"/>
      <c r="I443" s="91"/>
      <c r="J443" s="91"/>
      <c r="K443" s="91"/>
      <c r="L443" s="91"/>
      <c r="M443" s="91"/>
      <c r="N443" s="91"/>
      <c r="O443" s="91"/>
      <c r="P443" s="91"/>
      <c r="Q443" s="91"/>
      <c r="R443" s="91"/>
      <c r="S443" s="91"/>
    </row>
    <row r="444" spans="1:19" ht="15.75" customHeight="1" x14ac:dyDescent="0.25">
      <c r="A444" s="92"/>
      <c r="B444" s="93"/>
      <c r="C444" s="92"/>
      <c r="D444" s="92"/>
      <c r="E444" s="92"/>
      <c r="F444" s="92"/>
      <c r="G444" s="92"/>
      <c r="H444" s="91"/>
      <c r="I444" s="91"/>
      <c r="J444" s="91"/>
      <c r="K444" s="91"/>
      <c r="L444" s="91"/>
      <c r="M444" s="91"/>
      <c r="N444" s="91"/>
      <c r="O444" s="91"/>
      <c r="P444" s="91"/>
      <c r="Q444" s="91"/>
      <c r="R444" s="91"/>
      <c r="S444" s="91"/>
    </row>
    <row r="445" spans="1:19" ht="15.75" customHeight="1" x14ac:dyDescent="0.25">
      <c r="A445" s="92"/>
      <c r="B445" s="93"/>
      <c r="C445" s="92"/>
      <c r="D445" s="92"/>
      <c r="E445" s="92"/>
      <c r="F445" s="92"/>
      <c r="G445" s="92"/>
      <c r="H445" s="91"/>
      <c r="I445" s="91"/>
      <c r="J445" s="91"/>
      <c r="K445" s="91"/>
      <c r="L445" s="91"/>
      <c r="M445" s="91"/>
      <c r="N445" s="91"/>
      <c r="O445" s="91"/>
      <c r="P445" s="91"/>
      <c r="Q445" s="91"/>
      <c r="R445" s="91"/>
      <c r="S445" s="91"/>
    </row>
    <row r="446" spans="1:19" ht="15.75" customHeight="1" x14ac:dyDescent="0.25">
      <c r="A446" s="92"/>
      <c r="B446" s="93"/>
      <c r="C446" s="92"/>
      <c r="D446" s="92"/>
      <c r="E446" s="92"/>
      <c r="F446" s="92"/>
      <c r="G446" s="92"/>
      <c r="H446" s="91"/>
      <c r="I446" s="91"/>
      <c r="J446" s="91"/>
      <c r="K446" s="91"/>
      <c r="L446" s="91"/>
      <c r="M446" s="91"/>
      <c r="N446" s="91"/>
      <c r="O446" s="91"/>
      <c r="P446" s="91"/>
      <c r="Q446" s="91"/>
      <c r="R446" s="91"/>
      <c r="S446" s="91"/>
    </row>
    <row r="447" spans="1:19" ht="15.75" customHeight="1" x14ac:dyDescent="0.25">
      <c r="A447" s="92"/>
      <c r="B447" s="93"/>
      <c r="C447" s="92"/>
      <c r="D447" s="92"/>
      <c r="E447" s="92"/>
      <c r="F447" s="92"/>
      <c r="G447" s="92"/>
      <c r="H447" s="91"/>
      <c r="I447" s="91"/>
      <c r="J447" s="91"/>
      <c r="K447" s="91"/>
      <c r="L447" s="91"/>
      <c r="M447" s="91"/>
      <c r="N447" s="91"/>
      <c r="O447" s="91"/>
      <c r="P447" s="91"/>
      <c r="Q447" s="91"/>
      <c r="R447" s="91"/>
      <c r="S447" s="91"/>
    </row>
    <row r="448" spans="1:19" ht="15.75" customHeight="1" x14ac:dyDescent="0.25">
      <c r="A448" s="92"/>
      <c r="B448" s="93"/>
      <c r="C448" s="92"/>
      <c r="D448" s="92"/>
      <c r="E448" s="92"/>
      <c r="F448" s="92"/>
      <c r="G448" s="92"/>
      <c r="H448" s="91"/>
      <c r="I448" s="91"/>
      <c r="J448" s="91"/>
      <c r="K448" s="91"/>
      <c r="L448" s="91"/>
      <c r="M448" s="91"/>
      <c r="N448" s="91"/>
      <c r="O448" s="91"/>
      <c r="P448" s="91"/>
      <c r="Q448" s="91"/>
      <c r="R448" s="91"/>
      <c r="S448" s="91"/>
    </row>
    <row r="449" spans="1:19" ht="15.75" customHeight="1" x14ac:dyDescent="0.25">
      <c r="A449" s="92"/>
      <c r="B449" s="93"/>
      <c r="C449" s="92"/>
      <c r="D449" s="92"/>
      <c r="E449" s="92"/>
      <c r="F449" s="92"/>
      <c r="G449" s="92"/>
      <c r="H449" s="91"/>
      <c r="I449" s="91"/>
      <c r="J449" s="91"/>
      <c r="K449" s="91"/>
      <c r="L449" s="91"/>
      <c r="M449" s="91"/>
      <c r="N449" s="91"/>
      <c r="O449" s="91"/>
      <c r="P449" s="91"/>
      <c r="Q449" s="91"/>
      <c r="R449" s="91"/>
      <c r="S449" s="91"/>
    </row>
    <row r="450" spans="1:19" ht="15.75" customHeight="1" x14ac:dyDescent="0.25">
      <c r="A450" s="92"/>
      <c r="B450" s="93"/>
      <c r="C450" s="92"/>
      <c r="D450" s="92"/>
      <c r="E450" s="92"/>
      <c r="F450" s="92"/>
      <c r="G450" s="92"/>
      <c r="H450" s="91"/>
      <c r="I450" s="91"/>
      <c r="J450" s="91"/>
      <c r="K450" s="91"/>
      <c r="L450" s="91"/>
      <c r="M450" s="91"/>
      <c r="N450" s="91"/>
      <c r="O450" s="91"/>
      <c r="P450" s="91"/>
      <c r="Q450" s="91"/>
      <c r="R450" s="91"/>
      <c r="S450" s="91"/>
    </row>
    <row r="451" spans="1:19" ht="15.75" customHeight="1" x14ac:dyDescent="0.25">
      <c r="A451" s="92"/>
      <c r="B451" s="93"/>
      <c r="C451" s="92"/>
      <c r="D451" s="92"/>
      <c r="E451" s="92"/>
      <c r="F451" s="92"/>
      <c r="G451" s="92"/>
      <c r="H451" s="91"/>
      <c r="I451" s="91"/>
      <c r="J451" s="91"/>
      <c r="K451" s="91"/>
      <c r="L451" s="91"/>
      <c r="M451" s="91"/>
      <c r="N451" s="91"/>
      <c r="O451" s="91"/>
      <c r="P451" s="91"/>
      <c r="Q451" s="91"/>
      <c r="R451" s="91"/>
      <c r="S451" s="91"/>
    </row>
    <row r="452" spans="1:19" ht="15.75" customHeight="1" x14ac:dyDescent="0.25">
      <c r="A452" s="92"/>
      <c r="B452" s="93"/>
      <c r="C452" s="92"/>
      <c r="D452" s="92"/>
      <c r="E452" s="92"/>
      <c r="F452" s="92"/>
      <c r="G452" s="92"/>
      <c r="H452" s="91"/>
      <c r="I452" s="91"/>
      <c r="J452" s="91"/>
      <c r="K452" s="91"/>
      <c r="L452" s="91"/>
      <c r="M452" s="91"/>
      <c r="N452" s="91"/>
      <c r="O452" s="91"/>
      <c r="P452" s="91"/>
      <c r="Q452" s="91"/>
      <c r="R452" s="91"/>
      <c r="S452" s="91"/>
    </row>
    <row r="453" spans="1:19" ht="15.75" customHeight="1" x14ac:dyDescent="0.25">
      <c r="A453" s="92"/>
      <c r="B453" s="93"/>
      <c r="C453" s="92"/>
      <c r="D453" s="92"/>
      <c r="E453" s="92"/>
      <c r="F453" s="92"/>
      <c r="G453" s="92"/>
      <c r="H453" s="91"/>
      <c r="I453" s="91"/>
      <c r="J453" s="91"/>
      <c r="K453" s="91"/>
      <c r="L453" s="91"/>
      <c r="M453" s="91"/>
      <c r="N453" s="91"/>
      <c r="O453" s="91"/>
      <c r="P453" s="91"/>
      <c r="Q453" s="91"/>
      <c r="R453" s="91"/>
      <c r="S453" s="91"/>
    </row>
    <row r="454" spans="1:19" ht="15.75" customHeight="1" x14ac:dyDescent="0.25">
      <c r="A454" s="92"/>
      <c r="B454" s="93"/>
      <c r="C454" s="92"/>
      <c r="D454" s="92"/>
      <c r="E454" s="92"/>
      <c r="F454" s="92"/>
      <c r="G454" s="92"/>
      <c r="H454" s="91"/>
      <c r="I454" s="91"/>
      <c r="J454" s="91"/>
      <c r="K454" s="91"/>
      <c r="L454" s="91"/>
      <c r="M454" s="91"/>
      <c r="N454" s="91"/>
      <c r="O454" s="91"/>
      <c r="P454" s="91"/>
      <c r="Q454" s="91"/>
      <c r="R454" s="91"/>
      <c r="S454" s="91"/>
    </row>
    <row r="455" spans="1:19" ht="15.75" customHeight="1" x14ac:dyDescent="0.25">
      <c r="A455" s="92"/>
      <c r="B455" s="93"/>
      <c r="C455" s="92"/>
      <c r="D455" s="92"/>
      <c r="E455" s="92"/>
      <c r="F455" s="92"/>
      <c r="G455" s="92"/>
      <c r="H455" s="91"/>
      <c r="I455" s="91"/>
      <c r="J455" s="91"/>
      <c r="K455" s="91"/>
      <c r="L455" s="91"/>
      <c r="M455" s="91"/>
      <c r="N455" s="91"/>
      <c r="O455" s="91"/>
      <c r="P455" s="91"/>
      <c r="Q455" s="91"/>
      <c r="R455" s="91"/>
      <c r="S455" s="91"/>
    </row>
    <row r="456" spans="1:19" ht="15.75" customHeight="1" x14ac:dyDescent="0.25">
      <c r="A456" s="92"/>
      <c r="B456" s="93"/>
      <c r="C456" s="92"/>
      <c r="D456" s="92"/>
      <c r="E456" s="92"/>
      <c r="F456" s="92"/>
      <c r="G456" s="92"/>
      <c r="H456" s="91"/>
      <c r="I456" s="91"/>
      <c r="J456" s="91"/>
      <c r="K456" s="91"/>
      <c r="L456" s="91"/>
      <c r="M456" s="91"/>
      <c r="N456" s="91"/>
      <c r="O456" s="91"/>
      <c r="P456" s="91"/>
      <c r="Q456" s="91"/>
      <c r="R456" s="91"/>
      <c r="S456" s="91"/>
    </row>
    <row r="457" spans="1:19" ht="15.75" customHeight="1" x14ac:dyDescent="0.25">
      <c r="A457" s="92"/>
      <c r="B457" s="93"/>
      <c r="C457" s="92"/>
      <c r="D457" s="92"/>
      <c r="E457" s="92"/>
      <c r="F457" s="92"/>
      <c r="G457" s="92"/>
      <c r="H457" s="91"/>
      <c r="I457" s="91"/>
      <c r="J457" s="91"/>
      <c r="K457" s="91"/>
      <c r="L457" s="91"/>
      <c r="M457" s="91"/>
      <c r="N457" s="91"/>
      <c r="O457" s="91"/>
      <c r="P457" s="91"/>
      <c r="Q457" s="91"/>
      <c r="R457" s="91"/>
      <c r="S457" s="91"/>
    </row>
    <row r="458" spans="1:19" ht="15.75" customHeight="1" x14ac:dyDescent="0.25">
      <c r="A458" s="92"/>
      <c r="B458" s="93"/>
      <c r="C458" s="92"/>
      <c r="D458" s="92"/>
      <c r="E458" s="92"/>
      <c r="F458" s="92"/>
      <c r="G458" s="92"/>
      <c r="H458" s="91"/>
      <c r="I458" s="91"/>
      <c r="J458" s="91"/>
      <c r="K458" s="91"/>
      <c r="L458" s="91"/>
      <c r="M458" s="91"/>
      <c r="N458" s="91"/>
      <c r="O458" s="91"/>
      <c r="P458" s="91"/>
      <c r="Q458" s="91"/>
      <c r="R458" s="91"/>
      <c r="S458" s="91"/>
    </row>
    <row r="459" spans="1:19" ht="15.75" customHeight="1" x14ac:dyDescent="0.25">
      <c r="A459" s="92"/>
      <c r="B459" s="93"/>
      <c r="C459" s="92"/>
      <c r="D459" s="92"/>
      <c r="E459" s="92"/>
      <c r="F459" s="92"/>
      <c r="G459" s="92"/>
      <c r="H459" s="91"/>
      <c r="I459" s="91"/>
      <c r="J459" s="91"/>
      <c r="K459" s="91"/>
      <c r="L459" s="91"/>
      <c r="M459" s="91"/>
      <c r="N459" s="91"/>
      <c r="O459" s="91"/>
      <c r="P459" s="91"/>
      <c r="Q459" s="91"/>
      <c r="R459" s="91"/>
      <c r="S459" s="91"/>
    </row>
    <row r="460" spans="1:19" ht="15.75" customHeight="1" x14ac:dyDescent="0.25">
      <c r="A460" s="92"/>
      <c r="B460" s="93"/>
      <c r="C460" s="92"/>
      <c r="D460" s="92"/>
      <c r="E460" s="92"/>
      <c r="F460" s="92"/>
      <c r="G460" s="92"/>
      <c r="H460" s="91"/>
      <c r="I460" s="91"/>
      <c r="J460" s="91"/>
      <c r="K460" s="91"/>
      <c r="L460" s="91"/>
      <c r="M460" s="91"/>
      <c r="N460" s="91"/>
      <c r="O460" s="91"/>
      <c r="P460" s="91"/>
      <c r="Q460" s="91"/>
      <c r="R460" s="91"/>
      <c r="S460" s="91"/>
    </row>
    <row r="461" spans="1:19" ht="15.75" customHeight="1" x14ac:dyDescent="0.25">
      <c r="A461" s="92"/>
      <c r="B461" s="93"/>
      <c r="C461" s="92"/>
      <c r="D461" s="92"/>
      <c r="E461" s="92"/>
      <c r="F461" s="92"/>
      <c r="G461" s="92"/>
      <c r="H461" s="91"/>
      <c r="I461" s="91"/>
      <c r="J461" s="91"/>
      <c r="K461" s="91"/>
      <c r="L461" s="91"/>
      <c r="M461" s="91"/>
      <c r="N461" s="91"/>
      <c r="O461" s="91"/>
      <c r="P461" s="91"/>
      <c r="Q461" s="91"/>
      <c r="R461" s="91"/>
      <c r="S461" s="91"/>
    </row>
    <row r="462" spans="1:19" ht="15.75" customHeight="1" x14ac:dyDescent="0.25">
      <c r="A462" s="92"/>
      <c r="B462" s="93"/>
      <c r="C462" s="92"/>
      <c r="D462" s="92"/>
      <c r="E462" s="92"/>
      <c r="F462" s="92"/>
      <c r="G462" s="92"/>
      <c r="H462" s="91"/>
      <c r="I462" s="91"/>
      <c r="J462" s="91"/>
      <c r="K462" s="91"/>
      <c r="L462" s="91"/>
      <c r="M462" s="91"/>
      <c r="N462" s="91"/>
      <c r="O462" s="91"/>
      <c r="P462" s="91"/>
      <c r="Q462" s="91"/>
      <c r="R462" s="91"/>
      <c r="S462" s="91"/>
    </row>
    <row r="463" spans="1:19" ht="15.75" customHeight="1" x14ac:dyDescent="0.25">
      <c r="A463" s="92"/>
      <c r="B463" s="93"/>
      <c r="C463" s="92"/>
      <c r="D463" s="92"/>
      <c r="E463" s="92"/>
      <c r="F463" s="92"/>
      <c r="G463" s="92"/>
      <c r="H463" s="91"/>
      <c r="I463" s="91"/>
      <c r="J463" s="91"/>
      <c r="K463" s="91"/>
      <c r="L463" s="91"/>
      <c r="M463" s="91"/>
      <c r="N463" s="91"/>
      <c r="O463" s="91"/>
      <c r="P463" s="91"/>
      <c r="Q463" s="91"/>
      <c r="R463" s="91"/>
      <c r="S463" s="91"/>
    </row>
    <row r="464" spans="1:19" ht="15.75" customHeight="1" x14ac:dyDescent="0.25">
      <c r="A464" s="92"/>
      <c r="B464" s="93"/>
      <c r="C464" s="92"/>
      <c r="D464" s="92"/>
      <c r="E464" s="92"/>
      <c r="F464" s="92"/>
      <c r="G464" s="92"/>
      <c r="H464" s="91"/>
      <c r="I464" s="91"/>
      <c r="J464" s="91"/>
      <c r="K464" s="91"/>
      <c r="L464" s="91"/>
      <c r="M464" s="91"/>
      <c r="N464" s="91"/>
      <c r="O464" s="91"/>
      <c r="P464" s="91"/>
      <c r="Q464" s="91"/>
      <c r="R464" s="91"/>
      <c r="S464" s="91"/>
    </row>
    <row r="465" spans="1:19" ht="15.75" customHeight="1" x14ac:dyDescent="0.25">
      <c r="A465" s="92"/>
      <c r="B465" s="93"/>
      <c r="C465" s="92"/>
      <c r="D465" s="92"/>
      <c r="E465" s="92"/>
      <c r="F465" s="92"/>
      <c r="G465" s="92"/>
      <c r="H465" s="91"/>
      <c r="I465" s="91"/>
      <c r="J465" s="91"/>
      <c r="K465" s="91"/>
      <c r="L465" s="91"/>
      <c r="M465" s="91"/>
      <c r="N465" s="91"/>
      <c r="O465" s="91"/>
      <c r="P465" s="91"/>
      <c r="Q465" s="91"/>
      <c r="R465" s="91"/>
      <c r="S465" s="91"/>
    </row>
    <row r="466" spans="1:19" ht="15.75" customHeight="1" x14ac:dyDescent="0.25">
      <c r="A466" s="92"/>
      <c r="B466" s="93"/>
      <c r="C466" s="92"/>
      <c r="D466" s="92"/>
      <c r="E466" s="92"/>
      <c r="F466" s="92"/>
      <c r="G466" s="92"/>
      <c r="H466" s="91"/>
      <c r="I466" s="91"/>
      <c r="J466" s="91"/>
      <c r="K466" s="91"/>
      <c r="L466" s="91"/>
      <c r="M466" s="91"/>
      <c r="N466" s="91"/>
      <c r="O466" s="91"/>
      <c r="P466" s="91"/>
      <c r="Q466" s="91"/>
      <c r="R466" s="91"/>
      <c r="S466" s="91"/>
    </row>
    <row r="467" spans="1:19" ht="15.75" customHeight="1" x14ac:dyDescent="0.25">
      <c r="A467" s="92"/>
      <c r="B467" s="93"/>
      <c r="C467" s="92"/>
      <c r="D467" s="92"/>
      <c r="E467" s="92"/>
      <c r="F467" s="92"/>
      <c r="G467" s="92"/>
      <c r="H467" s="91"/>
      <c r="I467" s="91"/>
      <c r="J467" s="91"/>
      <c r="K467" s="91"/>
      <c r="L467" s="91"/>
      <c r="M467" s="91"/>
      <c r="N467" s="91"/>
      <c r="O467" s="91"/>
      <c r="P467" s="91"/>
      <c r="Q467" s="91"/>
      <c r="R467" s="91"/>
      <c r="S467" s="91"/>
    </row>
    <row r="468" spans="1:19" ht="15.75" customHeight="1" x14ac:dyDescent="0.25">
      <c r="A468" s="92"/>
      <c r="B468" s="93"/>
      <c r="C468" s="92"/>
      <c r="D468" s="92"/>
      <c r="E468" s="92"/>
      <c r="F468" s="92"/>
      <c r="G468" s="92"/>
      <c r="H468" s="91"/>
      <c r="I468" s="91"/>
      <c r="J468" s="91"/>
      <c r="K468" s="91"/>
      <c r="L468" s="91"/>
      <c r="M468" s="91"/>
      <c r="N468" s="91"/>
      <c r="O468" s="91"/>
      <c r="P468" s="91"/>
      <c r="Q468" s="91"/>
      <c r="R468" s="91"/>
      <c r="S468" s="91"/>
    </row>
    <row r="469" spans="1:19" ht="15.75" customHeight="1" x14ac:dyDescent="0.25">
      <c r="A469" s="92"/>
      <c r="B469" s="93"/>
      <c r="C469" s="92"/>
      <c r="D469" s="92"/>
      <c r="E469" s="92"/>
      <c r="F469" s="92"/>
      <c r="G469" s="92"/>
      <c r="H469" s="91"/>
      <c r="I469" s="91"/>
      <c r="J469" s="91"/>
      <c r="K469" s="91"/>
      <c r="L469" s="91"/>
      <c r="M469" s="91"/>
      <c r="N469" s="91"/>
      <c r="O469" s="91"/>
      <c r="P469" s="91"/>
      <c r="Q469" s="91"/>
      <c r="R469" s="91"/>
      <c r="S469" s="91"/>
    </row>
    <row r="470" spans="1:19" ht="15.75" customHeight="1" x14ac:dyDescent="0.25">
      <c r="A470" s="92"/>
      <c r="B470" s="93"/>
      <c r="C470" s="92"/>
      <c r="D470" s="92"/>
      <c r="E470" s="92"/>
      <c r="F470" s="92"/>
      <c r="G470" s="92"/>
      <c r="H470" s="91"/>
      <c r="I470" s="91"/>
      <c r="J470" s="91"/>
      <c r="K470" s="91"/>
      <c r="L470" s="91"/>
      <c r="M470" s="91"/>
      <c r="N470" s="91"/>
      <c r="O470" s="91"/>
      <c r="P470" s="91"/>
      <c r="Q470" s="91"/>
      <c r="R470" s="91"/>
      <c r="S470" s="91"/>
    </row>
    <row r="471" spans="1:19" ht="15.75" customHeight="1" x14ac:dyDescent="0.25">
      <c r="A471" s="92"/>
      <c r="B471" s="93"/>
      <c r="C471" s="92"/>
      <c r="D471" s="92"/>
      <c r="E471" s="92"/>
      <c r="F471" s="92"/>
      <c r="G471" s="92"/>
      <c r="H471" s="91"/>
      <c r="I471" s="91"/>
      <c r="J471" s="91"/>
      <c r="K471" s="91"/>
      <c r="L471" s="91"/>
      <c r="M471" s="91"/>
      <c r="N471" s="91"/>
      <c r="O471" s="91"/>
      <c r="P471" s="91"/>
      <c r="Q471" s="91"/>
      <c r="R471" s="91"/>
      <c r="S471" s="91"/>
    </row>
    <row r="472" spans="1:19" ht="15.75" customHeight="1" x14ac:dyDescent="0.25">
      <c r="A472" s="92"/>
      <c r="B472" s="93"/>
      <c r="C472" s="92"/>
      <c r="D472" s="92"/>
      <c r="E472" s="92"/>
      <c r="F472" s="92"/>
      <c r="G472" s="92"/>
      <c r="H472" s="91"/>
      <c r="I472" s="91"/>
      <c r="J472" s="91"/>
      <c r="K472" s="91"/>
      <c r="L472" s="91"/>
      <c r="M472" s="91"/>
      <c r="N472" s="91"/>
      <c r="O472" s="91"/>
      <c r="P472" s="91"/>
      <c r="Q472" s="91"/>
      <c r="R472" s="91"/>
      <c r="S472" s="91"/>
    </row>
    <row r="473" spans="1:19" ht="15.75" customHeight="1" x14ac:dyDescent="0.25">
      <c r="A473" s="92"/>
      <c r="B473" s="93"/>
      <c r="C473" s="92"/>
      <c r="D473" s="92"/>
      <c r="E473" s="92"/>
      <c r="F473" s="92"/>
      <c r="G473" s="92"/>
      <c r="H473" s="91"/>
      <c r="I473" s="91"/>
      <c r="J473" s="91"/>
      <c r="K473" s="91"/>
      <c r="L473" s="91"/>
      <c r="M473" s="91"/>
      <c r="N473" s="91"/>
      <c r="O473" s="91"/>
      <c r="P473" s="91"/>
      <c r="Q473" s="91"/>
      <c r="R473" s="91"/>
      <c r="S473" s="91"/>
    </row>
    <row r="474" spans="1:19" ht="15.75" customHeight="1" x14ac:dyDescent="0.25">
      <c r="A474" s="92"/>
      <c r="B474" s="93"/>
      <c r="C474" s="92"/>
      <c r="D474" s="92"/>
      <c r="E474" s="92"/>
      <c r="F474" s="92"/>
      <c r="G474" s="92"/>
      <c r="H474" s="91"/>
      <c r="I474" s="91"/>
      <c r="J474" s="91"/>
      <c r="K474" s="91"/>
      <c r="L474" s="91"/>
      <c r="M474" s="91"/>
      <c r="N474" s="91"/>
      <c r="O474" s="91"/>
      <c r="P474" s="91"/>
      <c r="Q474" s="91"/>
      <c r="R474" s="91"/>
      <c r="S474" s="91"/>
    </row>
    <row r="475" spans="1:19" ht="15.75" customHeight="1" x14ac:dyDescent="0.25">
      <c r="A475" s="92"/>
      <c r="B475" s="93"/>
      <c r="C475" s="92"/>
      <c r="D475" s="92"/>
      <c r="E475" s="92"/>
      <c r="F475" s="92"/>
      <c r="G475" s="92"/>
      <c r="H475" s="91"/>
      <c r="I475" s="91"/>
      <c r="J475" s="91"/>
      <c r="K475" s="91"/>
      <c r="L475" s="91"/>
      <c r="M475" s="91"/>
      <c r="N475" s="91"/>
      <c r="O475" s="91"/>
      <c r="P475" s="91"/>
      <c r="Q475" s="91"/>
      <c r="R475" s="91"/>
      <c r="S475" s="91"/>
    </row>
    <row r="476" spans="1:19" ht="15.75" customHeight="1" x14ac:dyDescent="0.25">
      <c r="A476" s="92"/>
      <c r="B476" s="93"/>
      <c r="C476" s="92"/>
      <c r="D476" s="92"/>
      <c r="E476" s="92"/>
      <c r="F476" s="92"/>
      <c r="G476" s="92"/>
      <c r="H476" s="91"/>
      <c r="I476" s="91"/>
      <c r="J476" s="91"/>
      <c r="K476" s="91"/>
      <c r="L476" s="91"/>
      <c r="M476" s="91"/>
      <c r="N476" s="91"/>
      <c r="O476" s="91"/>
      <c r="P476" s="91"/>
      <c r="Q476" s="91"/>
      <c r="R476" s="91"/>
      <c r="S476" s="91"/>
    </row>
    <row r="477" spans="1:19" ht="15.75" customHeight="1" x14ac:dyDescent="0.25">
      <c r="A477" s="92"/>
      <c r="B477" s="93"/>
      <c r="C477" s="92"/>
      <c r="D477" s="92"/>
      <c r="E477" s="92"/>
      <c r="F477" s="92"/>
      <c r="G477" s="92"/>
      <c r="H477" s="91"/>
      <c r="I477" s="91"/>
      <c r="J477" s="91"/>
      <c r="K477" s="91"/>
      <c r="L477" s="91"/>
      <c r="M477" s="91"/>
      <c r="N477" s="91"/>
      <c r="O477" s="91"/>
      <c r="P477" s="91"/>
      <c r="Q477" s="91"/>
      <c r="R477" s="91"/>
      <c r="S477" s="91"/>
    </row>
    <row r="478" spans="1:19" ht="15.75" customHeight="1" x14ac:dyDescent="0.25">
      <c r="A478" s="92"/>
      <c r="B478" s="93"/>
      <c r="C478" s="92"/>
      <c r="D478" s="92"/>
      <c r="E478" s="92"/>
      <c r="F478" s="92"/>
      <c r="G478" s="92"/>
      <c r="H478" s="91"/>
      <c r="I478" s="91"/>
      <c r="J478" s="91"/>
      <c r="K478" s="91"/>
      <c r="L478" s="91"/>
      <c r="M478" s="91"/>
      <c r="N478" s="91"/>
      <c r="O478" s="91"/>
      <c r="P478" s="91"/>
      <c r="Q478" s="91"/>
      <c r="R478" s="91"/>
      <c r="S478" s="91"/>
    </row>
    <row r="479" spans="1:19" ht="15.75" customHeight="1" x14ac:dyDescent="0.25">
      <c r="A479" s="92"/>
      <c r="B479" s="93"/>
      <c r="C479" s="92"/>
      <c r="D479" s="92"/>
      <c r="E479" s="92"/>
      <c r="F479" s="92"/>
      <c r="G479" s="92"/>
      <c r="H479" s="91"/>
      <c r="I479" s="91"/>
      <c r="J479" s="91"/>
      <c r="K479" s="91"/>
      <c r="L479" s="91"/>
      <c r="M479" s="91"/>
      <c r="N479" s="91"/>
      <c r="O479" s="91"/>
      <c r="P479" s="91"/>
      <c r="Q479" s="91"/>
      <c r="R479" s="91"/>
      <c r="S479" s="91"/>
    </row>
    <row r="480" spans="1:19" ht="15.75" customHeight="1" x14ac:dyDescent="0.25">
      <c r="A480" s="92"/>
      <c r="B480" s="93"/>
      <c r="C480" s="92"/>
      <c r="D480" s="92"/>
      <c r="E480" s="92"/>
      <c r="F480" s="92"/>
      <c r="G480" s="92"/>
      <c r="H480" s="91"/>
      <c r="I480" s="91"/>
      <c r="J480" s="91"/>
      <c r="K480" s="91"/>
      <c r="L480" s="91"/>
      <c r="M480" s="91"/>
      <c r="N480" s="91"/>
      <c r="O480" s="91"/>
      <c r="P480" s="91"/>
      <c r="Q480" s="91"/>
      <c r="R480" s="91"/>
      <c r="S480" s="91"/>
    </row>
    <row r="481" spans="1:19" ht="15.75" customHeight="1" x14ac:dyDescent="0.25">
      <c r="A481" s="92"/>
      <c r="B481" s="93"/>
      <c r="C481" s="92"/>
      <c r="D481" s="92"/>
      <c r="E481" s="92"/>
      <c r="F481" s="92"/>
      <c r="G481" s="92"/>
      <c r="H481" s="91"/>
      <c r="I481" s="91"/>
      <c r="J481" s="91"/>
      <c r="K481" s="91"/>
      <c r="L481" s="91"/>
      <c r="M481" s="91"/>
      <c r="N481" s="91"/>
      <c r="O481" s="91"/>
      <c r="P481" s="91"/>
      <c r="Q481" s="91"/>
      <c r="R481" s="91"/>
      <c r="S481" s="91"/>
    </row>
    <row r="482" spans="1:19" ht="15.75" customHeight="1" x14ac:dyDescent="0.25">
      <c r="A482" s="92"/>
      <c r="B482" s="93"/>
      <c r="C482" s="92"/>
      <c r="D482" s="92"/>
      <c r="E482" s="92"/>
      <c r="F482" s="92"/>
      <c r="G482" s="92"/>
      <c r="H482" s="91"/>
      <c r="I482" s="91"/>
      <c r="J482" s="91"/>
      <c r="K482" s="91"/>
      <c r="L482" s="91"/>
      <c r="M482" s="91"/>
      <c r="N482" s="91"/>
      <c r="O482" s="91"/>
      <c r="P482" s="91"/>
      <c r="Q482" s="91"/>
      <c r="R482" s="91"/>
      <c r="S482" s="91"/>
    </row>
    <row r="483" spans="1:19" ht="15.75" customHeight="1" x14ac:dyDescent="0.25">
      <c r="A483" s="92"/>
      <c r="B483" s="93"/>
      <c r="C483" s="92"/>
      <c r="D483" s="92"/>
      <c r="E483" s="92"/>
      <c r="F483" s="92"/>
      <c r="G483" s="92"/>
      <c r="H483" s="91"/>
      <c r="I483" s="91"/>
      <c r="J483" s="91"/>
      <c r="K483" s="91"/>
      <c r="L483" s="91"/>
      <c r="M483" s="91"/>
      <c r="N483" s="91"/>
      <c r="O483" s="91"/>
      <c r="P483" s="91"/>
      <c r="Q483" s="91"/>
      <c r="R483" s="91"/>
      <c r="S483" s="91"/>
    </row>
    <row r="484" spans="1:19" ht="15.75" customHeight="1" x14ac:dyDescent="0.25">
      <c r="A484" s="92"/>
      <c r="B484" s="93"/>
      <c r="C484" s="92"/>
      <c r="D484" s="92"/>
      <c r="E484" s="92"/>
      <c r="F484" s="92"/>
      <c r="G484" s="92"/>
      <c r="H484" s="91"/>
      <c r="I484" s="91"/>
      <c r="J484" s="91"/>
      <c r="K484" s="91"/>
      <c r="L484" s="91"/>
      <c r="M484" s="91"/>
      <c r="N484" s="91"/>
      <c r="O484" s="91"/>
      <c r="P484" s="91"/>
      <c r="Q484" s="91"/>
      <c r="R484" s="91"/>
      <c r="S484" s="91"/>
    </row>
    <row r="485" spans="1:19" ht="15.75" customHeight="1" x14ac:dyDescent="0.25">
      <c r="A485" s="92"/>
      <c r="B485" s="93"/>
      <c r="C485" s="92"/>
      <c r="D485" s="92"/>
      <c r="E485" s="92"/>
      <c r="F485" s="92"/>
      <c r="G485" s="92"/>
      <c r="H485" s="91"/>
      <c r="I485" s="91"/>
      <c r="J485" s="91"/>
      <c r="K485" s="91"/>
      <c r="L485" s="91"/>
      <c r="M485" s="91"/>
      <c r="N485" s="91"/>
      <c r="O485" s="91"/>
      <c r="P485" s="91"/>
      <c r="Q485" s="91"/>
      <c r="R485" s="91"/>
      <c r="S485" s="91"/>
    </row>
    <row r="486" spans="1:19" ht="15.75" customHeight="1" x14ac:dyDescent="0.25">
      <c r="A486" s="92"/>
      <c r="B486" s="93"/>
      <c r="C486" s="92"/>
      <c r="D486" s="92"/>
      <c r="E486" s="92"/>
      <c r="F486" s="92"/>
      <c r="G486" s="92"/>
      <c r="H486" s="91"/>
      <c r="I486" s="91"/>
      <c r="J486" s="91"/>
      <c r="K486" s="91"/>
      <c r="L486" s="91"/>
      <c r="M486" s="91"/>
      <c r="N486" s="91"/>
      <c r="O486" s="91"/>
      <c r="P486" s="91"/>
      <c r="Q486" s="91"/>
      <c r="R486" s="91"/>
      <c r="S486" s="91"/>
    </row>
    <row r="487" spans="1:19" ht="15.75" customHeight="1" x14ac:dyDescent="0.25">
      <c r="A487" s="92"/>
      <c r="B487" s="93"/>
      <c r="C487" s="92"/>
      <c r="D487" s="92"/>
      <c r="E487" s="92"/>
      <c r="F487" s="92"/>
      <c r="G487" s="92"/>
      <c r="H487" s="91"/>
      <c r="I487" s="91"/>
      <c r="J487" s="91"/>
      <c r="K487" s="91"/>
      <c r="L487" s="91"/>
      <c r="M487" s="91"/>
      <c r="N487" s="91"/>
      <c r="O487" s="91"/>
      <c r="P487" s="91"/>
      <c r="Q487" s="91"/>
      <c r="R487" s="91"/>
      <c r="S487" s="91"/>
    </row>
    <row r="488" spans="1:19" ht="15.75" customHeight="1" x14ac:dyDescent="0.25">
      <c r="A488" s="92"/>
      <c r="B488" s="93"/>
      <c r="C488" s="92"/>
      <c r="D488" s="92"/>
      <c r="E488" s="92"/>
      <c r="F488" s="92"/>
      <c r="G488" s="92"/>
      <c r="H488" s="91"/>
      <c r="I488" s="91"/>
      <c r="J488" s="91"/>
      <c r="K488" s="91"/>
      <c r="L488" s="91"/>
      <c r="M488" s="91"/>
      <c r="N488" s="91"/>
      <c r="O488" s="91"/>
      <c r="P488" s="91"/>
      <c r="Q488" s="91"/>
      <c r="R488" s="91"/>
      <c r="S488" s="91"/>
    </row>
    <row r="489" spans="1:19" ht="15.75" customHeight="1" x14ac:dyDescent="0.25">
      <c r="A489" s="92"/>
      <c r="B489" s="93"/>
      <c r="C489" s="92"/>
      <c r="D489" s="92"/>
      <c r="E489" s="92"/>
      <c r="F489" s="92"/>
      <c r="G489" s="92"/>
      <c r="H489" s="91"/>
      <c r="I489" s="91"/>
      <c r="J489" s="91"/>
      <c r="K489" s="91"/>
      <c r="L489" s="91"/>
      <c r="M489" s="91"/>
      <c r="N489" s="91"/>
      <c r="O489" s="91"/>
      <c r="P489" s="91"/>
      <c r="Q489" s="91"/>
      <c r="R489" s="91"/>
      <c r="S489" s="91"/>
    </row>
    <row r="490" spans="1:19" ht="15.75" customHeight="1" x14ac:dyDescent="0.25">
      <c r="A490" s="92"/>
      <c r="B490" s="93"/>
      <c r="C490" s="92"/>
      <c r="D490" s="92"/>
      <c r="E490" s="92"/>
      <c r="F490" s="92"/>
      <c r="G490" s="92"/>
      <c r="H490" s="91"/>
      <c r="I490" s="91"/>
      <c r="J490" s="91"/>
      <c r="K490" s="91"/>
      <c r="L490" s="91"/>
      <c r="M490" s="91"/>
      <c r="N490" s="91"/>
      <c r="O490" s="91"/>
      <c r="P490" s="91"/>
      <c r="Q490" s="91"/>
      <c r="R490" s="91"/>
      <c r="S490" s="91"/>
    </row>
    <row r="491" spans="1:19" ht="15.75" customHeight="1" x14ac:dyDescent="0.25">
      <c r="A491" s="92"/>
      <c r="B491" s="93"/>
      <c r="C491" s="92"/>
      <c r="D491" s="92"/>
      <c r="E491" s="92"/>
      <c r="F491" s="92"/>
      <c r="G491" s="92"/>
      <c r="H491" s="91"/>
      <c r="I491" s="91"/>
      <c r="J491" s="91"/>
      <c r="K491" s="91"/>
      <c r="L491" s="91"/>
      <c r="M491" s="91"/>
      <c r="N491" s="91"/>
      <c r="O491" s="91"/>
      <c r="P491" s="91"/>
      <c r="Q491" s="91"/>
      <c r="R491" s="91"/>
      <c r="S491" s="91"/>
    </row>
    <row r="492" spans="1:19" ht="15.75" customHeight="1" x14ac:dyDescent="0.25">
      <c r="A492" s="92"/>
      <c r="B492" s="93"/>
      <c r="C492" s="92"/>
      <c r="D492" s="92"/>
      <c r="E492" s="92"/>
      <c r="F492" s="92"/>
      <c r="G492" s="92"/>
      <c r="H492" s="91"/>
      <c r="I492" s="91"/>
      <c r="J492" s="91"/>
      <c r="K492" s="91"/>
      <c r="L492" s="91"/>
      <c r="M492" s="91"/>
      <c r="N492" s="91"/>
      <c r="O492" s="91"/>
      <c r="P492" s="91"/>
      <c r="Q492" s="91"/>
      <c r="R492" s="91"/>
      <c r="S492" s="91"/>
    </row>
    <row r="493" spans="1:19" ht="15.75" customHeight="1" x14ac:dyDescent="0.25">
      <c r="A493" s="92"/>
      <c r="B493" s="93"/>
      <c r="C493" s="92"/>
      <c r="D493" s="92"/>
      <c r="E493" s="92"/>
      <c r="F493" s="92"/>
      <c r="G493" s="92"/>
      <c r="H493" s="91"/>
      <c r="I493" s="91"/>
      <c r="J493" s="91"/>
      <c r="K493" s="91"/>
      <c r="L493" s="91"/>
      <c r="M493" s="91"/>
      <c r="N493" s="91"/>
      <c r="O493" s="91"/>
      <c r="P493" s="91"/>
      <c r="Q493" s="91"/>
      <c r="R493" s="91"/>
      <c r="S493" s="91"/>
    </row>
    <row r="494" spans="1:19" ht="15.75" customHeight="1" x14ac:dyDescent="0.25">
      <c r="A494" s="92"/>
      <c r="B494" s="93"/>
      <c r="C494" s="92"/>
      <c r="D494" s="92"/>
      <c r="E494" s="92"/>
      <c r="F494" s="92"/>
      <c r="G494" s="92"/>
      <c r="H494" s="91"/>
      <c r="I494" s="91"/>
      <c r="J494" s="91"/>
      <c r="K494" s="91"/>
      <c r="L494" s="91"/>
      <c r="M494" s="91"/>
      <c r="N494" s="91"/>
      <c r="O494" s="91"/>
      <c r="P494" s="91"/>
      <c r="Q494" s="91"/>
      <c r="R494" s="91"/>
      <c r="S494" s="91"/>
    </row>
    <row r="495" spans="1:19" ht="15.75" customHeight="1" x14ac:dyDescent="0.25">
      <c r="A495" s="92"/>
      <c r="B495" s="93"/>
      <c r="C495" s="92"/>
      <c r="D495" s="92"/>
      <c r="E495" s="92"/>
      <c r="F495" s="92"/>
      <c r="G495" s="92"/>
      <c r="H495" s="91"/>
      <c r="I495" s="91"/>
      <c r="J495" s="91"/>
      <c r="K495" s="91"/>
      <c r="L495" s="91"/>
      <c r="M495" s="91"/>
      <c r="N495" s="91"/>
      <c r="O495" s="91"/>
      <c r="P495" s="91"/>
      <c r="Q495" s="91"/>
      <c r="R495" s="91"/>
      <c r="S495" s="91"/>
    </row>
    <row r="496" spans="1:19" ht="15.75" customHeight="1" x14ac:dyDescent="0.25">
      <c r="A496" s="92"/>
      <c r="B496" s="93"/>
      <c r="C496" s="92"/>
      <c r="D496" s="92"/>
      <c r="E496" s="92"/>
      <c r="F496" s="92"/>
      <c r="G496" s="92"/>
      <c r="H496" s="91"/>
      <c r="I496" s="91"/>
      <c r="J496" s="91"/>
      <c r="K496" s="91"/>
      <c r="L496" s="91"/>
      <c r="M496" s="91"/>
      <c r="N496" s="91"/>
      <c r="O496" s="91"/>
      <c r="P496" s="91"/>
      <c r="Q496" s="91"/>
      <c r="R496" s="91"/>
      <c r="S496" s="91"/>
    </row>
    <row r="497" spans="1:19" ht="15.75" customHeight="1" x14ac:dyDescent="0.25">
      <c r="A497" s="92"/>
      <c r="B497" s="93"/>
      <c r="C497" s="92"/>
      <c r="D497" s="92"/>
      <c r="E497" s="92"/>
      <c r="F497" s="92"/>
      <c r="G497" s="92"/>
      <c r="H497" s="91"/>
      <c r="I497" s="91"/>
      <c r="J497" s="91"/>
      <c r="K497" s="91"/>
      <c r="L497" s="91"/>
      <c r="M497" s="91"/>
      <c r="N497" s="91"/>
      <c r="O497" s="91"/>
      <c r="P497" s="91"/>
      <c r="Q497" s="91"/>
      <c r="R497" s="91"/>
      <c r="S497" s="91"/>
    </row>
    <row r="498" spans="1:19" ht="15.75" customHeight="1" x14ac:dyDescent="0.25">
      <c r="A498" s="92"/>
      <c r="B498" s="93"/>
      <c r="C498" s="92"/>
      <c r="D498" s="92"/>
      <c r="E498" s="92"/>
      <c r="F498" s="92"/>
      <c r="G498" s="92"/>
      <c r="H498" s="91"/>
      <c r="I498" s="91"/>
      <c r="J498" s="91"/>
      <c r="K498" s="91"/>
      <c r="L498" s="91"/>
      <c r="M498" s="91"/>
      <c r="N498" s="91"/>
      <c r="O498" s="91"/>
      <c r="P498" s="91"/>
      <c r="Q498" s="91"/>
      <c r="R498" s="91"/>
      <c r="S498" s="91"/>
    </row>
    <row r="499" spans="1:19" ht="15.75" customHeight="1" x14ac:dyDescent="0.25">
      <c r="A499" s="92"/>
      <c r="B499" s="93"/>
      <c r="C499" s="92"/>
      <c r="D499" s="92"/>
      <c r="E499" s="92"/>
      <c r="F499" s="92"/>
      <c r="G499" s="92"/>
      <c r="H499" s="91"/>
      <c r="I499" s="91"/>
      <c r="J499" s="91"/>
      <c r="K499" s="91"/>
      <c r="L499" s="91"/>
      <c r="M499" s="91"/>
      <c r="N499" s="91"/>
      <c r="O499" s="91"/>
      <c r="P499" s="91"/>
      <c r="Q499" s="91"/>
      <c r="R499" s="91"/>
      <c r="S499" s="91"/>
    </row>
    <row r="500" spans="1:19" ht="15.75" customHeight="1" x14ac:dyDescent="0.25">
      <c r="A500" s="92"/>
      <c r="B500" s="93"/>
      <c r="C500" s="92"/>
      <c r="D500" s="92"/>
      <c r="E500" s="92"/>
      <c r="F500" s="92"/>
      <c r="G500" s="92"/>
      <c r="H500" s="91"/>
      <c r="I500" s="91"/>
      <c r="J500" s="91"/>
      <c r="K500" s="91"/>
      <c r="L500" s="91"/>
      <c r="M500" s="91"/>
      <c r="N500" s="91"/>
      <c r="O500" s="91"/>
      <c r="P500" s="91"/>
      <c r="Q500" s="91"/>
      <c r="R500" s="91"/>
      <c r="S500" s="91"/>
    </row>
    <row r="501" spans="1:19" ht="15.75" customHeight="1" x14ac:dyDescent="0.25">
      <c r="A501" s="92"/>
      <c r="B501" s="93"/>
      <c r="C501" s="92"/>
      <c r="D501" s="92"/>
      <c r="E501" s="92"/>
      <c r="F501" s="92"/>
      <c r="G501" s="92"/>
      <c r="H501" s="91"/>
      <c r="I501" s="91"/>
      <c r="J501" s="91"/>
      <c r="K501" s="91"/>
      <c r="L501" s="91"/>
      <c r="M501" s="91"/>
      <c r="N501" s="91"/>
      <c r="O501" s="91"/>
      <c r="P501" s="91"/>
      <c r="Q501" s="91"/>
      <c r="R501" s="91"/>
      <c r="S501" s="91"/>
    </row>
    <row r="502" spans="1:19" ht="15.75" customHeight="1" x14ac:dyDescent="0.25">
      <c r="A502" s="92"/>
      <c r="B502" s="93"/>
      <c r="C502" s="92"/>
      <c r="D502" s="92"/>
      <c r="E502" s="92"/>
      <c r="F502" s="92"/>
      <c r="G502" s="92"/>
      <c r="H502" s="91"/>
      <c r="I502" s="91"/>
      <c r="J502" s="91"/>
      <c r="K502" s="91"/>
      <c r="L502" s="91"/>
      <c r="M502" s="91"/>
      <c r="N502" s="91"/>
      <c r="O502" s="91"/>
      <c r="P502" s="91"/>
      <c r="Q502" s="91"/>
      <c r="R502" s="91"/>
      <c r="S502" s="91"/>
    </row>
    <row r="503" spans="1:19" ht="15.75" customHeight="1" x14ac:dyDescent="0.25">
      <c r="A503" s="92"/>
      <c r="B503" s="93"/>
      <c r="C503" s="92"/>
      <c r="D503" s="92"/>
      <c r="E503" s="92"/>
      <c r="F503" s="92"/>
      <c r="G503" s="92"/>
      <c r="H503" s="91"/>
      <c r="I503" s="91"/>
      <c r="J503" s="91"/>
      <c r="K503" s="91"/>
      <c r="L503" s="91"/>
      <c r="M503" s="91"/>
      <c r="N503" s="91"/>
      <c r="O503" s="91"/>
      <c r="P503" s="91"/>
      <c r="Q503" s="91"/>
      <c r="R503" s="91"/>
      <c r="S503" s="91"/>
    </row>
    <row r="504" spans="1:19" ht="15.75" customHeight="1" x14ac:dyDescent="0.25">
      <c r="A504" s="92"/>
      <c r="B504" s="93"/>
      <c r="C504" s="92"/>
      <c r="D504" s="92"/>
      <c r="E504" s="92"/>
      <c r="F504" s="92"/>
      <c r="G504" s="92"/>
      <c r="H504" s="91"/>
      <c r="I504" s="91"/>
      <c r="J504" s="91"/>
      <c r="K504" s="91"/>
      <c r="L504" s="91"/>
      <c r="M504" s="91"/>
      <c r="N504" s="91"/>
      <c r="O504" s="91"/>
      <c r="P504" s="91"/>
      <c r="Q504" s="91"/>
      <c r="R504" s="91"/>
      <c r="S504" s="91"/>
    </row>
    <row r="505" spans="1:19" ht="15.75" customHeight="1" x14ac:dyDescent="0.25">
      <c r="A505" s="92"/>
      <c r="B505" s="93"/>
      <c r="C505" s="92"/>
      <c r="D505" s="92"/>
      <c r="E505" s="92"/>
      <c r="F505" s="92"/>
      <c r="G505" s="92"/>
      <c r="H505" s="91"/>
      <c r="I505" s="91"/>
      <c r="J505" s="91"/>
      <c r="K505" s="91"/>
      <c r="L505" s="91"/>
      <c r="M505" s="91"/>
      <c r="N505" s="91"/>
      <c r="O505" s="91"/>
      <c r="P505" s="91"/>
      <c r="Q505" s="91"/>
      <c r="R505" s="91"/>
      <c r="S505" s="91"/>
    </row>
    <row r="506" spans="1:19" ht="15.75" customHeight="1" x14ac:dyDescent="0.25">
      <c r="A506" s="92"/>
      <c r="B506" s="93"/>
      <c r="C506" s="92"/>
      <c r="D506" s="92"/>
      <c r="E506" s="92"/>
      <c r="F506" s="92"/>
      <c r="G506" s="92"/>
      <c r="H506" s="91"/>
      <c r="I506" s="91"/>
      <c r="J506" s="91"/>
      <c r="K506" s="91"/>
      <c r="L506" s="91"/>
      <c r="M506" s="91"/>
      <c r="N506" s="91"/>
      <c r="O506" s="91"/>
      <c r="P506" s="91"/>
      <c r="Q506" s="91"/>
      <c r="R506" s="91"/>
      <c r="S506" s="91"/>
    </row>
    <row r="507" spans="1:19" ht="15.75" customHeight="1" x14ac:dyDescent="0.25">
      <c r="A507" s="92"/>
      <c r="B507" s="93"/>
      <c r="C507" s="92"/>
      <c r="D507" s="92"/>
      <c r="E507" s="92"/>
      <c r="F507" s="92"/>
      <c r="G507" s="92"/>
      <c r="H507" s="91"/>
      <c r="I507" s="91"/>
      <c r="J507" s="91"/>
      <c r="K507" s="91"/>
      <c r="L507" s="91"/>
      <c r="M507" s="91"/>
      <c r="N507" s="91"/>
      <c r="O507" s="91"/>
      <c r="P507" s="91"/>
      <c r="Q507" s="91"/>
      <c r="R507" s="91"/>
      <c r="S507" s="91"/>
    </row>
    <row r="508" spans="1:19" ht="15.75" customHeight="1" x14ac:dyDescent="0.25">
      <c r="A508" s="92"/>
      <c r="B508" s="93"/>
      <c r="C508" s="92"/>
      <c r="D508" s="92"/>
      <c r="E508" s="92"/>
      <c r="F508" s="92"/>
      <c r="G508" s="92"/>
      <c r="H508" s="91"/>
      <c r="I508" s="91"/>
      <c r="J508" s="91"/>
      <c r="K508" s="91"/>
      <c r="L508" s="91"/>
      <c r="M508" s="91"/>
      <c r="N508" s="91"/>
      <c r="O508" s="91"/>
      <c r="P508" s="91"/>
      <c r="Q508" s="91"/>
      <c r="R508" s="91"/>
      <c r="S508" s="91"/>
    </row>
    <row r="509" spans="1:19" ht="15.75" customHeight="1" x14ac:dyDescent="0.25">
      <c r="A509" s="92"/>
      <c r="B509" s="93"/>
      <c r="C509" s="92"/>
      <c r="D509" s="92"/>
      <c r="E509" s="92"/>
      <c r="F509" s="92"/>
      <c r="G509" s="92"/>
      <c r="H509" s="91"/>
      <c r="I509" s="91"/>
      <c r="J509" s="91"/>
      <c r="K509" s="91"/>
      <c r="L509" s="91"/>
      <c r="M509" s="91"/>
      <c r="N509" s="91"/>
      <c r="O509" s="91"/>
      <c r="P509" s="91"/>
      <c r="Q509" s="91"/>
      <c r="R509" s="91"/>
      <c r="S509" s="91"/>
    </row>
    <row r="510" spans="1:19" ht="15.75" customHeight="1" x14ac:dyDescent="0.25">
      <c r="A510" s="92"/>
      <c r="B510" s="93"/>
      <c r="C510" s="92"/>
      <c r="D510" s="92"/>
      <c r="E510" s="92"/>
      <c r="F510" s="92"/>
      <c r="G510" s="92"/>
      <c r="H510" s="91"/>
      <c r="I510" s="91"/>
      <c r="J510" s="91"/>
      <c r="K510" s="91"/>
      <c r="L510" s="91"/>
      <c r="M510" s="91"/>
      <c r="N510" s="91"/>
      <c r="O510" s="91"/>
      <c r="P510" s="91"/>
      <c r="Q510" s="91"/>
      <c r="R510" s="91"/>
      <c r="S510" s="91"/>
    </row>
    <row r="511" spans="1:19" ht="15.75" customHeight="1" x14ac:dyDescent="0.25">
      <c r="A511" s="92"/>
      <c r="B511" s="93"/>
      <c r="C511" s="92"/>
      <c r="D511" s="92"/>
      <c r="E511" s="92"/>
      <c r="F511" s="92"/>
      <c r="G511" s="92"/>
      <c r="H511" s="91"/>
      <c r="I511" s="91"/>
      <c r="J511" s="91"/>
      <c r="K511" s="91"/>
      <c r="L511" s="91"/>
      <c r="M511" s="91"/>
      <c r="N511" s="91"/>
      <c r="O511" s="91"/>
      <c r="P511" s="91"/>
      <c r="Q511" s="91"/>
      <c r="R511" s="91"/>
      <c r="S511" s="91"/>
    </row>
    <row r="512" spans="1:19" ht="15.75" customHeight="1" x14ac:dyDescent="0.25">
      <c r="A512" s="92"/>
      <c r="B512" s="93"/>
      <c r="C512" s="92"/>
      <c r="D512" s="92"/>
      <c r="E512" s="92"/>
      <c r="F512" s="92"/>
      <c r="G512" s="92"/>
      <c r="H512" s="91"/>
      <c r="I512" s="91"/>
      <c r="J512" s="91"/>
      <c r="K512" s="91"/>
      <c r="L512" s="91"/>
      <c r="M512" s="91"/>
      <c r="N512" s="91"/>
      <c r="O512" s="91"/>
      <c r="P512" s="91"/>
      <c r="Q512" s="91"/>
      <c r="R512" s="91"/>
      <c r="S512" s="91"/>
    </row>
    <row r="513" spans="1:19" ht="15.75" customHeight="1" x14ac:dyDescent="0.25">
      <c r="A513" s="92"/>
      <c r="B513" s="93"/>
      <c r="C513" s="92"/>
      <c r="D513" s="92"/>
      <c r="E513" s="92"/>
      <c r="F513" s="92"/>
      <c r="G513" s="92"/>
      <c r="H513" s="91"/>
      <c r="I513" s="91"/>
      <c r="J513" s="91"/>
      <c r="K513" s="91"/>
      <c r="L513" s="91"/>
      <c r="M513" s="91"/>
      <c r="N513" s="91"/>
      <c r="O513" s="91"/>
      <c r="P513" s="91"/>
      <c r="Q513" s="91"/>
      <c r="R513" s="91"/>
      <c r="S513" s="91"/>
    </row>
    <row r="514" spans="1:19" ht="15.75" customHeight="1" x14ac:dyDescent="0.25">
      <c r="A514" s="92"/>
      <c r="B514" s="93"/>
      <c r="C514" s="92"/>
      <c r="D514" s="92"/>
      <c r="E514" s="92"/>
      <c r="F514" s="92"/>
      <c r="G514" s="92"/>
      <c r="H514" s="91"/>
      <c r="I514" s="91"/>
      <c r="J514" s="91"/>
      <c r="K514" s="91"/>
      <c r="L514" s="91"/>
      <c r="M514" s="91"/>
      <c r="N514" s="91"/>
      <c r="O514" s="91"/>
      <c r="P514" s="91"/>
      <c r="Q514" s="91"/>
      <c r="R514" s="91"/>
      <c r="S514" s="91"/>
    </row>
    <row r="515" spans="1:19" ht="15.75" customHeight="1" x14ac:dyDescent="0.25">
      <c r="A515" s="92"/>
      <c r="B515" s="93"/>
      <c r="C515" s="92"/>
      <c r="D515" s="92"/>
      <c r="E515" s="92"/>
      <c r="F515" s="92"/>
      <c r="G515" s="92"/>
      <c r="H515" s="91"/>
      <c r="I515" s="91"/>
      <c r="J515" s="91"/>
      <c r="K515" s="91"/>
      <c r="L515" s="91"/>
      <c r="M515" s="91"/>
      <c r="N515" s="91"/>
      <c r="O515" s="91"/>
      <c r="P515" s="91"/>
      <c r="Q515" s="91"/>
      <c r="R515" s="91"/>
      <c r="S515" s="91"/>
    </row>
    <row r="516" spans="1:19" ht="15.75" customHeight="1" x14ac:dyDescent="0.25">
      <c r="A516" s="92"/>
      <c r="B516" s="93"/>
      <c r="C516" s="92"/>
      <c r="D516" s="92"/>
      <c r="E516" s="92"/>
      <c r="F516" s="92"/>
      <c r="G516" s="92"/>
      <c r="H516" s="91"/>
      <c r="I516" s="91"/>
      <c r="J516" s="91"/>
      <c r="K516" s="91"/>
      <c r="L516" s="91"/>
      <c r="M516" s="91"/>
      <c r="N516" s="91"/>
      <c r="O516" s="91"/>
      <c r="P516" s="91"/>
      <c r="Q516" s="91"/>
      <c r="R516" s="91"/>
      <c r="S516" s="91"/>
    </row>
    <row r="517" spans="1:19" ht="15.75" customHeight="1" x14ac:dyDescent="0.25">
      <c r="A517" s="92"/>
      <c r="B517" s="93"/>
      <c r="C517" s="92"/>
      <c r="D517" s="92"/>
      <c r="E517" s="92"/>
      <c r="F517" s="92"/>
      <c r="G517" s="92"/>
      <c r="H517" s="91"/>
      <c r="I517" s="91"/>
      <c r="J517" s="91"/>
      <c r="K517" s="91"/>
      <c r="L517" s="91"/>
      <c r="M517" s="91"/>
      <c r="N517" s="91"/>
      <c r="O517" s="91"/>
      <c r="P517" s="91"/>
      <c r="Q517" s="91"/>
      <c r="R517" s="91"/>
      <c r="S517" s="91"/>
    </row>
    <row r="518" spans="1:19" ht="15.75" customHeight="1" x14ac:dyDescent="0.25">
      <c r="A518" s="92"/>
      <c r="B518" s="93"/>
      <c r="C518" s="92"/>
      <c r="D518" s="92"/>
      <c r="E518" s="92"/>
      <c r="F518" s="92"/>
      <c r="G518" s="92"/>
      <c r="H518" s="91"/>
      <c r="I518" s="91"/>
      <c r="J518" s="91"/>
      <c r="K518" s="91"/>
      <c r="L518" s="91"/>
      <c r="M518" s="91"/>
      <c r="N518" s="91"/>
      <c r="O518" s="91"/>
      <c r="P518" s="91"/>
      <c r="Q518" s="91"/>
      <c r="R518" s="91"/>
      <c r="S518" s="91"/>
    </row>
    <row r="519" spans="1:19" ht="15.75" customHeight="1" x14ac:dyDescent="0.25">
      <c r="A519" s="92"/>
      <c r="B519" s="93"/>
      <c r="C519" s="92"/>
      <c r="D519" s="92"/>
      <c r="E519" s="92"/>
      <c r="F519" s="92"/>
      <c r="G519" s="92"/>
      <c r="H519" s="91"/>
      <c r="I519" s="91"/>
      <c r="J519" s="91"/>
      <c r="K519" s="91"/>
      <c r="L519" s="91"/>
      <c r="M519" s="91"/>
      <c r="N519" s="91"/>
      <c r="O519" s="91"/>
      <c r="P519" s="91"/>
      <c r="Q519" s="91"/>
      <c r="R519" s="91"/>
      <c r="S519" s="91"/>
    </row>
    <row r="520" spans="1:19" ht="15.75" customHeight="1" x14ac:dyDescent="0.25">
      <c r="A520" s="92"/>
      <c r="B520" s="93"/>
      <c r="C520" s="92"/>
      <c r="D520" s="92"/>
      <c r="E520" s="92"/>
      <c r="F520" s="92"/>
      <c r="G520" s="92"/>
      <c r="H520" s="91"/>
      <c r="I520" s="91"/>
      <c r="J520" s="91"/>
      <c r="K520" s="91"/>
      <c r="L520" s="91"/>
      <c r="M520" s="91"/>
      <c r="N520" s="91"/>
      <c r="O520" s="91"/>
      <c r="P520" s="91"/>
      <c r="Q520" s="91"/>
      <c r="R520" s="91"/>
      <c r="S520" s="91"/>
    </row>
    <row r="521" spans="1:19" ht="15.75" customHeight="1" x14ac:dyDescent="0.25">
      <c r="A521" s="92"/>
      <c r="B521" s="93"/>
      <c r="C521" s="92"/>
      <c r="D521" s="92"/>
      <c r="E521" s="92"/>
      <c r="F521" s="92"/>
      <c r="G521" s="92"/>
      <c r="H521" s="91"/>
      <c r="I521" s="91"/>
      <c r="J521" s="91"/>
      <c r="K521" s="91"/>
      <c r="L521" s="91"/>
      <c r="M521" s="91"/>
      <c r="N521" s="91"/>
      <c r="O521" s="91"/>
      <c r="P521" s="91"/>
      <c r="Q521" s="91"/>
      <c r="R521" s="91"/>
      <c r="S521" s="91"/>
    </row>
    <row r="522" spans="1:19" ht="15.75" customHeight="1" x14ac:dyDescent="0.25">
      <c r="A522" s="92"/>
      <c r="B522" s="93"/>
      <c r="C522" s="92"/>
      <c r="D522" s="92"/>
      <c r="E522" s="92"/>
      <c r="F522" s="92"/>
      <c r="G522" s="92"/>
      <c r="H522" s="91"/>
      <c r="I522" s="91"/>
      <c r="J522" s="91"/>
      <c r="K522" s="91"/>
      <c r="L522" s="91"/>
      <c r="M522" s="91"/>
      <c r="N522" s="91"/>
      <c r="O522" s="91"/>
      <c r="P522" s="91"/>
      <c r="Q522" s="91"/>
      <c r="R522" s="91"/>
      <c r="S522" s="91"/>
    </row>
    <row r="523" spans="1:19" ht="15.75" customHeight="1" x14ac:dyDescent="0.25">
      <c r="A523" s="92"/>
      <c r="B523" s="93"/>
      <c r="C523" s="92"/>
      <c r="D523" s="92"/>
      <c r="E523" s="92"/>
      <c r="F523" s="92"/>
      <c r="G523" s="92"/>
      <c r="H523" s="91"/>
      <c r="I523" s="91"/>
      <c r="J523" s="91"/>
      <c r="K523" s="91"/>
      <c r="L523" s="91"/>
      <c r="M523" s="91"/>
      <c r="N523" s="91"/>
      <c r="O523" s="91"/>
      <c r="P523" s="91"/>
      <c r="Q523" s="91"/>
      <c r="R523" s="91"/>
      <c r="S523" s="91"/>
    </row>
    <row r="524" spans="1:19" ht="15.75" customHeight="1" x14ac:dyDescent="0.25">
      <c r="A524" s="92"/>
      <c r="B524" s="93"/>
      <c r="C524" s="92"/>
      <c r="D524" s="92"/>
      <c r="E524" s="92"/>
      <c r="F524" s="92"/>
      <c r="G524" s="92"/>
      <c r="H524" s="91"/>
      <c r="I524" s="91"/>
      <c r="J524" s="91"/>
      <c r="K524" s="91"/>
      <c r="L524" s="91"/>
      <c r="M524" s="91"/>
      <c r="N524" s="91"/>
      <c r="O524" s="91"/>
      <c r="P524" s="91"/>
      <c r="Q524" s="91"/>
      <c r="R524" s="91"/>
      <c r="S524" s="91"/>
    </row>
    <row r="525" spans="1:19" ht="15.75" customHeight="1" x14ac:dyDescent="0.25">
      <c r="A525" s="92"/>
      <c r="B525" s="93"/>
      <c r="C525" s="92"/>
      <c r="D525" s="92"/>
      <c r="E525" s="92"/>
      <c r="F525" s="92"/>
      <c r="G525" s="92"/>
      <c r="H525" s="91"/>
      <c r="I525" s="91"/>
      <c r="J525" s="91"/>
      <c r="K525" s="91"/>
      <c r="L525" s="91"/>
      <c r="M525" s="91"/>
      <c r="N525" s="91"/>
      <c r="O525" s="91"/>
      <c r="P525" s="91"/>
      <c r="Q525" s="91"/>
      <c r="R525" s="91"/>
      <c r="S525" s="91"/>
    </row>
    <row r="526" spans="1:19" ht="15.75" customHeight="1" x14ac:dyDescent="0.25">
      <c r="A526" s="92"/>
      <c r="B526" s="93"/>
      <c r="C526" s="92"/>
      <c r="D526" s="92"/>
      <c r="E526" s="92"/>
      <c r="F526" s="92"/>
      <c r="G526" s="92"/>
      <c r="H526" s="91"/>
      <c r="I526" s="91"/>
      <c r="J526" s="91"/>
      <c r="K526" s="91"/>
      <c r="L526" s="91"/>
      <c r="M526" s="91"/>
      <c r="N526" s="91"/>
      <c r="O526" s="91"/>
      <c r="P526" s="91"/>
      <c r="Q526" s="91"/>
      <c r="R526" s="91"/>
      <c r="S526" s="91"/>
    </row>
    <row r="527" spans="1:19" ht="15.75" customHeight="1" x14ac:dyDescent="0.25">
      <c r="A527" s="92"/>
      <c r="B527" s="93"/>
      <c r="C527" s="92"/>
      <c r="D527" s="92"/>
      <c r="E527" s="92"/>
      <c r="F527" s="92"/>
      <c r="G527" s="92"/>
      <c r="H527" s="91"/>
      <c r="I527" s="91"/>
      <c r="J527" s="91"/>
      <c r="K527" s="91"/>
      <c r="L527" s="91"/>
      <c r="M527" s="91"/>
      <c r="N527" s="91"/>
      <c r="O527" s="91"/>
      <c r="P527" s="91"/>
      <c r="Q527" s="91"/>
      <c r="R527" s="91"/>
      <c r="S527" s="91"/>
    </row>
    <row r="528" spans="1:19" ht="15.75" customHeight="1" x14ac:dyDescent="0.25">
      <c r="A528" s="92"/>
      <c r="B528" s="93"/>
      <c r="C528" s="92"/>
      <c r="D528" s="92"/>
      <c r="E528" s="92"/>
      <c r="F528" s="92"/>
      <c r="G528" s="92"/>
      <c r="H528" s="91"/>
      <c r="I528" s="91"/>
      <c r="J528" s="91"/>
      <c r="K528" s="91"/>
      <c r="L528" s="91"/>
      <c r="M528" s="91"/>
      <c r="N528" s="91"/>
      <c r="O528" s="91"/>
      <c r="P528" s="91"/>
      <c r="Q528" s="91"/>
      <c r="R528" s="91"/>
      <c r="S528" s="91"/>
    </row>
    <row r="529" spans="1:19" ht="15.75" customHeight="1" x14ac:dyDescent="0.25">
      <c r="A529" s="92"/>
      <c r="B529" s="93"/>
      <c r="C529" s="92"/>
      <c r="D529" s="92"/>
      <c r="E529" s="92"/>
      <c r="F529" s="92"/>
      <c r="G529" s="92"/>
      <c r="H529" s="91"/>
      <c r="I529" s="91"/>
      <c r="J529" s="91"/>
      <c r="K529" s="91"/>
      <c r="L529" s="91"/>
      <c r="M529" s="91"/>
      <c r="N529" s="91"/>
      <c r="O529" s="91"/>
      <c r="P529" s="91"/>
      <c r="Q529" s="91"/>
      <c r="R529" s="91"/>
      <c r="S529" s="91"/>
    </row>
    <row r="530" spans="1:19" ht="15.75" customHeight="1" x14ac:dyDescent="0.25">
      <c r="A530" s="92"/>
      <c r="B530" s="93"/>
      <c r="C530" s="92"/>
      <c r="D530" s="92"/>
      <c r="E530" s="92"/>
      <c r="F530" s="92"/>
      <c r="G530" s="92"/>
      <c r="H530" s="91"/>
      <c r="I530" s="91"/>
      <c r="J530" s="91"/>
      <c r="K530" s="91"/>
      <c r="L530" s="91"/>
      <c r="M530" s="91"/>
      <c r="N530" s="91"/>
      <c r="O530" s="91"/>
      <c r="P530" s="91"/>
      <c r="Q530" s="91"/>
      <c r="R530" s="91"/>
      <c r="S530" s="91"/>
    </row>
    <row r="531" spans="1:19" ht="15.75" customHeight="1" x14ac:dyDescent="0.25">
      <c r="A531" s="92"/>
      <c r="B531" s="93"/>
      <c r="C531" s="92"/>
      <c r="D531" s="92"/>
      <c r="E531" s="92"/>
      <c r="F531" s="92"/>
      <c r="G531" s="92"/>
      <c r="H531" s="91"/>
      <c r="I531" s="91"/>
      <c r="J531" s="91"/>
      <c r="K531" s="91"/>
      <c r="L531" s="91"/>
      <c r="M531" s="91"/>
      <c r="N531" s="91"/>
      <c r="O531" s="91"/>
      <c r="P531" s="91"/>
      <c r="Q531" s="91"/>
      <c r="R531" s="91"/>
      <c r="S531" s="91"/>
    </row>
    <row r="532" spans="1:19" ht="15.75" customHeight="1" x14ac:dyDescent="0.25">
      <c r="A532" s="92"/>
      <c r="B532" s="93"/>
      <c r="C532" s="92"/>
      <c r="D532" s="92"/>
      <c r="E532" s="92"/>
      <c r="F532" s="92"/>
      <c r="G532" s="92"/>
      <c r="H532" s="91"/>
      <c r="I532" s="91"/>
      <c r="J532" s="91"/>
      <c r="K532" s="91"/>
      <c r="L532" s="91"/>
      <c r="M532" s="91"/>
      <c r="N532" s="91"/>
      <c r="O532" s="91"/>
      <c r="P532" s="91"/>
      <c r="Q532" s="91"/>
      <c r="R532" s="91"/>
      <c r="S532" s="91"/>
    </row>
    <row r="533" spans="1:19" ht="15.75" customHeight="1" x14ac:dyDescent="0.25">
      <c r="A533" s="92"/>
      <c r="B533" s="93"/>
      <c r="C533" s="92"/>
      <c r="D533" s="92"/>
      <c r="E533" s="92"/>
      <c r="F533" s="92"/>
      <c r="G533" s="92"/>
      <c r="H533" s="91"/>
      <c r="I533" s="91"/>
      <c r="J533" s="91"/>
      <c r="K533" s="91"/>
      <c r="L533" s="91"/>
      <c r="M533" s="91"/>
      <c r="N533" s="91"/>
      <c r="O533" s="91"/>
      <c r="P533" s="91"/>
      <c r="Q533" s="91"/>
      <c r="R533" s="91"/>
      <c r="S533" s="91"/>
    </row>
    <row r="534" spans="1:19" ht="15.75" customHeight="1" x14ac:dyDescent="0.25">
      <c r="A534" s="92"/>
      <c r="B534" s="93"/>
      <c r="C534" s="92"/>
      <c r="D534" s="92"/>
      <c r="E534" s="92"/>
      <c r="F534" s="92"/>
      <c r="G534" s="92"/>
      <c r="H534" s="91"/>
      <c r="I534" s="91"/>
      <c r="J534" s="91"/>
      <c r="K534" s="91"/>
      <c r="L534" s="91"/>
      <c r="M534" s="91"/>
      <c r="N534" s="91"/>
      <c r="O534" s="91"/>
      <c r="P534" s="91"/>
      <c r="Q534" s="91"/>
      <c r="R534" s="91"/>
      <c r="S534" s="91"/>
    </row>
    <row r="535" spans="1:19" ht="15.75" customHeight="1" x14ac:dyDescent="0.25">
      <c r="A535" s="92"/>
      <c r="B535" s="93"/>
      <c r="C535" s="92"/>
      <c r="D535" s="92"/>
      <c r="E535" s="92"/>
      <c r="F535" s="92"/>
      <c r="G535" s="92"/>
      <c r="H535" s="91"/>
      <c r="I535" s="91"/>
      <c r="J535" s="91"/>
      <c r="K535" s="91"/>
      <c r="L535" s="91"/>
      <c r="M535" s="91"/>
      <c r="N535" s="91"/>
      <c r="O535" s="91"/>
      <c r="P535" s="91"/>
      <c r="Q535" s="91"/>
      <c r="R535" s="91"/>
      <c r="S535" s="91"/>
    </row>
    <row r="536" spans="1:19" ht="15.75" customHeight="1" x14ac:dyDescent="0.25">
      <c r="A536" s="92"/>
      <c r="B536" s="93"/>
      <c r="C536" s="92"/>
      <c r="D536" s="92"/>
      <c r="E536" s="92"/>
      <c r="F536" s="92"/>
      <c r="G536" s="92"/>
      <c r="H536" s="91"/>
      <c r="I536" s="91"/>
      <c r="J536" s="91"/>
      <c r="K536" s="91"/>
      <c r="L536" s="91"/>
      <c r="M536" s="91"/>
      <c r="N536" s="91"/>
      <c r="O536" s="91"/>
      <c r="P536" s="91"/>
      <c r="Q536" s="91"/>
      <c r="R536" s="91"/>
      <c r="S536" s="91"/>
    </row>
    <row r="537" spans="1:19" ht="15.75" customHeight="1" x14ac:dyDescent="0.25">
      <c r="A537" s="92"/>
      <c r="B537" s="93"/>
      <c r="C537" s="92"/>
      <c r="D537" s="92"/>
      <c r="E537" s="92"/>
      <c r="F537" s="92"/>
      <c r="G537" s="92"/>
      <c r="H537" s="91"/>
      <c r="I537" s="91"/>
      <c r="J537" s="91"/>
      <c r="K537" s="91"/>
      <c r="L537" s="91"/>
      <c r="M537" s="91"/>
      <c r="N537" s="91"/>
      <c r="O537" s="91"/>
      <c r="P537" s="91"/>
      <c r="Q537" s="91"/>
      <c r="R537" s="91"/>
      <c r="S537" s="91"/>
    </row>
    <row r="538" spans="1:19" ht="15.75" customHeight="1" x14ac:dyDescent="0.25">
      <c r="A538" s="92"/>
      <c r="B538" s="93"/>
      <c r="C538" s="92"/>
      <c r="D538" s="92"/>
      <c r="E538" s="92"/>
      <c r="F538" s="92"/>
      <c r="G538" s="92"/>
      <c r="H538" s="91"/>
      <c r="I538" s="91"/>
      <c r="J538" s="91"/>
      <c r="K538" s="91"/>
      <c r="L538" s="91"/>
      <c r="M538" s="91"/>
      <c r="N538" s="91"/>
      <c r="O538" s="91"/>
      <c r="P538" s="91"/>
      <c r="Q538" s="91"/>
      <c r="R538" s="91"/>
      <c r="S538" s="91"/>
    </row>
    <row r="539" spans="1:19" ht="15.75" customHeight="1" x14ac:dyDescent="0.25">
      <c r="A539" s="92"/>
      <c r="B539" s="93"/>
      <c r="C539" s="92"/>
      <c r="D539" s="92"/>
      <c r="E539" s="92"/>
      <c r="F539" s="92"/>
      <c r="G539" s="92"/>
      <c r="H539" s="91"/>
      <c r="I539" s="91"/>
      <c r="J539" s="91"/>
      <c r="K539" s="91"/>
      <c r="L539" s="91"/>
      <c r="M539" s="91"/>
      <c r="N539" s="91"/>
      <c r="O539" s="91"/>
      <c r="P539" s="91"/>
      <c r="Q539" s="91"/>
      <c r="R539" s="91"/>
      <c r="S539" s="91"/>
    </row>
    <row r="540" spans="1:19" ht="15.75" customHeight="1" x14ac:dyDescent="0.25">
      <c r="A540" s="92"/>
      <c r="B540" s="93"/>
      <c r="C540" s="92"/>
      <c r="D540" s="92"/>
      <c r="E540" s="92"/>
      <c r="F540" s="92"/>
      <c r="G540" s="92"/>
      <c r="H540" s="91"/>
      <c r="I540" s="91"/>
      <c r="J540" s="91"/>
      <c r="K540" s="91"/>
      <c r="L540" s="91"/>
      <c r="M540" s="91"/>
      <c r="N540" s="91"/>
      <c r="O540" s="91"/>
      <c r="P540" s="91"/>
      <c r="Q540" s="91"/>
      <c r="R540" s="91"/>
      <c r="S540" s="91"/>
    </row>
    <row r="541" spans="1:19" ht="15.75" customHeight="1" x14ac:dyDescent="0.25">
      <c r="A541" s="92"/>
      <c r="B541" s="93"/>
      <c r="C541" s="92"/>
      <c r="D541" s="92"/>
      <c r="E541" s="92"/>
      <c r="F541" s="92"/>
      <c r="G541" s="92"/>
      <c r="H541" s="91"/>
      <c r="I541" s="91"/>
      <c r="J541" s="91"/>
      <c r="K541" s="91"/>
      <c r="L541" s="91"/>
      <c r="M541" s="91"/>
      <c r="N541" s="91"/>
      <c r="O541" s="91"/>
      <c r="P541" s="91"/>
      <c r="Q541" s="91"/>
      <c r="R541" s="91"/>
      <c r="S541" s="91"/>
    </row>
    <row r="542" spans="1:19" ht="15.75" customHeight="1" x14ac:dyDescent="0.25">
      <c r="A542" s="92"/>
      <c r="B542" s="93"/>
      <c r="C542" s="92"/>
      <c r="D542" s="92"/>
      <c r="E542" s="92"/>
      <c r="F542" s="92"/>
      <c r="G542" s="92"/>
      <c r="H542" s="91"/>
      <c r="I542" s="91"/>
      <c r="J542" s="91"/>
      <c r="K542" s="91"/>
      <c r="L542" s="91"/>
      <c r="M542" s="91"/>
      <c r="N542" s="91"/>
      <c r="O542" s="91"/>
      <c r="P542" s="91"/>
      <c r="Q542" s="91"/>
      <c r="R542" s="91"/>
      <c r="S542" s="91"/>
    </row>
    <row r="543" spans="1:19" ht="15.75" customHeight="1" x14ac:dyDescent="0.25">
      <c r="A543" s="92"/>
      <c r="B543" s="93"/>
      <c r="C543" s="92"/>
      <c r="D543" s="92"/>
      <c r="E543" s="92"/>
      <c r="F543" s="92"/>
      <c r="G543" s="92"/>
      <c r="H543" s="91"/>
      <c r="I543" s="91"/>
      <c r="J543" s="91"/>
      <c r="K543" s="91"/>
      <c r="L543" s="91"/>
      <c r="M543" s="91"/>
      <c r="N543" s="91"/>
      <c r="O543" s="91"/>
      <c r="P543" s="91"/>
      <c r="Q543" s="91"/>
      <c r="R543" s="91"/>
      <c r="S543" s="91"/>
    </row>
    <row r="544" spans="1:19" ht="15.75" customHeight="1" x14ac:dyDescent="0.25">
      <c r="A544" s="92"/>
      <c r="B544" s="93"/>
      <c r="C544" s="92"/>
      <c r="D544" s="92"/>
      <c r="E544" s="92"/>
      <c r="F544" s="92"/>
      <c r="G544" s="92"/>
      <c r="H544" s="91"/>
      <c r="I544" s="91"/>
      <c r="J544" s="91"/>
      <c r="K544" s="91"/>
      <c r="L544" s="91"/>
      <c r="M544" s="91"/>
      <c r="N544" s="91"/>
      <c r="O544" s="91"/>
      <c r="P544" s="91"/>
      <c r="Q544" s="91"/>
      <c r="R544" s="91"/>
      <c r="S544" s="91"/>
    </row>
    <row r="545" spans="1:19" ht="15.75" customHeight="1" x14ac:dyDescent="0.25">
      <c r="A545" s="92"/>
      <c r="B545" s="93"/>
      <c r="C545" s="92"/>
      <c r="D545" s="92"/>
      <c r="E545" s="92"/>
      <c r="F545" s="92"/>
      <c r="G545" s="92"/>
      <c r="H545" s="91"/>
      <c r="I545" s="91"/>
      <c r="J545" s="91"/>
      <c r="K545" s="91"/>
      <c r="L545" s="91"/>
      <c r="M545" s="91"/>
      <c r="N545" s="91"/>
      <c r="O545" s="91"/>
      <c r="P545" s="91"/>
      <c r="Q545" s="91"/>
      <c r="R545" s="91"/>
      <c r="S545" s="91"/>
    </row>
    <row r="546" spans="1:19" ht="15.75" customHeight="1" x14ac:dyDescent="0.25">
      <c r="A546" s="92"/>
      <c r="B546" s="93"/>
      <c r="C546" s="92"/>
      <c r="D546" s="92"/>
      <c r="E546" s="92"/>
      <c r="F546" s="92"/>
      <c r="G546" s="92"/>
      <c r="H546" s="91"/>
      <c r="I546" s="91"/>
      <c r="J546" s="91"/>
      <c r="K546" s="91"/>
      <c r="L546" s="91"/>
      <c r="M546" s="91"/>
      <c r="N546" s="91"/>
      <c r="O546" s="91"/>
      <c r="P546" s="91"/>
      <c r="Q546" s="91"/>
      <c r="R546" s="91"/>
      <c r="S546" s="91"/>
    </row>
    <row r="547" spans="1:19" ht="15.75" customHeight="1" x14ac:dyDescent="0.25">
      <c r="A547" s="92"/>
      <c r="B547" s="93"/>
      <c r="C547" s="92"/>
      <c r="D547" s="92"/>
      <c r="E547" s="92"/>
      <c r="F547" s="92"/>
      <c r="G547" s="92"/>
      <c r="H547" s="91"/>
      <c r="I547" s="91"/>
      <c r="J547" s="91"/>
      <c r="K547" s="91"/>
      <c r="L547" s="91"/>
      <c r="M547" s="91"/>
      <c r="N547" s="91"/>
      <c r="O547" s="91"/>
      <c r="P547" s="91"/>
      <c r="Q547" s="91"/>
      <c r="R547" s="91"/>
      <c r="S547" s="91"/>
    </row>
    <row r="548" spans="1:19" ht="15.75" customHeight="1" x14ac:dyDescent="0.25">
      <c r="A548" s="92"/>
      <c r="B548" s="93"/>
      <c r="C548" s="92"/>
      <c r="D548" s="92"/>
      <c r="E548" s="92"/>
      <c r="F548" s="92"/>
      <c r="G548" s="92"/>
      <c r="H548" s="91"/>
      <c r="I548" s="91"/>
      <c r="J548" s="91"/>
      <c r="K548" s="91"/>
      <c r="L548" s="91"/>
      <c r="M548" s="91"/>
      <c r="N548" s="91"/>
      <c r="O548" s="91"/>
      <c r="P548" s="91"/>
      <c r="Q548" s="91"/>
      <c r="R548" s="91"/>
      <c r="S548" s="91"/>
    </row>
    <row r="549" spans="1:19" ht="15.75" customHeight="1" x14ac:dyDescent="0.25">
      <c r="A549" s="92"/>
      <c r="B549" s="93"/>
      <c r="C549" s="92"/>
      <c r="D549" s="92"/>
      <c r="E549" s="92"/>
      <c r="F549" s="92"/>
      <c r="G549" s="92"/>
      <c r="H549" s="91"/>
      <c r="I549" s="91"/>
      <c r="J549" s="91"/>
      <c r="K549" s="91"/>
      <c r="L549" s="91"/>
      <c r="M549" s="91"/>
      <c r="N549" s="91"/>
      <c r="O549" s="91"/>
      <c r="P549" s="91"/>
      <c r="Q549" s="91"/>
      <c r="R549" s="91"/>
      <c r="S549" s="91"/>
    </row>
    <row r="550" spans="1:19" ht="15.75" customHeight="1" x14ac:dyDescent="0.25">
      <c r="A550" s="92"/>
      <c r="B550" s="93"/>
      <c r="C550" s="92"/>
      <c r="D550" s="92"/>
      <c r="E550" s="92"/>
      <c r="F550" s="92"/>
      <c r="G550" s="92"/>
      <c r="H550" s="91"/>
      <c r="I550" s="91"/>
      <c r="J550" s="91"/>
      <c r="K550" s="91"/>
      <c r="L550" s="91"/>
      <c r="M550" s="91"/>
      <c r="N550" s="91"/>
      <c r="O550" s="91"/>
      <c r="P550" s="91"/>
      <c r="Q550" s="91"/>
      <c r="R550" s="91"/>
      <c r="S550" s="91"/>
    </row>
    <row r="551" spans="1:19" ht="15.75" customHeight="1" x14ac:dyDescent="0.25">
      <c r="A551" s="92"/>
      <c r="B551" s="93"/>
      <c r="C551" s="92"/>
      <c r="D551" s="92"/>
      <c r="E551" s="92"/>
      <c r="F551" s="92"/>
      <c r="G551" s="92"/>
      <c r="H551" s="91"/>
      <c r="I551" s="91"/>
      <c r="J551" s="91"/>
      <c r="K551" s="91"/>
      <c r="L551" s="91"/>
      <c r="M551" s="91"/>
      <c r="N551" s="91"/>
      <c r="O551" s="91"/>
      <c r="P551" s="91"/>
      <c r="Q551" s="91"/>
      <c r="R551" s="91"/>
      <c r="S551" s="91"/>
    </row>
    <row r="552" spans="1:19" ht="15.75" customHeight="1" x14ac:dyDescent="0.25">
      <c r="A552" s="92"/>
      <c r="B552" s="93"/>
      <c r="C552" s="92"/>
      <c r="D552" s="92"/>
      <c r="E552" s="92"/>
      <c r="F552" s="92"/>
      <c r="G552" s="92"/>
      <c r="H552" s="91"/>
      <c r="I552" s="91"/>
      <c r="J552" s="91"/>
      <c r="K552" s="91"/>
      <c r="L552" s="91"/>
      <c r="M552" s="91"/>
      <c r="N552" s="91"/>
      <c r="O552" s="91"/>
      <c r="P552" s="91"/>
      <c r="Q552" s="91"/>
      <c r="R552" s="91"/>
      <c r="S552" s="91"/>
    </row>
    <row r="553" spans="1:19" ht="15.75" customHeight="1" x14ac:dyDescent="0.25">
      <c r="A553" s="92"/>
      <c r="B553" s="93"/>
      <c r="C553" s="92"/>
      <c r="D553" s="92"/>
      <c r="E553" s="92"/>
      <c r="F553" s="92"/>
      <c r="G553" s="92"/>
      <c r="H553" s="91"/>
      <c r="I553" s="91"/>
      <c r="J553" s="91"/>
      <c r="K553" s="91"/>
      <c r="L553" s="91"/>
      <c r="M553" s="91"/>
      <c r="N553" s="91"/>
      <c r="O553" s="91"/>
      <c r="P553" s="91"/>
      <c r="Q553" s="91"/>
      <c r="R553" s="91"/>
      <c r="S553" s="91"/>
    </row>
    <row r="554" spans="1:19" ht="15.75" customHeight="1" x14ac:dyDescent="0.25">
      <c r="A554" s="92"/>
      <c r="B554" s="93"/>
      <c r="C554" s="92"/>
      <c r="D554" s="92"/>
      <c r="E554" s="92"/>
      <c r="F554" s="92"/>
      <c r="G554" s="92"/>
      <c r="H554" s="91"/>
      <c r="I554" s="91"/>
      <c r="J554" s="91"/>
      <c r="K554" s="91"/>
      <c r="L554" s="91"/>
      <c r="M554" s="91"/>
      <c r="N554" s="91"/>
      <c r="O554" s="91"/>
      <c r="P554" s="91"/>
      <c r="Q554" s="91"/>
      <c r="R554" s="91"/>
      <c r="S554" s="91"/>
    </row>
    <row r="555" spans="1:19" ht="15.75" customHeight="1" x14ac:dyDescent="0.25">
      <c r="A555" s="92"/>
      <c r="B555" s="93"/>
      <c r="C555" s="92"/>
      <c r="D555" s="92"/>
      <c r="E555" s="92"/>
      <c r="F555" s="92"/>
      <c r="G555" s="92"/>
      <c r="H555" s="91"/>
      <c r="I555" s="91"/>
      <c r="J555" s="91"/>
      <c r="K555" s="91"/>
      <c r="L555" s="91"/>
      <c r="M555" s="91"/>
      <c r="N555" s="91"/>
      <c r="O555" s="91"/>
      <c r="P555" s="91"/>
      <c r="Q555" s="91"/>
      <c r="R555" s="91"/>
      <c r="S555" s="91"/>
    </row>
    <row r="556" spans="1:19" ht="15.75" customHeight="1" x14ac:dyDescent="0.25">
      <c r="A556" s="92"/>
      <c r="B556" s="93"/>
      <c r="C556" s="92"/>
      <c r="D556" s="92"/>
      <c r="E556" s="92"/>
      <c r="F556" s="92"/>
      <c r="G556" s="92"/>
      <c r="H556" s="91"/>
      <c r="I556" s="91"/>
      <c r="J556" s="91"/>
      <c r="K556" s="91"/>
      <c r="L556" s="91"/>
      <c r="M556" s="91"/>
      <c r="N556" s="91"/>
      <c r="O556" s="91"/>
      <c r="P556" s="91"/>
      <c r="Q556" s="91"/>
      <c r="R556" s="91"/>
      <c r="S556" s="91"/>
    </row>
    <row r="557" spans="1:19" ht="15.75" customHeight="1" x14ac:dyDescent="0.25">
      <c r="A557" s="92"/>
      <c r="B557" s="93"/>
      <c r="C557" s="92"/>
      <c r="D557" s="92"/>
      <c r="E557" s="92"/>
      <c r="F557" s="92"/>
      <c r="G557" s="92"/>
      <c r="H557" s="91"/>
      <c r="I557" s="91"/>
      <c r="J557" s="91"/>
      <c r="K557" s="91"/>
      <c r="L557" s="91"/>
      <c r="M557" s="91"/>
      <c r="N557" s="91"/>
      <c r="O557" s="91"/>
      <c r="P557" s="91"/>
      <c r="Q557" s="91"/>
      <c r="R557" s="91"/>
      <c r="S557" s="91"/>
    </row>
    <row r="558" spans="1:19" ht="15.75" customHeight="1" x14ac:dyDescent="0.25">
      <c r="A558" s="92"/>
      <c r="B558" s="93"/>
      <c r="C558" s="92"/>
      <c r="D558" s="92"/>
      <c r="E558" s="92"/>
      <c r="F558" s="92"/>
      <c r="G558" s="92"/>
      <c r="H558" s="91"/>
      <c r="I558" s="91"/>
      <c r="J558" s="91"/>
      <c r="K558" s="91"/>
      <c r="L558" s="91"/>
      <c r="M558" s="91"/>
      <c r="N558" s="91"/>
      <c r="O558" s="91"/>
      <c r="P558" s="91"/>
      <c r="Q558" s="91"/>
      <c r="R558" s="91"/>
      <c r="S558" s="91"/>
    </row>
    <row r="559" spans="1:19" ht="15.75" customHeight="1" x14ac:dyDescent="0.25">
      <c r="A559" s="92"/>
      <c r="B559" s="93"/>
      <c r="C559" s="92"/>
      <c r="D559" s="92"/>
      <c r="E559" s="92"/>
      <c r="F559" s="92"/>
      <c r="G559" s="92"/>
      <c r="H559" s="91"/>
      <c r="I559" s="91"/>
      <c r="J559" s="91"/>
      <c r="K559" s="91"/>
      <c r="L559" s="91"/>
      <c r="M559" s="91"/>
      <c r="N559" s="91"/>
      <c r="O559" s="91"/>
      <c r="P559" s="91"/>
      <c r="Q559" s="91"/>
      <c r="R559" s="91"/>
      <c r="S559" s="91"/>
    </row>
    <row r="560" spans="1:19" ht="15.75" customHeight="1" x14ac:dyDescent="0.25">
      <c r="A560" s="92"/>
      <c r="B560" s="93"/>
      <c r="C560" s="92"/>
      <c r="D560" s="92"/>
      <c r="E560" s="92"/>
      <c r="F560" s="92"/>
      <c r="G560" s="92"/>
      <c r="H560" s="91"/>
      <c r="I560" s="91"/>
      <c r="J560" s="91"/>
      <c r="K560" s="91"/>
      <c r="L560" s="91"/>
      <c r="M560" s="91"/>
      <c r="N560" s="91"/>
      <c r="O560" s="91"/>
      <c r="P560" s="91"/>
      <c r="Q560" s="91"/>
      <c r="R560" s="91"/>
      <c r="S560" s="91"/>
    </row>
    <row r="561" spans="1:19" ht="15.75" customHeight="1" x14ac:dyDescent="0.25">
      <c r="A561" s="92"/>
      <c r="B561" s="93"/>
      <c r="C561" s="92"/>
      <c r="D561" s="92"/>
      <c r="E561" s="92"/>
      <c r="F561" s="92"/>
      <c r="G561" s="92"/>
      <c r="H561" s="91"/>
      <c r="I561" s="91"/>
      <c r="J561" s="91"/>
      <c r="K561" s="91"/>
      <c r="L561" s="91"/>
      <c r="M561" s="91"/>
      <c r="N561" s="91"/>
      <c r="O561" s="91"/>
      <c r="P561" s="91"/>
      <c r="Q561" s="91"/>
      <c r="R561" s="91"/>
      <c r="S561" s="91"/>
    </row>
    <row r="562" spans="1:19" ht="15.75" customHeight="1" x14ac:dyDescent="0.25">
      <c r="A562" s="92"/>
      <c r="B562" s="93"/>
      <c r="C562" s="92"/>
      <c r="D562" s="92"/>
      <c r="E562" s="92"/>
      <c r="F562" s="92"/>
      <c r="G562" s="92"/>
      <c r="H562" s="91"/>
      <c r="I562" s="91"/>
      <c r="J562" s="91"/>
      <c r="K562" s="91"/>
      <c r="L562" s="91"/>
      <c r="M562" s="91"/>
      <c r="N562" s="91"/>
      <c r="O562" s="91"/>
      <c r="P562" s="91"/>
      <c r="Q562" s="91"/>
      <c r="R562" s="91"/>
      <c r="S562" s="91"/>
    </row>
    <row r="563" spans="1:19" ht="15.75" customHeight="1" x14ac:dyDescent="0.25">
      <c r="A563" s="92"/>
      <c r="B563" s="93"/>
      <c r="C563" s="92"/>
      <c r="D563" s="92"/>
      <c r="E563" s="92"/>
      <c r="F563" s="92"/>
      <c r="G563" s="92"/>
      <c r="H563" s="91"/>
      <c r="I563" s="91"/>
      <c r="J563" s="91"/>
      <c r="K563" s="91"/>
      <c r="L563" s="91"/>
      <c r="M563" s="91"/>
      <c r="N563" s="91"/>
      <c r="O563" s="91"/>
      <c r="P563" s="91"/>
      <c r="Q563" s="91"/>
      <c r="R563" s="91"/>
      <c r="S563" s="91"/>
    </row>
    <row r="564" spans="1:19" ht="15.75" customHeight="1" x14ac:dyDescent="0.25">
      <c r="A564" s="92"/>
      <c r="B564" s="93"/>
      <c r="C564" s="92"/>
      <c r="D564" s="92"/>
      <c r="E564" s="92"/>
      <c r="F564" s="92"/>
      <c r="G564" s="92"/>
      <c r="H564" s="91"/>
      <c r="I564" s="91"/>
      <c r="J564" s="91"/>
      <c r="K564" s="91"/>
      <c r="L564" s="91"/>
      <c r="M564" s="91"/>
      <c r="N564" s="91"/>
      <c r="O564" s="91"/>
      <c r="P564" s="91"/>
      <c r="Q564" s="91"/>
      <c r="R564" s="91"/>
      <c r="S564" s="91"/>
    </row>
    <row r="565" spans="1:19" ht="15.75" customHeight="1" x14ac:dyDescent="0.25">
      <c r="A565" s="92"/>
      <c r="B565" s="93"/>
      <c r="C565" s="92"/>
      <c r="D565" s="92"/>
      <c r="E565" s="92"/>
      <c r="F565" s="92"/>
      <c r="G565" s="92"/>
      <c r="H565" s="91"/>
      <c r="I565" s="91"/>
      <c r="J565" s="91"/>
      <c r="K565" s="91"/>
      <c r="L565" s="91"/>
      <c r="M565" s="91"/>
      <c r="N565" s="91"/>
      <c r="O565" s="91"/>
      <c r="P565" s="91"/>
      <c r="Q565" s="91"/>
      <c r="R565" s="91"/>
      <c r="S565" s="91"/>
    </row>
    <row r="566" spans="1:19" ht="15.75" customHeight="1" x14ac:dyDescent="0.25">
      <c r="A566" s="92"/>
      <c r="B566" s="93"/>
      <c r="C566" s="92"/>
      <c r="D566" s="92"/>
      <c r="E566" s="92"/>
      <c r="F566" s="92"/>
      <c r="G566" s="92"/>
      <c r="H566" s="91"/>
      <c r="I566" s="91"/>
      <c r="J566" s="91"/>
      <c r="K566" s="91"/>
      <c r="L566" s="91"/>
      <c r="M566" s="91"/>
      <c r="N566" s="91"/>
      <c r="O566" s="91"/>
      <c r="P566" s="91"/>
      <c r="Q566" s="91"/>
      <c r="R566" s="91"/>
      <c r="S566" s="91"/>
    </row>
    <row r="567" spans="1:19" ht="15.75" customHeight="1" x14ac:dyDescent="0.25">
      <c r="A567" s="92"/>
      <c r="B567" s="93"/>
      <c r="C567" s="92"/>
      <c r="D567" s="92"/>
      <c r="E567" s="92"/>
      <c r="F567" s="92"/>
      <c r="G567" s="92"/>
      <c r="H567" s="91"/>
      <c r="I567" s="91"/>
      <c r="J567" s="91"/>
      <c r="K567" s="91"/>
      <c r="L567" s="91"/>
      <c r="M567" s="91"/>
      <c r="N567" s="91"/>
      <c r="O567" s="91"/>
      <c r="P567" s="91"/>
      <c r="Q567" s="91"/>
      <c r="R567" s="91"/>
      <c r="S567" s="91"/>
    </row>
    <row r="568" spans="1:19" ht="15.75" customHeight="1" x14ac:dyDescent="0.25">
      <c r="A568" s="92"/>
      <c r="B568" s="93"/>
      <c r="C568" s="92"/>
      <c r="D568" s="92"/>
      <c r="E568" s="92"/>
      <c r="F568" s="92"/>
      <c r="G568" s="92"/>
      <c r="H568" s="91"/>
      <c r="I568" s="91"/>
      <c r="J568" s="91"/>
      <c r="K568" s="91"/>
      <c r="L568" s="91"/>
      <c r="M568" s="91"/>
      <c r="N568" s="91"/>
      <c r="O568" s="91"/>
      <c r="P568" s="91"/>
      <c r="Q568" s="91"/>
      <c r="R568" s="91"/>
      <c r="S568" s="91"/>
    </row>
    <row r="569" spans="1:19" ht="15.75" customHeight="1" x14ac:dyDescent="0.25">
      <c r="A569" s="92"/>
      <c r="B569" s="93"/>
      <c r="C569" s="92"/>
      <c r="D569" s="92"/>
      <c r="E569" s="92"/>
      <c r="F569" s="92"/>
      <c r="G569" s="92"/>
      <c r="H569" s="91"/>
      <c r="I569" s="91"/>
      <c r="J569" s="91"/>
      <c r="K569" s="91"/>
      <c r="L569" s="91"/>
      <c r="M569" s="91"/>
      <c r="N569" s="91"/>
      <c r="O569" s="91"/>
      <c r="P569" s="91"/>
      <c r="Q569" s="91"/>
      <c r="R569" s="91"/>
      <c r="S569" s="91"/>
    </row>
    <row r="570" spans="1:19" ht="15.75" customHeight="1" x14ac:dyDescent="0.25">
      <c r="A570" s="92"/>
      <c r="B570" s="93"/>
      <c r="C570" s="92"/>
      <c r="D570" s="92"/>
      <c r="E570" s="92"/>
      <c r="F570" s="92"/>
      <c r="G570" s="92"/>
      <c r="H570" s="91"/>
      <c r="I570" s="91"/>
      <c r="J570" s="91"/>
      <c r="K570" s="91"/>
      <c r="L570" s="91"/>
      <c r="M570" s="91"/>
      <c r="N570" s="91"/>
      <c r="O570" s="91"/>
      <c r="P570" s="91"/>
      <c r="Q570" s="91"/>
      <c r="R570" s="91"/>
      <c r="S570" s="91"/>
    </row>
    <row r="571" spans="1:19" ht="15.75" customHeight="1" x14ac:dyDescent="0.25">
      <c r="A571" s="92"/>
      <c r="B571" s="93"/>
      <c r="C571" s="92"/>
      <c r="D571" s="92"/>
      <c r="E571" s="92"/>
      <c r="F571" s="92"/>
      <c r="G571" s="92"/>
      <c r="H571" s="91"/>
      <c r="I571" s="91"/>
      <c r="J571" s="91"/>
      <c r="K571" s="91"/>
      <c r="L571" s="91"/>
      <c r="M571" s="91"/>
      <c r="N571" s="91"/>
      <c r="O571" s="91"/>
      <c r="P571" s="91"/>
      <c r="Q571" s="91"/>
      <c r="R571" s="91"/>
      <c r="S571" s="91"/>
    </row>
    <row r="572" spans="1:19" ht="15.75" customHeight="1" x14ac:dyDescent="0.25">
      <c r="A572" s="92"/>
      <c r="B572" s="93"/>
      <c r="C572" s="92"/>
      <c r="D572" s="92"/>
      <c r="E572" s="92"/>
      <c r="F572" s="92"/>
      <c r="G572" s="92"/>
      <c r="H572" s="91"/>
      <c r="I572" s="91"/>
      <c r="J572" s="91"/>
      <c r="K572" s="91"/>
      <c r="L572" s="91"/>
      <c r="M572" s="91"/>
      <c r="N572" s="91"/>
      <c r="O572" s="91"/>
      <c r="P572" s="91"/>
      <c r="Q572" s="91"/>
      <c r="R572" s="91"/>
      <c r="S572" s="91"/>
    </row>
    <row r="573" spans="1:19" ht="15.75" customHeight="1" x14ac:dyDescent="0.25">
      <c r="A573" s="92"/>
      <c r="B573" s="93"/>
      <c r="C573" s="92"/>
      <c r="D573" s="92"/>
      <c r="E573" s="92"/>
      <c r="F573" s="92"/>
      <c r="G573" s="92"/>
      <c r="H573" s="91"/>
      <c r="I573" s="91"/>
      <c r="J573" s="91"/>
      <c r="K573" s="91"/>
      <c r="L573" s="91"/>
      <c r="M573" s="91"/>
      <c r="N573" s="91"/>
      <c r="O573" s="91"/>
      <c r="P573" s="91"/>
      <c r="Q573" s="91"/>
      <c r="R573" s="91"/>
      <c r="S573" s="91"/>
    </row>
    <row r="574" spans="1:19" ht="15.75" customHeight="1" x14ac:dyDescent="0.25">
      <c r="A574" s="92"/>
      <c r="B574" s="93"/>
      <c r="C574" s="92"/>
      <c r="D574" s="92"/>
      <c r="E574" s="92"/>
      <c r="F574" s="92"/>
      <c r="G574" s="92"/>
      <c r="H574" s="91"/>
      <c r="I574" s="91"/>
      <c r="J574" s="91"/>
      <c r="K574" s="91"/>
      <c r="L574" s="91"/>
      <c r="M574" s="91"/>
      <c r="N574" s="91"/>
      <c r="O574" s="91"/>
      <c r="P574" s="91"/>
      <c r="Q574" s="91"/>
      <c r="R574" s="91"/>
      <c r="S574" s="91"/>
    </row>
    <row r="575" spans="1:19" ht="15.75" customHeight="1" x14ac:dyDescent="0.25">
      <c r="A575" s="92"/>
      <c r="B575" s="93"/>
      <c r="C575" s="92"/>
      <c r="D575" s="92"/>
      <c r="E575" s="92"/>
      <c r="F575" s="92"/>
      <c r="G575" s="92"/>
      <c r="H575" s="91"/>
      <c r="I575" s="91"/>
      <c r="J575" s="91"/>
      <c r="K575" s="91"/>
      <c r="L575" s="91"/>
      <c r="M575" s="91"/>
      <c r="N575" s="91"/>
      <c r="O575" s="91"/>
      <c r="P575" s="91"/>
      <c r="Q575" s="91"/>
      <c r="R575" s="91"/>
      <c r="S575" s="91"/>
    </row>
    <row r="576" spans="1:19" ht="15.75" customHeight="1" x14ac:dyDescent="0.25">
      <c r="A576" s="92"/>
      <c r="B576" s="93"/>
      <c r="C576" s="92"/>
      <c r="D576" s="92"/>
      <c r="E576" s="92"/>
      <c r="F576" s="92"/>
      <c r="G576" s="92"/>
      <c r="H576" s="91"/>
      <c r="I576" s="91"/>
      <c r="J576" s="91"/>
      <c r="K576" s="91"/>
      <c r="L576" s="91"/>
      <c r="M576" s="91"/>
      <c r="N576" s="91"/>
      <c r="O576" s="91"/>
      <c r="P576" s="91"/>
      <c r="Q576" s="91"/>
      <c r="R576" s="91"/>
      <c r="S576" s="91"/>
    </row>
    <row r="577" spans="1:19" ht="15.75" customHeight="1" x14ac:dyDescent="0.25">
      <c r="A577" s="92"/>
      <c r="B577" s="93"/>
      <c r="C577" s="92"/>
      <c r="D577" s="92"/>
      <c r="E577" s="92"/>
      <c r="F577" s="92"/>
      <c r="G577" s="92"/>
      <c r="H577" s="91"/>
      <c r="I577" s="91"/>
      <c r="J577" s="91"/>
      <c r="K577" s="91"/>
      <c r="L577" s="91"/>
      <c r="M577" s="91"/>
      <c r="N577" s="91"/>
      <c r="O577" s="91"/>
      <c r="P577" s="91"/>
      <c r="Q577" s="91"/>
      <c r="R577" s="91"/>
      <c r="S577" s="91"/>
    </row>
    <row r="578" spans="1:19" ht="15.75" customHeight="1" x14ac:dyDescent="0.25">
      <c r="A578" s="92"/>
      <c r="B578" s="93"/>
      <c r="C578" s="92"/>
      <c r="D578" s="92"/>
      <c r="E578" s="92"/>
      <c r="F578" s="92"/>
      <c r="G578" s="92"/>
      <c r="H578" s="91"/>
      <c r="I578" s="91"/>
      <c r="J578" s="91"/>
      <c r="K578" s="91"/>
      <c r="L578" s="91"/>
      <c r="M578" s="91"/>
      <c r="N578" s="91"/>
      <c r="O578" s="91"/>
      <c r="P578" s="91"/>
      <c r="Q578" s="91"/>
      <c r="R578" s="91"/>
      <c r="S578" s="91"/>
    </row>
    <row r="579" spans="1:19" ht="15.75" customHeight="1" x14ac:dyDescent="0.25">
      <c r="A579" s="92"/>
      <c r="B579" s="93"/>
      <c r="C579" s="92"/>
      <c r="D579" s="92"/>
      <c r="E579" s="92"/>
      <c r="F579" s="92"/>
      <c r="G579" s="92"/>
      <c r="H579" s="91"/>
      <c r="I579" s="91"/>
      <c r="J579" s="91"/>
      <c r="K579" s="91"/>
      <c r="L579" s="91"/>
      <c r="M579" s="91"/>
      <c r="N579" s="91"/>
      <c r="O579" s="91"/>
      <c r="P579" s="91"/>
      <c r="Q579" s="91"/>
      <c r="R579" s="91"/>
      <c r="S579" s="91"/>
    </row>
    <row r="580" spans="1:19" ht="15.75" customHeight="1" x14ac:dyDescent="0.25">
      <c r="A580" s="92"/>
      <c r="B580" s="93"/>
      <c r="C580" s="92"/>
      <c r="D580" s="92"/>
      <c r="E580" s="92"/>
      <c r="F580" s="92"/>
      <c r="G580" s="92"/>
      <c r="H580" s="91"/>
      <c r="I580" s="91"/>
      <c r="J580" s="91"/>
      <c r="K580" s="91"/>
      <c r="L580" s="91"/>
      <c r="M580" s="91"/>
      <c r="N580" s="91"/>
      <c r="O580" s="91"/>
      <c r="P580" s="91"/>
      <c r="Q580" s="91"/>
      <c r="R580" s="91"/>
      <c r="S580" s="91"/>
    </row>
    <row r="581" spans="1:19" ht="15.75" customHeight="1" x14ac:dyDescent="0.25">
      <c r="A581" s="92"/>
      <c r="B581" s="93"/>
      <c r="C581" s="92"/>
      <c r="D581" s="92"/>
      <c r="E581" s="92"/>
      <c r="F581" s="92"/>
      <c r="G581" s="92"/>
      <c r="H581" s="91"/>
      <c r="I581" s="91"/>
      <c r="J581" s="91"/>
      <c r="K581" s="91"/>
      <c r="L581" s="91"/>
      <c r="M581" s="91"/>
      <c r="N581" s="91"/>
      <c r="O581" s="91"/>
      <c r="P581" s="91"/>
      <c r="Q581" s="91"/>
      <c r="R581" s="91"/>
      <c r="S581" s="91"/>
    </row>
    <row r="582" spans="1:19" ht="15.75" customHeight="1" x14ac:dyDescent="0.25">
      <c r="A582" s="92"/>
      <c r="B582" s="93"/>
      <c r="C582" s="92"/>
      <c r="D582" s="92"/>
      <c r="E582" s="92"/>
      <c r="F582" s="92"/>
      <c r="G582" s="92"/>
      <c r="H582" s="91"/>
      <c r="I582" s="91"/>
      <c r="J582" s="91"/>
      <c r="K582" s="91"/>
      <c r="L582" s="91"/>
      <c r="M582" s="91"/>
      <c r="N582" s="91"/>
      <c r="O582" s="91"/>
      <c r="P582" s="91"/>
      <c r="Q582" s="91"/>
      <c r="R582" s="91"/>
      <c r="S582" s="91"/>
    </row>
    <row r="583" spans="1:19" ht="15.75" customHeight="1" x14ac:dyDescent="0.25">
      <c r="A583" s="92"/>
      <c r="B583" s="93"/>
      <c r="C583" s="92"/>
      <c r="D583" s="92"/>
      <c r="E583" s="92"/>
      <c r="F583" s="92"/>
      <c r="G583" s="92"/>
      <c r="H583" s="91"/>
      <c r="I583" s="91"/>
      <c r="J583" s="91"/>
      <c r="K583" s="91"/>
      <c r="L583" s="91"/>
      <c r="M583" s="91"/>
      <c r="N583" s="91"/>
      <c r="O583" s="91"/>
      <c r="P583" s="91"/>
      <c r="Q583" s="91"/>
      <c r="R583" s="91"/>
      <c r="S583" s="91"/>
    </row>
    <row r="584" spans="1:19" ht="15.75" customHeight="1" x14ac:dyDescent="0.25">
      <c r="A584" s="92"/>
      <c r="B584" s="93"/>
      <c r="C584" s="92"/>
      <c r="D584" s="92"/>
      <c r="E584" s="92"/>
      <c r="F584" s="92"/>
      <c r="G584" s="92"/>
      <c r="H584" s="91"/>
      <c r="I584" s="91"/>
      <c r="J584" s="91"/>
      <c r="K584" s="91"/>
      <c r="L584" s="91"/>
      <c r="M584" s="91"/>
      <c r="N584" s="91"/>
      <c r="O584" s="91"/>
      <c r="P584" s="91"/>
      <c r="Q584" s="91"/>
      <c r="R584" s="91"/>
      <c r="S584" s="91"/>
    </row>
    <row r="585" spans="1:19" ht="15.75" customHeight="1" x14ac:dyDescent="0.25">
      <c r="A585" s="92"/>
      <c r="B585" s="93"/>
      <c r="C585" s="92"/>
      <c r="D585" s="92"/>
      <c r="E585" s="92"/>
      <c r="F585" s="92"/>
      <c r="G585" s="92"/>
      <c r="H585" s="91"/>
      <c r="I585" s="91"/>
      <c r="J585" s="91"/>
      <c r="K585" s="91"/>
      <c r="L585" s="91"/>
      <c r="M585" s="91"/>
      <c r="N585" s="91"/>
      <c r="O585" s="91"/>
      <c r="P585" s="91"/>
      <c r="Q585" s="91"/>
      <c r="R585" s="91"/>
      <c r="S585" s="91"/>
    </row>
    <row r="586" spans="1:19" ht="15.75" customHeight="1" x14ac:dyDescent="0.25">
      <c r="A586" s="92"/>
      <c r="B586" s="93"/>
      <c r="C586" s="92"/>
      <c r="D586" s="92"/>
      <c r="E586" s="92"/>
      <c r="F586" s="92"/>
      <c r="G586" s="92"/>
      <c r="H586" s="91"/>
      <c r="I586" s="91"/>
      <c r="J586" s="91"/>
      <c r="K586" s="91"/>
      <c r="L586" s="91"/>
      <c r="M586" s="91"/>
      <c r="N586" s="91"/>
      <c r="O586" s="91"/>
      <c r="P586" s="91"/>
      <c r="Q586" s="91"/>
      <c r="R586" s="91"/>
      <c r="S586" s="91"/>
    </row>
    <row r="587" spans="1:19" ht="15.75" customHeight="1" x14ac:dyDescent="0.25">
      <c r="A587" s="92"/>
      <c r="B587" s="93"/>
      <c r="C587" s="92"/>
      <c r="D587" s="92"/>
      <c r="E587" s="92"/>
      <c r="F587" s="92"/>
      <c r="G587" s="92"/>
      <c r="H587" s="91"/>
      <c r="I587" s="91"/>
      <c r="J587" s="91"/>
      <c r="K587" s="91"/>
      <c r="L587" s="91"/>
      <c r="M587" s="91"/>
      <c r="N587" s="91"/>
      <c r="O587" s="91"/>
      <c r="P587" s="91"/>
      <c r="Q587" s="91"/>
      <c r="R587" s="91"/>
      <c r="S587" s="91"/>
    </row>
    <row r="588" spans="1:19" ht="15.75" customHeight="1" x14ac:dyDescent="0.25">
      <c r="A588" s="92"/>
      <c r="B588" s="93"/>
      <c r="C588" s="92"/>
      <c r="D588" s="92"/>
      <c r="E588" s="92"/>
      <c r="F588" s="92"/>
      <c r="G588" s="92"/>
      <c r="H588" s="91"/>
      <c r="I588" s="91"/>
      <c r="J588" s="91"/>
      <c r="K588" s="91"/>
      <c r="L588" s="91"/>
      <c r="M588" s="91"/>
      <c r="N588" s="91"/>
      <c r="O588" s="91"/>
      <c r="P588" s="91"/>
      <c r="Q588" s="91"/>
      <c r="R588" s="91"/>
      <c r="S588" s="91"/>
    </row>
    <row r="589" spans="1:19" ht="15.75" customHeight="1" x14ac:dyDescent="0.25">
      <c r="A589" s="92"/>
      <c r="B589" s="93"/>
      <c r="C589" s="92"/>
      <c r="D589" s="92"/>
      <c r="E589" s="92"/>
      <c r="F589" s="92"/>
      <c r="G589" s="92"/>
      <c r="H589" s="91"/>
      <c r="I589" s="91"/>
      <c r="J589" s="91"/>
      <c r="K589" s="91"/>
      <c r="L589" s="91"/>
      <c r="M589" s="91"/>
      <c r="N589" s="91"/>
      <c r="O589" s="91"/>
      <c r="P589" s="91"/>
      <c r="Q589" s="91"/>
      <c r="R589" s="91"/>
      <c r="S589" s="91"/>
    </row>
    <row r="590" spans="1:19" ht="15.75" customHeight="1" x14ac:dyDescent="0.25">
      <c r="A590" s="92"/>
      <c r="B590" s="93"/>
      <c r="C590" s="92"/>
      <c r="D590" s="92"/>
      <c r="E590" s="92"/>
      <c r="F590" s="92"/>
      <c r="G590" s="92"/>
      <c r="H590" s="91"/>
      <c r="I590" s="91"/>
      <c r="J590" s="91"/>
      <c r="K590" s="91"/>
      <c r="L590" s="91"/>
      <c r="M590" s="91"/>
      <c r="N590" s="91"/>
      <c r="O590" s="91"/>
      <c r="P590" s="91"/>
      <c r="Q590" s="91"/>
      <c r="R590" s="91"/>
      <c r="S590" s="91"/>
    </row>
    <row r="591" spans="1:19" ht="15.75" customHeight="1" x14ac:dyDescent="0.25">
      <c r="A591" s="92"/>
      <c r="B591" s="93"/>
      <c r="C591" s="92"/>
      <c r="D591" s="92"/>
      <c r="E591" s="92"/>
      <c r="F591" s="92"/>
      <c r="G591" s="92"/>
      <c r="H591" s="91"/>
      <c r="I591" s="91"/>
      <c r="J591" s="91"/>
      <c r="K591" s="91"/>
      <c r="L591" s="91"/>
      <c r="M591" s="91"/>
      <c r="N591" s="91"/>
      <c r="O591" s="91"/>
      <c r="P591" s="91"/>
      <c r="Q591" s="91"/>
      <c r="R591" s="91"/>
      <c r="S591" s="91"/>
    </row>
    <row r="592" spans="1:19" ht="15.75" customHeight="1" x14ac:dyDescent="0.25">
      <c r="A592" s="92"/>
      <c r="B592" s="93"/>
      <c r="C592" s="92"/>
      <c r="D592" s="92"/>
      <c r="E592" s="92"/>
      <c r="F592" s="92"/>
      <c r="G592" s="92"/>
      <c r="H592" s="91"/>
      <c r="I592" s="91"/>
      <c r="J592" s="91"/>
      <c r="K592" s="91"/>
      <c r="L592" s="91"/>
      <c r="M592" s="91"/>
      <c r="N592" s="91"/>
      <c r="O592" s="91"/>
      <c r="P592" s="91"/>
      <c r="Q592" s="91"/>
      <c r="R592" s="91"/>
      <c r="S592" s="91"/>
    </row>
    <row r="593" spans="1:19" ht="15.75" customHeight="1" x14ac:dyDescent="0.25">
      <c r="A593" s="92"/>
      <c r="B593" s="93"/>
      <c r="C593" s="92"/>
      <c r="D593" s="92"/>
      <c r="E593" s="92"/>
      <c r="F593" s="92"/>
      <c r="G593" s="92"/>
      <c r="H593" s="91"/>
      <c r="I593" s="91"/>
      <c r="J593" s="91"/>
      <c r="K593" s="91"/>
      <c r="L593" s="91"/>
      <c r="M593" s="91"/>
      <c r="N593" s="91"/>
      <c r="O593" s="91"/>
      <c r="P593" s="91"/>
      <c r="Q593" s="91"/>
      <c r="R593" s="91"/>
      <c r="S593" s="91"/>
    </row>
    <row r="594" spans="1:19" ht="15.75" customHeight="1" x14ac:dyDescent="0.25">
      <c r="A594" s="92"/>
      <c r="B594" s="93"/>
      <c r="C594" s="92"/>
      <c r="D594" s="92"/>
      <c r="E594" s="92"/>
      <c r="F594" s="92"/>
      <c r="G594" s="92"/>
      <c r="H594" s="91"/>
      <c r="I594" s="91"/>
      <c r="J594" s="91"/>
      <c r="K594" s="91"/>
      <c r="L594" s="91"/>
      <c r="M594" s="91"/>
      <c r="N594" s="91"/>
      <c r="O594" s="91"/>
      <c r="P594" s="91"/>
      <c r="Q594" s="91"/>
      <c r="R594" s="91"/>
      <c r="S594" s="91"/>
    </row>
    <row r="595" spans="1:19" ht="15.75" customHeight="1" x14ac:dyDescent="0.25">
      <c r="A595" s="92"/>
      <c r="B595" s="93"/>
      <c r="C595" s="92"/>
      <c r="D595" s="92"/>
      <c r="E595" s="92"/>
      <c r="F595" s="92"/>
      <c r="G595" s="92"/>
      <c r="H595" s="91"/>
      <c r="I595" s="91"/>
      <c r="J595" s="91"/>
      <c r="K595" s="91"/>
      <c r="L595" s="91"/>
      <c r="M595" s="91"/>
      <c r="N595" s="91"/>
      <c r="O595" s="91"/>
      <c r="P595" s="91"/>
      <c r="Q595" s="91"/>
      <c r="R595" s="91"/>
      <c r="S595" s="91"/>
    </row>
    <row r="596" spans="1:19" ht="15.75" customHeight="1" x14ac:dyDescent="0.25">
      <c r="A596" s="92"/>
      <c r="B596" s="93"/>
      <c r="C596" s="92"/>
      <c r="D596" s="92"/>
      <c r="E596" s="92"/>
      <c r="F596" s="92"/>
      <c r="G596" s="92"/>
      <c r="H596" s="91"/>
      <c r="I596" s="91"/>
      <c r="J596" s="91"/>
      <c r="K596" s="91"/>
      <c r="L596" s="91"/>
      <c r="M596" s="91"/>
      <c r="N596" s="91"/>
      <c r="O596" s="91"/>
      <c r="P596" s="91"/>
      <c r="Q596" s="91"/>
      <c r="R596" s="91"/>
      <c r="S596" s="91"/>
    </row>
    <row r="597" spans="1:19" ht="15.75" customHeight="1" x14ac:dyDescent="0.25">
      <c r="A597" s="92"/>
      <c r="B597" s="93"/>
      <c r="C597" s="92"/>
      <c r="D597" s="92"/>
      <c r="E597" s="92"/>
      <c r="F597" s="92"/>
      <c r="G597" s="92"/>
      <c r="H597" s="91"/>
      <c r="I597" s="91"/>
      <c r="J597" s="91"/>
      <c r="K597" s="91"/>
      <c r="L597" s="91"/>
      <c r="M597" s="91"/>
      <c r="N597" s="91"/>
      <c r="O597" s="91"/>
      <c r="P597" s="91"/>
      <c r="Q597" s="91"/>
      <c r="R597" s="91"/>
      <c r="S597" s="91"/>
    </row>
    <row r="598" spans="1:19" ht="15.75" customHeight="1" x14ac:dyDescent="0.25">
      <c r="A598" s="92"/>
      <c r="B598" s="93"/>
      <c r="C598" s="92"/>
      <c r="D598" s="92"/>
      <c r="E598" s="92"/>
      <c r="F598" s="92"/>
      <c r="G598" s="92"/>
      <c r="H598" s="91"/>
      <c r="I598" s="91"/>
      <c r="J598" s="91"/>
      <c r="K598" s="91"/>
      <c r="L598" s="91"/>
      <c r="M598" s="91"/>
      <c r="N598" s="91"/>
      <c r="O598" s="91"/>
      <c r="P598" s="91"/>
      <c r="Q598" s="91"/>
      <c r="R598" s="91"/>
      <c r="S598" s="91"/>
    </row>
    <row r="599" spans="1:19" ht="15.75" customHeight="1" x14ac:dyDescent="0.25">
      <c r="A599" s="92"/>
      <c r="B599" s="93"/>
      <c r="C599" s="92"/>
      <c r="D599" s="92"/>
      <c r="E599" s="92"/>
      <c r="F599" s="92"/>
      <c r="G599" s="92"/>
      <c r="H599" s="91"/>
      <c r="I599" s="91"/>
      <c r="J599" s="91"/>
      <c r="K599" s="91"/>
      <c r="L599" s="91"/>
      <c r="M599" s="91"/>
      <c r="N599" s="91"/>
      <c r="O599" s="91"/>
      <c r="P599" s="91"/>
      <c r="Q599" s="91"/>
      <c r="R599" s="91"/>
      <c r="S599" s="91"/>
    </row>
    <row r="600" spans="1:19" ht="15.75" customHeight="1" x14ac:dyDescent="0.25">
      <c r="A600" s="92"/>
      <c r="B600" s="93"/>
      <c r="C600" s="92"/>
      <c r="D600" s="92"/>
      <c r="E600" s="92"/>
      <c r="F600" s="92"/>
      <c r="G600" s="92"/>
      <c r="H600" s="91"/>
      <c r="I600" s="91"/>
      <c r="J600" s="91"/>
      <c r="K600" s="91"/>
      <c r="L600" s="91"/>
      <c r="M600" s="91"/>
      <c r="N600" s="91"/>
      <c r="O600" s="91"/>
      <c r="P600" s="91"/>
      <c r="Q600" s="91"/>
      <c r="R600" s="91"/>
      <c r="S600" s="91"/>
    </row>
    <row r="601" spans="1:19" ht="15.75" customHeight="1" x14ac:dyDescent="0.25">
      <c r="A601" s="92"/>
      <c r="B601" s="93"/>
      <c r="C601" s="92"/>
      <c r="D601" s="92"/>
      <c r="E601" s="92"/>
      <c r="F601" s="92"/>
      <c r="G601" s="92"/>
      <c r="H601" s="91"/>
      <c r="I601" s="91"/>
      <c r="J601" s="91"/>
      <c r="K601" s="91"/>
      <c r="L601" s="91"/>
      <c r="M601" s="91"/>
      <c r="N601" s="91"/>
      <c r="O601" s="91"/>
      <c r="P601" s="91"/>
      <c r="Q601" s="91"/>
      <c r="R601" s="91"/>
      <c r="S601" s="91"/>
    </row>
    <row r="602" spans="1:19" ht="15.75" customHeight="1" x14ac:dyDescent="0.25">
      <c r="A602" s="92"/>
      <c r="B602" s="93"/>
      <c r="C602" s="92"/>
      <c r="D602" s="92"/>
      <c r="E602" s="92"/>
      <c r="F602" s="92"/>
      <c r="G602" s="92"/>
      <c r="H602" s="91"/>
      <c r="I602" s="91"/>
      <c r="J602" s="91"/>
      <c r="K602" s="91"/>
      <c r="L602" s="91"/>
      <c r="M602" s="91"/>
      <c r="N602" s="91"/>
      <c r="O602" s="91"/>
      <c r="P602" s="91"/>
      <c r="Q602" s="91"/>
      <c r="R602" s="91"/>
      <c r="S602" s="91"/>
    </row>
    <row r="603" spans="1:19" ht="15.75" customHeight="1" x14ac:dyDescent="0.25">
      <c r="A603" s="92"/>
      <c r="B603" s="93"/>
      <c r="C603" s="92"/>
      <c r="D603" s="92"/>
      <c r="E603" s="92"/>
      <c r="F603" s="92"/>
      <c r="G603" s="92"/>
      <c r="H603" s="91"/>
      <c r="I603" s="91"/>
      <c r="J603" s="91"/>
      <c r="K603" s="91"/>
      <c r="L603" s="91"/>
      <c r="M603" s="91"/>
      <c r="N603" s="91"/>
      <c r="O603" s="91"/>
      <c r="P603" s="91"/>
      <c r="Q603" s="91"/>
      <c r="R603" s="91"/>
      <c r="S603" s="91"/>
    </row>
    <row r="604" spans="1:19" ht="15.75" customHeight="1" x14ac:dyDescent="0.25">
      <c r="A604" s="92"/>
      <c r="B604" s="93"/>
      <c r="C604" s="92"/>
      <c r="D604" s="92"/>
      <c r="E604" s="92"/>
      <c r="F604" s="92"/>
      <c r="G604" s="92"/>
      <c r="H604" s="91"/>
      <c r="I604" s="91"/>
      <c r="J604" s="91"/>
      <c r="K604" s="91"/>
      <c r="L604" s="91"/>
      <c r="M604" s="91"/>
      <c r="N604" s="91"/>
      <c r="O604" s="91"/>
      <c r="P604" s="91"/>
      <c r="Q604" s="91"/>
      <c r="R604" s="91"/>
      <c r="S604" s="91"/>
    </row>
    <row r="605" spans="1:19" ht="15.75" customHeight="1" x14ac:dyDescent="0.25">
      <c r="A605" s="92"/>
      <c r="B605" s="93"/>
      <c r="C605" s="92"/>
      <c r="D605" s="92"/>
      <c r="E605" s="92"/>
      <c r="F605" s="92"/>
      <c r="G605" s="92"/>
      <c r="H605" s="91"/>
      <c r="I605" s="91"/>
      <c r="J605" s="91"/>
      <c r="K605" s="91"/>
      <c r="L605" s="91"/>
      <c r="M605" s="91"/>
      <c r="N605" s="91"/>
      <c r="O605" s="91"/>
      <c r="P605" s="91"/>
      <c r="Q605" s="91"/>
      <c r="R605" s="91"/>
      <c r="S605" s="91"/>
    </row>
    <row r="606" spans="1:19" ht="15.75" customHeight="1" x14ac:dyDescent="0.25">
      <c r="A606" s="92"/>
      <c r="B606" s="93"/>
      <c r="C606" s="92"/>
      <c r="D606" s="92"/>
      <c r="E606" s="92"/>
      <c r="F606" s="92"/>
      <c r="G606" s="92"/>
      <c r="H606" s="91"/>
      <c r="I606" s="91"/>
      <c r="J606" s="91"/>
      <c r="K606" s="91"/>
      <c r="L606" s="91"/>
      <c r="M606" s="91"/>
      <c r="N606" s="91"/>
      <c r="O606" s="91"/>
      <c r="P606" s="91"/>
      <c r="Q606" s="91"/>
      <c r="R606" s="91"/>
      <c r="S606" s="91"/>
    </row>
    <row r="607" spans="1:19" ht="15.75" customHeight="1" x14ac:dyDescent="0.25">
      <c r="A607" s="92"/>
      <c r="B607" s="93"/>
      <c r="C607" s="92"/>
      <c r="D607" s="92"/>
      <c r="E607" s="92"/>
      <c r="F607" s="92"/>
      <c r="G607" s="92"/>
      <c r="H607" s="91"/>
      <c r="I607" s="91"/>
      <c r="J607" s="91"/>
      <c r="K607" s="91"/>
      <c r="L607" s="91"/>
      <c r="M607" s="91"/>
      <c r="N607" s="91"/>
      <c r="O607" s="91"/>
      <c r="P607" s="91"/>
      <c r="Q607" s="91"/>
      <c r="R607" s="91"/>
      <c r="S607" s="91"/>
    </row>
    <row r="608" spans="1:19" ht="15.75" customHeight="1" x14ac:dyDescent="0.25">
      <c r="A608" s="92"/>
      <c r="B608" s="93"/>
      <c r="C608" s="92"/>
      <c r="D608" s="92"/>
      <c r="E608" s="92"/>
      <c r="F608" s="92"/>
      <c r="G608" s="92"/>
      <c r="H608" s="91"/>
      <c r="I608" s="91"/>
      <c r="J608" s="91"/>
      <c r="K608" s="91"/>
      <c r="L608" s="91"/>
      <c r="M608" s="91"/>
      <c r="N608" s="91"/>
      <c r="O608" s="91"/>
      <c r="P608" s="91"/>
      <c r="Q608" s="91"/>
      <c r="R608" s="91"/>
      <c r="S608" s="91"/>
    </row>
    <row r="609" spans="1:19" ht="15.75" customHeight="1" x14ac:dyDescent="0.25">
      <c r="A609" s="92"/>
      <c r="B609" s="93"/>
      <c r="C609" s="92"/>
      <c r="D609" s="92"/>
      <c r="E609" s="92"/>
      <c r="F609" s="92"/>
      <c r="G609" s="92"/>
      <c r="H609" s="91"/>
      <c r="I609" s="91"/>
      <c r="J609" s="91"/>
      <c r="K609" s="91"/>
      <c r="L609" s="91"/>
      <c r="M609" s="91"/>
      <c r="N609" s="91"/>
      <c r="O609" s="91"/>
      <c r="P609" s="91"/>
      <c r="Q609" s="91"/>
      <c r="R609" s="91"/>
      <c r="S609" s="91"/>
    </row>
    <row r="610" spans="1:19" ht="15.75" customHeight="1" x14ac:dyDescent="0.25">
      <c r="A610" s="92"/>
      <c r="B610" s="93"/>
      <c r="C610" s="92"/>
      <c r="D610" s="92"/>
      <c r="E610" s="92"/>
      <c r="F610" s="92"/>
      <c r="G610" s="92"/>
      <c r="H610" s="91"/>
      <c r="I610" s="91"/>
      <c r="J610" s="91"/>
      <c r="K610" s="91"/>
      <c r="L610" s="91"/>
      <c r="M610" s="91"/>
      <c r="N610" s="91"/>
      <c r="O610" s="91"/>
      <c r="P610" s="91"/>
      <c r="Q610" s="91"/>
      <c r="R610" s="91"/>
      <c r="S610" s="91"/>
    </row>
    <row r="611" spans="1:19" ht="15.75" customHeight="1" x14ac:dyDescent="0.25">
      <c r="A611" s="92"/>
      <c r="B611" s="93"/>
      <c r="C611" s="92"/>
      <c r="D611" s="92"/>
      <c r="E611" s="92"/>
      <c r="F611" s="92"/>
      <c r="G611" s="92"/>
      <c r="H611" s="91"/>
      <c r="I611" s="91"/>
      <c r="J611" s="91"/>
      <c r="K611" s="91"/>
      <c r="L611" s="91"/>
      <c r="M611" s="91"/>
      <c r="N611" s="91"/>
      <c r="O611" s="91"/>
      <c r="P611" s="91"/>
      <c r="Q611" s="91"/>
      <c r="R611" s="91"/>
      <c r="S611" s="91"/>
    </row>
    <row r="612" spans="1:19" ht="15.75" customHeight="1" x14ac:dyDescent="0.25">
      <c r="A612" s="92"/>
      <c r="B612" s="93"/>
      <c r="C612" s="92"/>
      <c r="D612" s="92"/>
      <c r="E612" s="92"/>
      <c r="F612" s="92"/>
      <c r="G612" s="92"/>
      <c r="H612" s="91"/>
      <c r="I612" s="91"/>
      <c r="J612" s="91"/>
      <c r="K612" s="91"/>
      <c r="L612" s="91"/>
      <c r="M612" s="91"/>
      <c r="N612" s="91"/>
      <c r="O612" s="91"/>
      <c r="P612" s="91"/>
      <c r="Q612" s="91"/>
      <c r="R612" s="91"/>
      <c r="S612" s="91"/>
    </row>
    <row r="613" spans="1:19" ht="15.75" customHeight="1" x14ac:dyDescent="0.25">
      <c r="A613" s="92"/>
      <c r="B613" s="93"/>
      <c r="C613" s="92"/>
      <c r="D613" s="92"/>
      <c r="E613" s="92"/>
      <c r="F613" s="92"/>
      <c r="G613" s="92"/>
      <c r="H613" s="91"/>
      <c r="I613" s="91"/>
      <c r="J613" s="91"/>
      <c r="K613" s="91"/>
      <c r="L613" s="91"/>
      <c r="M613" s="91"/>
      <c r="N613" s="91"/>
      <c r="O613" s="91"/>
      <c r="P613" s="91"/>
      <c r="Q613" s="91"/>
      <c r="R613" s="91"/>
      <c r="S613" s="91"/>
    </row>
    <row r="614" spans="1:19" ht="15.75" customHeight="1" x14ac:dyDescent="0.25">
      <c r="A614" s="92"/>
      <c r="B614" s="93"/>
      <c r="C614" s="92"/>
      <c r="D614" s="92"/>
      <c r="E614" s="92"/>
      <c r="F614" s="92"/>
      <c r="G614" s="92"/>
      <c r="H614" s="91"/>
      <c r="I614" s="91"/>
      <c r="J614" s="91"/>
      <c r="K614" s="91"/>
      <c r="L614" s="91"/>
      <c r="M614" s="91"/>
      <c r="N614" s="91"/>
      <c r="O614" s="91"/>
      <c r="P614" s="91"/>
      <c r="Q614" s="91"/>
      <c r="R614" s="91"/>
      <c r="S614" s="91"/>
    </row>
    <row r="615" spans="1:19" ht="15.75" customHeight="1" x14ac:dyDescent="0.25">
      <c r="A615" s="92"/>
      <c r="B615" s="93"/>
      <c r="C615" s="92"/>
      <c r="D615" s="92"/>
      <c r="E615" s="92"/>
      <c r="F615" s="92"/>
      <c r="G615" s="92"/>
      <c r="H615" s="91"/>
      <c r="I615" s="91"/>
      <c r="J615" s="91"/>
      <c r="K615" s="91"/>
      <c r="L615" s="91"/>
      <c r="M615" s="91"/>
      <c r="N615" s="91"/>
      <c r="O615" s="91"/>
      <c r="P615" s="91"/>
      <c r="Q615" s="91"/>
      <c r="R615" s="91"/>
      <c r="S615" s="91"/>
    </row>
    <row r="616" spans="1:19" ht="15.75" customHeight="1" x14ac:dyDescent="0.25">
      <c r="A616" s="92"/>
      <c r="B616" s="93"/>
      <c r="C616" s="92"/>
      <c r="D616" s="92"/>
      <c r="E616" s="92"/>
      <c r="F616" s="92"/>
      <c r="G616" s="92"/>
      <c r="H616" s="91"/>
      <c r="I616" s="91"/>
      <c r="J616" s="91"/>
      <c r="K616" s="91"/>
      <c r="L616" s="91"/>
      <c r="M616" s="91"/>
      <c r="N616" s="91"/>
      <c r="O616" s="91"/>
      <c r="P616" s="91"/>
      <c r="Q616" s="91"/>
      <c r="R616" s="91"/>
      <c r="S616" s="91"/>
    </row>
    <row r="617" spans="1:19" ht="15.75" customHeight="1" x14ac:dyDescent="0.25">
      <c r="A617" s="92"/>
      <c r="B617" s="93"/>
      <c r="C617" s="92"/>
      <c r="D617" s="92"/>
      <c r="E617" s="92"/>
      <c r="F617" s="92"/>
      <c r="G617" s="92"/>
      <c r="H617" s="91"/>
      <c r="I617" s="91"/>
      <c r="J617" s="91"/>
      <c r="K617" s="91"/>
      <c r="L617" s="91"/>
      <c r="M617" s="91"/>
      <c r="N617" s="91"/>
      <c r="O617" s="91"/>
      <c r="P617" s="91"/>
      <c r="Q617" s="91"/>
      <c r="R617" s="91"/>
      <c r="S617" s="91"/>
    </row>
    <row r="618" spans="1:19" ht="15.75" customHeight="1" x14ac:dyDescent="0.25">
      <c r="A618" s="92"/>
      <c r="B618" s="93"/>
      <c r="C618" s="92"/>
      <c r="D618" s="92"/>
      <c r="E618" s="92"/>
      <c r="F618" s="92"/>
      <c r="G618" s="92"/>
      <c r="H618" s="91"/>
      <c r="I618" s="91"/>
      <c r="J618" s="91"/>
      <c r="K618" s="91"/>
      <c r="L618" s="91"/>
      <c r="M618" s="91"/>
      <c r="N618" s="91"/>
      <c r="O618" s="91"/>
      <c r="P618" s="91"/>
      <c r="Q618" s="91"/>
      <c r="R618" s="91"/>
      <c r="S618" s="91"/>
    </row>
    <row r="619" spans="1:19" ht="15.75" customHeight="1" x14ac:dyDescent="0.25">
      <c r="A619" s="92"/>
      <c r="B619" s="93"/>
      <c r="C619" s="92"/>
      <c r="D619" s="92"/>
      <c r="E619" s="92"/>
      <c r="F619" s="92"/>
      <c r="G619" s="92"/>
      <c r="H619" s="91"/>
      <c r="I619" s="91"/>
      <c r="J619" s="91"/>
      <c r="K619" s="91"/>
      <c r="L619" s="91"/>
      <c r="M619" s="91"/>
      <c r="N619" s="91"/>
      <c r="O619" s="91"/>
      <c r="P619" s="91"/>
      <c r="Q619" s="91"/>
      <c r="R619" s="91"/>
      <c r="S619" s="91"/>
    </row>
    <row r="620" spans="1:19" ht="15.75" customHeight="1" x14ac:dyDescent="0.25">
      <c r="A620" s="92"/>
      <c r="B620" s="93"/>
      <c r="C620" s="92"/>
      <c r="D620" s="92"/>
      <c r="E620" s="92"/>
      <c r="F620" s="92"/>
      <c r="G620" s="92"/>
      <c r="H620" s="91"/>
      <c r="I620" s="91"/>
      <c r="J620" s="91"/>
      <c r="K620" s="91"/>
      <c r="L620" s="91"/>
      <c r="M620" s="91"/>
      <c r="N620" s="91"/>
      <c r="O620" s="91"/>
      <c r="P620" s="91"/>
      <c r="Q620" s="91"/>
      <c r="R620" s="91"/>
      <c r="S620" s="91"/>
    </row>
    <row r="621" spans="1:19" ht="15.75" customHeight="1" x14ac:dyDescent="0.25">
      <c r="A621" s="92"/>
      <c r="B621" s="93"/>
      <c r="C621" s="92"/>
      <c r="D621" s="92"/>
      <c r="E621" s="92"/>
      <c r="F621" s="92"/>
      <c r="G621" s="92"/>
      <c r="H621" s="91"/>
      <c r="I621" s="91"/>
      <c r="J621" s="91"/>
      <c r="K621" s="91"/>
      <c r="L621" s="91"/>
      <c r="M621" s="91"/>
      <c r="N621" s="91"/>
      <c r="O621" s="91"/>
      <c r="P621" s="91"/>
      <c r="Q621" s="91"/>
      <c r="R621" s="91"/>
      <c r="S621" s="91"/>
    </row>
    <row r="622" spans="1:19" ht="15.75" customHeight="1" x14ac:dyDescent="0.25">
      <c r="A622" s="92"/>
      <c r="B622" s="93"/>
      <c r="C622" s="92"/>
      <c r="D622" s="92"/>
      <c r="E622" s="92"/>
      <c r="F622" s="92"/>
      <c r="G622" s="92"/>
      <c r="H622" s="91"/>
      <c r="I622" s="91"/>
      <c r="J622" s="91"/>
      <c r="K622" s="91"/>
      <c r="L622" s="91"/>
      <c r="M622" s="91"/>
      <c r="N622" s="91"/>
      <c r="O622" s="91"/>
      <c r="P622" s="91"/>
      <c r="Q622" s="91"/>
      <c r="R622" s="91"/>
      <c r="S622" s="91"/>
    </row>
    <row r="623" spans="1:19" ht="15.75" customHeight="1" x14ac:dyDescent="0.25">
      <c r="A623" s="92"/>
      <c r="B623" s="93"/>
      <c r="C623" s="92"/>
      <c r="D623" s="92"/>
      <c r="E623" s="92"/>
      <c r="F623" s="92"/>
      <c r="G623" s="92"/>
      <c r="H623" s="91"/>
      <c r="I623" s="91"/>
      <c r="J623" s="91"/>
      <c r="K623" s="91"/>
      <c r="L623" s="91"/>
      <c r="M623" s="91"/>
      <c r="N623" s="91"/>
      <c r="O623" s="91"/>
      <c r="P623" s="91"/>
      <c r="Q623" s="91"/>
      <c r="R623" s="91"/>
      <c r="S623" s="91"/>
    </row>
    <row r="624" spans="1:19" ht="15.75" customHeight="1" x14ac:dyDescent="0.25">
      <c r="A624" s="92"/>
      <c r="B624" s="93"/>
      <c r="C624" s="92"/>
      <c r="D624" s="92"/>
      <c r="E624" s="92"/>
      <c r="F624" s="92"/>
      <c r="G624" s="92"/>
      <c r="H624" s="91"/>
      <c r="I624" s="91"/>
      <c r="J624" s="91"/>
      <c r="K624" s="91"/>
      <c r="L624" s="91"/>
      <c r="M624" s="91"/>
      <c r="N624" s="91"/>
      <c r="O624" s="91"/>
      <c r="P624" s="91"/>
      <c r="Q624" s="91"/>
      <c r="R624" s="91"/>
      <c r="S624" s="91"/>
    </row>
    <row r="625" spans="1:19" ht="15.75" customHeight="1" x14ac:dyDescent="0.25">
      <c r="A625" s="92"/>
      <c r="B625" s="93"/>
      <c r="C625" s="92"/>
      <c r="D625" s="92"/>
      <c r="E625" s="92"/>
      <c r="F625" s="92"/>
      <c r="G625" s="92"/>
      <c r="H625" s="91"/>
      <c r="I625" s="91"/>
      <c r="J625" s="91"/>
      <c r="K625" s="91"/>
      <c r="L625" s="91"/>
      <c r="M625" s="91"/>
      <c r="N625" s="91"/>
      <c r="O625" s="91"/>
      <c r="P625" s="91"/>
      <c r="Q625" s="91"/>
      <c r="R625" s="91"/>
      <c r="S625" s="91"/>
    </row>
    <row r="626" spans="1:19" ht="15.75" customHeight="1" x14ac:dyDescent="0.25">
      <c r="A626" s="92"/>
      <c r="B626" s="93"/>
      <c r="C626" s="92"/>
      <c r="D626" s="92"/>
      <c r="E626" s="92"/>
      <c r="F626" s="92"/>
      <c r="G626" s="92"/>
      <c r="H626" s="91"/>
      <c r="I626" s="91"/>
      <c r="J626" s="91"/>
      <c r="K626" s="91"/>
      <c r="L626" s="91"/>
      <c r="M626" s="91"/>
      <c r="N626" s="91"/>
      <c r="O626" s="91"/>
      <c r="P626" s="91"/>
      <c r="Q626" s="91"/>
      <c r="R626" s="91"/>
      <c r="S626" s="91"/>
    </row>
    <row r="627" spans="1:19" ht="15.75" customHeight="1" x14ac:dyDescent="0.25">
      <c r="A627" s="92"/>
      <c r="B627" s="93"/>
      <c r="C627" s="92"/>
      <c r="D627" s="92"/>
      <c r="E627" s="92"/>
      <c r="F627" s="92"/>
      <c r="G627" s="92"/>
      <c r="H627" s="91"/>
      <c r="I627" s="91"/>
      <c r="J627" s="91"/>
      <c r="K627" s="91"/>
      <c r="L627" s="91"/>
      <c r="M627" s="91"/>
      <c r="N627" s="91"/>
      <c r="O627" s="91"/>
      <c r="P627" s="91"/>
      <c r="Q627" s="91"/>
      <c r="R627" s="91"/>
      <c r="S627" s="91"/>
    </row>
    <row r="628" spans="1:19" ht="15.75" customHeight="1" x14ac:dyDescent="0.25">
      <c r="A628" s="92"/>
      <c r="B628" s="93"/>
      <c r="C628" s="92"/>
      <c r="D628" s="92"/>
      <c r="E628" s="92"/>
      <c r="F628" s="92"/>
      <c r="G628" s="92"/>
      <c r="H628" s="91"/>
      <c r="I628" s="91"/>
      <c r="J628" s="91"/>
      <c r="K628" s="91"/>
      <c r="L628" s="91"/>
      <c r="M628" s="91"/>
      <c r="N628" s="91"/>
      <c r="O628" s="91"/>
      <c r="P628" s="91"/>
      <c r="Q628" s="91"/>
      <c r="R628" s="91"/>
      <c r="S628" s="91"/>
    </row>
    <row r="629" spans="1:19" ht="15.75" customHeight="1" x14ac:dyDescent="0.25">
      <c r="A629" s="92"/>
      <c r="B629" s="93"/>
      <c r="C629" s="92"/>
      <c r="D629" s="92"/>
      <c r="E629" s="92"/>
      <c r="F629" s="92"/>
      <c r="G629" s="92"/>
      <c r="H629" s="91"/>
      <c r="I629" s="91"/>
      <c r="J629" s="91"/>
      <c r="K629" s="91"/>
      <c r="L629" s="91"/>
      <c r="M629" s="91"/>
      <c r="N629" s="91"/>
      <c r="O629" s="91"/>
      <c r="P629" s="91"/>
      <c r="Q629" s="91"/>
      <c r="R629" s="91"/>
      <c r="S629" s="91"/>
    </row>
    <row r="630" spans="1:19" ht="15.75" customHeight="1" x14ac:dyDescent="0.25">
      <c r="A630" s="92"/>
      <c r="B630" s="93"/>
      <c r="C630" s="92"/>
      <c r="D630" s="92"/>
      <c r="E630" s="92"/>
      <c r="F630" s="92"/>
      <c r="G630" s="92"/>
      <c r="H630" s="91"/>
      <c r="I630" s="91"/>
      <c r="J630" s="91"/>
      <c r="K630" s="91"/>
      <c r="L630" s="91"/>
      <c r="M630" s="91"/>
      <c r="N630" s="91"/>
      <c r="O630" s="91"/>
      <c r="P630" s="91"/>
      <c r="Q630" s="91"/>
      <c r="R630" s="91"/>
      <c r="S630" s="91"/>
    </row>
    <row r="631" spans="1:19" ht="15.75" customHeight="1" x14ac:dyDescent="0.25">
      <c r="A631" s="92"/>
      <c r="B631" s="93"/>
      <c r="C631" s="92"/>
      <c r="D631" s="92"/>
      <c r="E631" s="92"/>
      <c r="F631" s="92"/>
      <c r="G631" s="92"/>
      <c r="H631" s="91"/>
      <c r="I631" s="91"/>
      <c r="J631" s="91"/>
      <c r="K631" s="91"/>
      <c r="L631" s="91"/>
      <c r="M631" s="91"/>
      <c r="N631" s="91"/>
      <c r="O631" s="91"/>
      <c r="P631" s="91"/>
      <c r="Q631" s="91"/>
      <c r="R631" s="91"/>
      <c r="S631" s="91"/>
    </row>
    <row r="632" spans="1:19" ht="15.75" customHeight="1" x14ac:dyDescent="0.25">
      <c r="A632" s="92"/>
      <c r="B632" s="93"/>
      <c r="C632" s="92"/>
      <c r="D632" s="92"/>
      <c r="E632" s="92"/>
      <c r="F632" s="92"/>
      <c r="G632" s="92"/>
      <c r="H632" s="91"/>
      <c r="I632" s="91"/>
      <c r="J632" s="91"/>
      <c r="K632" s="91"/>
      <c r="L632" s="91"/>
      <c r="M632" s="91"/>
      <c r="N632" s="91"/>
      <c r="O632" s="91"/>
      <c r="P632" s="91"/>
      <c r="Q632" s="91"/>
      <c r="R632" s="91"/>
      <c r="S632" s="91"/>
    </row>
    <row r="633" spans="1:19" ht="15.75" customHeight="1" x14ac:dyDescent="0.25">
      <c r="A633" s="92"/>
      <c r="B633" s="93"/>
      <c r="C633" s="92"/>
      <c r="D633" s="92"/>
      <c r="E633" s="92"/>
      <c r="F633" s="92"/>
      <c r="G633" s="92"/>
      <c r="H633" s="91"/>
      <c r="I633" s="91"/>
      <c r="J633" s="91"/>
      <c r="K633" s="91"/>
      <c r="L633" s="91"/>
      <c r="M633" s="91"/>
      <c r="N633" s="91"/>
      <c r="O633" s="91"/>
      <c r="P633" s="91"/>
      <c r="Q633" s="91"/>
      <c r="R633" s="91"/>
      <c r="S633" s="91"/>
    </row>
    <row r="634" spans="1:19" ht="15.75" customHeight="1" x14ac:dyDescent="0.25">
      <c r="A634" s="92"/>
      <c r="B634" s="93"/>
      <c r="C634" s="92"/>
      <c r="D634" s="92"/>
      <c r="E634" s="92"/>
      <c r="F634" s="92"/>
      <c r="G634" s="92"/>
      <c r="H634" s="91"/>
      <c r="I634" s="91"/>
      <c r="J634" s="91"/>
      <c r="K634" s="91"/>
      <c r="L634" s="91"/>
      <c r="M634" s="91"/>
      <c r="N634" s="91"/>
      <c r="O634" s="91"/>
      <c r="P634" s="91"/>
      <c r="Q634" s="91"/>
      <c r="R634" s="91"/>
      <c r="S634" s="91"/>
    </row>
    <row r="635" spans="1:19" ht="15.75" customHeight="1" x14ac:dyDescent="0.25">
      <c r="A635" s="92"/>
      <c r="B635" s="93"/>
      <c r="C635" s="92"/>
      <c r="D635" s="92"/>
      <c r="E635" s="92"/>
      <c r="F635" s="92"/>
      <c r="G635" s="92"/>
      <c r="H635" s="91"/>
      <c r="I635" s="91"/>
      <c r="J635" s="91"/>
      <c r="K635" s="91"/>
      <c r="L635" s="91"/>
      <c r="M635" s="91"/>
      <c r="N635" s="91"/>
      <c r="O635" s="91"/>
      <c r="P635" s="91"/>
      <c r="Q635" s="91"/>
      <c r="R635" s="91"/>
      <c r="S635" s="91"/>
    </row>
    <row r="636" spans="1:19" ht="15.75" customHeight="1" x14ac:dyDescent="0.25">
      <c r="A636" s="92"/>
      <c r="B636" s="93"/>
      <c r="C636" s="92"/>
      <c r="D636" s="92"/>
      <c r="E636" s="92"/>
      <c r="F636" s="92"/>
      <c r="G636" s="92"/>
      <c r="H636" s="91"/>
      <c r="I636" s="91"/>
      <c r="J636" s="91"/>
      <c r="K636" s="91"/>
      <c r="L636" s="91"/>
      <c r="M636" s="91"/>
      <c r="N636" s="91"/>
      <c r="O636" s="91"/>
      <c r="P636" s="91"/>
      <c r="Q636" s="91"/>
      <c r="R636" s="91"/>
      <c r="S636" s="91"/>
    </row>
    <row r="637" spans="1:19" ht="15.75" customHeight="1" x14ac:dyDescent="0.25">
      <c r="A637" s="92"/>
      <c r="B637" s="93"/>
      <c r="C637" s="92"/>
      <c r="D637" s="92"/>
      <c r="E637" s="92"/>
      <c r="F637" s="92"/>
      <c r="G637" s="92"/>
      <c r="H637" s="91"/>
      <c r="I637" s="91"/>
      <c r="J637" s="91"/>
      <c r="K637" s="91"/>
      <c r="L637" s="91"/>
      <c r="M637" s="91"/>
      <c r="N637" s="91"/>
      <c r="O637" s="91"/>
      <c r="P637" s="91"/>
      <c r="Q637" s="91"/>
      <c r="R637" s="91"/>
      <c r="S637" s="91"/>
    </row>
    <row r="638" spans="1:19" ht="15.75" customHeight="1" x14ac:dyDescent="0.25">
      <c r="A638" s="92"/>
      <c r="B638" s="93"/>
      <c r="C638" s="92"/>
      <c r="D638" s="92"/>
      <c r="E638" s="92"/>
      <c r="F638" s="92"/>
      <c r="G638" s="92"/>
      <c r="H638" s="91"/>
      <c r="I638" s="91"/>
      <c r="J638" s="91"/>
      <c r="K638" s="91"/>
      <c r="L638" s="91"/>
      <c r="M638" s="91"/>
      <c r="N638" s="91"/>
      <c r="O638" s="91"/>
      <c r="P638" s="91"/>
      <c r="Q638" s="91"/>
      <c r="R638" s="91"/>
      <c r="S638" s="91"/>
    </row>
    <row r="639" spans="1:19" ht="15.75" customHeight="1" x14ac:dyDescent="0.25">
      <c r="A639" s="92"/>
      <c r="B639" s="93"/>
      <c r="C639" s="92"/>
      <c r="D639" s="92"/>
      <c r="E639" s="92"/>
      <c r="F639" s="92"/>
      <c r="G639" s="92"/>
      <c r="H639" s="91"/>
      <c r="I639" s="91"/>
      <c r="J639" s="91"/>
      <c r="K639" s="91"/>
      <c r="L639" s="91"/>
      <c r="M639" s="91"/>
      <c r="N639" s="91"/>
      <c r="O639" s="91"/>
      <c r="P639" s="91"/>
      <c r="Q639" s="91"/>
      <c r="R639" s="91"/>
      <c r="S639" s="91"/>
    </row>
    <row r="640" spans="1:19" ht="15.75" customHeight="1" x14ac:dyDescent="0.25">
      <c r="A640" s="92"/>
      <c r="B640" s="93"/>
      <c r="C640" s="92"/>
      <c r="D640" s="92"/>
      <c r="E640" s="92"/>
      <c r="F640" s="92"/>
      <c r="G640" s="92"/>
      <c r="H640" s="91"/>
      <c r="I640" s="91"/>
      <c r="J640" s="91"/>
      <c r="K640" s="91"/>
      <c r="L640" s="91"/>
      <c r="M640" s="91"/>
      <c r="N640" s="91"/>
      <c r="O640" s="91"/>
      <c r="P640" s="91"/>
      <c r="Q640" s="91"/>
      <c r="R640" s="91"/>
      <c r="S640" s="91"/>
    </row>
    <row r="641" spans="1:19" ht="15.75" customHeight="1" x14ac:dyDescent="0.25">
      <c r="A641" s="92"/>
      <c r="B641" s="93"/>
      <c r="C641" s="92"/>
      <c r="D641" s="92"/>
      <c r="E641" s="92"/>
      <c r="F641" s="92"/>
      <c r="G641" s="92"/>
      <c r="H641" s="91"/>
      <c r="I641" s="91"/>
      <c r="J641" s="91"/>
      <c r="K641" s="91"/>
      <c r="L641" s="91"/>
      <c r="M641" s="91"/>
      <c r="N641" s="91"/>
      <c r="O641" s="91"/>
      <c r="P641" s="91"/>
      <c r="Q641" s="91"/>
      <c r="R641" s="91"/>
      <c r="S641" s="91"/>
    </row>
    <row r="642" spans="1:19" ht="15.75" customHeight="1" x14ac:dyDescent="0.25">
      <c r="A642" s="92"/>
      <c r="B642" s="93"/>
      <c r="C642" s="92"/>
      <c r="D642" s="92"/>
      <c r="E642" s="92"/>
      <c r="F642" s="92"/>
      <c r="G642" s="92"/>
      <c r="H642" s="91"/>
      <c r="I642" s="91"/>
      <c r="J642" s="91"/>
      <c r="K642" s="91"/>
      <c r="L642" s="91"/>
      <c r="M642" s="91"/>
      <c r="N642" s="91"/>
      <c r="O642" s="91"/>
      <c r="P642" s="91"/>
      <c r="Q642" s="91"/>
      <c r="R642" s="91"/>
      <c r="S642" s="91"/>
    </row>
    <row r="643" spans="1:19" ht="15.75" customHeight="1" x14ac:dyDescent="0.25">
      <c r="A643" s="92"/>
      <c r="B643" s="93"/>
      <c r="C643" s="92"/>
      <c r="D643" s="92"/>
      <c r="E643" s="92"/>
      <c r="F643" s="92"/>
      <c r="G643" s="92"/>
      <c r="H643" s="91"/>
      <c r="I643" s="91"/>
      <c r="J643" s="91"/>
      <c r="K643" s="91"/>
      <c r="L643" s="91"/>
      <c r="M643" s="91"/>
      <c r="N643" s="91"/>
      <c r="O643" s="91"/>
      <c r="P643" s="91"/>
      <c r="Q643" s="91"/>
      <c r="R643" s="91"/>
      <c r="S643" s="91"/>
    </row>
    <row r="644" spans="1:19" ht="15.75" customHeight="1" x14ac:dyDescent="0.25">
      <c r="A644" s="92"/>
      <c r="B644" s="93"/>
      <c r="C644" s="92"/>
      <c r="D644" s="92"/>
      <c r="E644" s="92"/>
      <c r="F644" s="92"/>
      <c r="G644" s="92"/>
      <c r="H644" s="91"/>
      <c r="I644" s="91"/>
      <c r="J644" s="91"/>
      <c r="K644" s="91"/>
      <c r="L644" s="91"/>
      <c r="M644" s="91"/>
      <c r="N644" s="91"/>
      <c r="O644" s="91"/>
      <c r="P644" s="91"/>
      <c r="Q644" s="91"/>
      <c r="R644" s="91"/>
      <c r="S644" s="91"/>
    </row>
    <row r="645" spans="1:19" ht="15.75" customHeight="1" x14ac:dyDescent="0.25">
      <c r="A645" s="92"/>
      <c r="B645" s="93"/>
      <c r="C645" s="92"/>
      <c r="D645" s="92"/>
      <c r="E645" s="92"/>
      <c r="F645" s="92"/>
      <c r="G645" s="92"/>
      <c r="H645" s="91"/>
      <c r="I645" s="91"/>
      <c r="J645" s="91"/>
      <c r="K645" s="91"/>
      <c r="L645" s="91"/>
      <c r="M645" s="91"/>
      <c r="N645" s="91"/>
      <c r="O645" s="91"/>
      <c r="P645" s="91"/>
      <c r="Q645" s="91"/>
      <c r="R645" s="91"/>
      <c r="S645" s="91"/>
    </row>
    <row r="646" spans="1:19" ht="15.75" customHeight="1" x14ac:dyDescent="0.25">
      <c r="A646" s="92"/>
      <c r="B646" s="93"/>
      <c r="C646" s="92"/>
      <c r="D646" s="92"/>
      <c r="E646" s="92"/>
      <c r="F646" s="92"/>
      <c r="G646" s="92"/>
      <c r="H646" s="91"/>
      <c r="I646" s="91"/>
      <c r="J646" s="91"/>
      <c r="K646" s="91"/>
      <c r="L646" s="91"/>
      <c r="M646" s="91"/>
      <c r="N646" s="91"/>
      <c r="O646" s="91"/>
      <c r="P646" s="91"/>
      <c r="Q646" s="91"/>
      <c r="R646" s="91"/>
      <c r="S646" s="91"/>
    </row>
    <row r="647" spans="1:19" ht="15.75" customHeight="1" x14ac:dyDescent="0.25">
      <c r="A647" s="92"/>
      <c r="B647" s="93"/>
      <c r="C647" s="92"/>
      <c r="D647" s="92"/>
      <c r="E647" s="92"/>
      <c r="F647" s="92"/>
      <c r="G647" s="92"/>
      <c r="H647" s="91"/>
      <c r="I647" s="91"/>
      <c r="J647" s="91"/>
      <c r="K647" s="91"/>
      <c r="L647" s="91"/>
      <c r="M647" s="91"/>
      <c r="N647" s="91"/>
      <c r="O647" s="91"/>
      <c r="P647" s="91"/>
      <c r="Q647" s="91"/>
      <c r="R647" s="91"/>
      <c r="S647" s="91"/>
    </row>
    <row r="648" spans="1:19" ht="15.75" customHeight="1" x14ac:dyDescent="0.25">
      <c r="A648" s="92"/>
      <c r="B648" s="93"/>
      <c r="C648" s="92"/>
      <c r="D648" s="92"/>
      <c r="E648" s="92"/>
      <c r="F648" s="92"/>
      <c r="G648" s="92"/>
      <c r="H648" s="91"/>
      <c r="I648" s="91"/>
      <c r="J648" s="91"/>
      <c r="K648" s="91"/>
      <c r="L648" s="91"/>
      <c r="M648" s="91"/>
      <c r="N648" s="91"/>
      <c r="O648" s="91"/>
      <c r="P648" s="91"/>
      <c r="Q648" s="91"/>
      <c r="R648" s="91"/>
      <c r="S648" s="91"/>
    </row>
    <row r="649" spans="1:19" ht="15.75" customHeight="1" x14ac:dyDescent="0.25">
      <c r="A649" s="92"/>
      <c r="B649" s="93"/>
      <c r="C649" s="92"/>
      <c r="D649" s="92"/>
      <c r="E649" s="92"/>
      <c r="F649" s="92"/>
      <c r="G649" s="92"/>
      <c r="H649" s="91"/>
      <c r="I649" s="91"/>
      <c r="J649" s="91"/>
      <c r="K649" s="91"/>
      <c r="L649" s="91"/>
      <c r="M649" s="91"/>
      <c r="N649" s="91"/>
      <c r="O649" s="91"/>
      <c r="P649" s="91"/>
      <c r="Q649" s="91"/>
      <c r="R649" s="91"/>
      <c r="S649" s="91"/>
    </row>
    <row r="650" spans="1:19" ht="15.75" customHeight="1" x14ac:dyDescent="0.25">
      <c r="A650" s="92"/>
      <c r="B650" s="93"/>
      <c r="C650" s="92"/>
      <c r="D650" s="92"/>
      <c r="E650" s="92"/>
      <c r="F650" s="92"/>
      <c r="G650" s="92"/>
      <c r="H650" s="91"/>
      <c r="I650" s="91"/>
      <c r="J650" s="91"/>
      <c r="K650" s="91"/>
      <c r="L650" s="91"/>
      <c r="M650" s="91"/>
      <c r="N650" s="91"/>
      <c r="O650" s="91"/>
      <c r="P650" s="91"/>
      <c r="Q650" s="91"/>
      <c r="R650" s="91"/>
      <c r="S650" s="91"/>
    </row>
    <row r="651" spans="1:19" ht="15.75" customHeight="1" x14ac:dyDescent="0.25">
      <c r="A651" s="92"/>
      <c r="B651" s="93"/>
      <c r="C651" s="92"/>
      <c r="D651" s="92"/>
      <c r="E651" s="92"/>
      <c r="F651" s="92"/>
      <c r="G651" s="92"/>
      <c r="H651" s="91"/>
      <c r="I651" s="91"/>
      <c r="J651" s="91"/>
      <c r="K651" s="91"/>
      <c r="L651" s="91"/>
      <c r="M651" s="91"/>
      <c r="N651" s="91"/>
      <c r="O651" s="91"/>
      <c r="P651" s="91"/>
      <c r="Q651" s="91"/>
      <c r="R651" s="91"/>
      <c r="S651" s="91"/>
    </row>
    <row r="652" spans="1:19" ht="15.75" customHeight="1" x14ac:dyDescent="0.25">
      <c r="A652" s="92"/>
      <c r="B652" s="93"/>
      <c r="C652" s="92"/>
      <c r="D652" s="92"/>
      <c r="E652" s="92"/>
      <c r="F652" s="92"/>
      <c r="G652" s="92"/>
      <c r="H652" s="91"/>
      <c r="I652" s="91"/>
      <c r="J652" s="91"/>
      <c r="K652" s="91"/>
      <c r="L652" s="91"/>
      <c r="M652" s="91"/>
      <c r="N652" s="91"/>
      <c r="O652" s="91"/>
      <c r="P652" s="91"/>
      <c r="Q652" s="91"/>
      <c r="R652" s="91"/>
      <c r="S652" s="91"/>
    </row>
    <row r="653" spans="1:19" ht="15.75" customHeight="1" x14ac:dyDescent="0.25">
      <c r="A653" s="92"/>
      <c r="B653" s="93"/>
      <c r="C653" s="92"/>
      <c r="D653" s="92"/>
      <c r="E653" s="92"/>
      <c r="F653" s="92"/>
      <c r="G653" s="92"/>
      <c r="H653" s="91"/>
      <c r="I653" s="91"/>
      <c r="J653" s="91"/>
      <c r="K653" s="91"/>
      <c r="L653" s="91"/>
      <c r="M653" s="91"/>
      <c r="N653" s="91"/>
      <c r="O653" s="91"/>
      <c r="P653" s="91"/>
      <c r="Q653" s="91"/>
      <c r="R653" s="91"/>
      <c r="S653" s="91"/>
    </row>
    <row r="654" spans="1:19" ht="15.75" customHeight="1" x14ac:dyDescent="0.25">
      <c r="A654" s="92"/>
      <c r="B654" s="93"/>
      <c r="C654" s="92"/>
      <c r="D654" s="92"/>
      <c r="E654" s="92"/>
      <c r="F654" s="92"/>
      <c r="G654" s="92"/>
      <c r="H654" s="91"/>
      <c r="I654" s="91"/>
      <c r="J654" s="91"/>
      <c r="K654" s="91"/>
      <c r="L654" s="91"/>
      <c r="M654" s="91"/>
      <c r="N654" s="91"/>
      <c r="O654" s="91"/>
      <c r="P654" s="91"/>
      <c r="Q654" s="91"/>
      <c r="R654" s="91"/>
      <c r="S654" s="91"/>
    </row>
    <row r="655" spans="1:19" ht="15.75" customHeight="1" x14ac:dyDescent="0.25">
      <c r="A655" s="92"/>
      <c r="B655" s="93"/>
      <c r="C655" s="92"/>
      <c r="D655" s="92"/>
      <c r="E655" s="92"/>
      <c r="F655" s="92"/>
      <c r="G655" s="92"/>
      <c r="H655" s="91"/>
      <c r="I655" s="91"/>
      <c r="J655" s="91"/>
      <c r="K655" s="91"/>
      <c r="L655" s="91"/>
      <c r="M655" s="91"/>
      <c r="N655" s="91"/>
      <c r="O655" s="91"/>
      <c r="P655" s="91"/>
      <c r="Q655" s="91"/>
      <c r="R655" s="91"/>
      <c r="S655" s="91"/>
    </row>
    <row r="656" spans="1:19" ht="15.75" customHeight="1" x14ac:dyDescent="0.25">
      <c r="A656" s="92"/>
      <c r="B656" s="93"/>
      <c r="C656" s="92"/>
      <c r="D656" s="92"/>
      <c r="E656" s="92"/>
      <c r="F656" s="92"/>
      <c r="G656" s="92"/>
      <c r="H656" s="91"/>
      <c r="I656" s="91"/>
      <c r="J656" s="91"/>
      <c r="K656" s="91"/>
      <c r="L656" s="91"/>
      <c r="M656" s="91"/>
      <c r="N656" s="91"/>
      <c r="O656" s="91"/>
      <c r="P656" s="91"/>
      <c r="Q656" s="91"/>
      <c r="R656" s="91"/>
      <c r="S656" s="91"/>
    </row>
    <row r="657" spans="1:19" ht="15.75" customHeight="1" x14ac:dyDescent="0.25">
      <c r="A657" s="92"/>
      <c r="B657" s="93"/>
      <c r="C657" s="92"/>
      <c r="D657" s="92"/>
      <c r="E657" s="92"/>
      <c r="F657" s="92"/>
      <c r="G657" s="92"/>
      <c r="H657" s="91"/>
      <c r="I657" s="91"/>
      <c r="J657" s="91"/>
      <c r="K657" s="91"/>
      <c r="L657" s="91"/>
      <c r="M657" s="91"/>
      <c r="N657" s="91"/>
      <c r="O657" s="91"/>
      <c r="P657" s="91"/>
      <c r="Q657" s="91"/>
      <c r="R657" s="91"/>
      <c r="S657" s="91"/>
    </row>
    <row r="658" spans="1:19" ht="15.75" customHeight="1" x14ac:dyDescent="0.25">
      <c r="A658" s="92"/>
      <c r="B658" s="93"/>
      <c r="C658" s="92"/>
      <c r="D658" s="92"/>
      <c r="E658" s="92"/>
      <c r="F658" s="92"/>
      <c r="G658" s="92"/>
      <c r="H658" s="91"/>
      <c r="I658" s="91"/>
      <c r="J658" s="91"/>
      <c r="K658" s="91"/>
      <c r="L658" s="91"/>
      <c r="M658" s="91"/>
      <c r="N658" s="91"/>
      <c r="O658" s="91"/>
      <c r="P658" s="91"/>
      <c r="Q658" s="91"/>
      <c r="R658" s="91"/>
      <c r="S658" s="91"/>
    </row>
    <row r="659" spans="1:19" ht="15.75" customHeight="1" x14ac:dyDescent="0.25">
      <c r="A659" s="92"/>
      <c r="B659" s="93"/>
      <c r="C659" s="92"/>
      <c r="D659" s="92"/>
      <c r="E659" s="92"/>
      <c r="F659" s="92"/>
      <c r="G659" s="92"/>
      <c r="H659" s="91"/>
      <c r="I659" s="91"/>
      <c r="J659" s="91"/>
      <c r="K659" s="91"/>
      <c r="L659" s="91"/>
      <c r="M659" s="91"/>
      <c r="N659" s="91"/>
      <c r="O659" s="91"/>
      <c r="P659" s="91"/>
      <c r="Q659" s="91"/>
      <c r="R659" s="91"/>
      <c r="S659" s="91"/>
    </row>
    <row r="660" spans="1:19" ht="15.75" customHeight="1" x14ac:dyDescent="0.25">
      <c r="A660" s="92"/>
      <c r="B660" s="93"/>
      <c r="C660" s="92"/>
      <c r="D660" s="92"/>
      <c r="E660" s="92"/>
      <c r="F660" s="92"/>
      <c r="G660" s="92"/>
      <c r="H660" s="91"/>
      <c r="I660" s="91"/>
      <c r="J660" s="91"/>
      <c r="K660" s="91"/>
      <c r="L660" s="91"/>
      <c r="M660" s="91"/>
      <c r="N660" s="91"/>
      <c r="O660" s="91"/>
      <c r="P660" s="91"/>
      <c r="Q660" s="91"/>
      <c r="R660" s="91"/>
      <c r="S660" s="91"/>
    </row>
    <row r="661" spans="1:19" ht="15.75" customHeight="1" x14ac:dyDescent="0.25">
      <c r="A661" s="92"/>
      <c r="B661" s="93"/>
      <c r="C661" s="92"/>
      <c r="D661" s="92"/>
      <c r="E661" s="92"/>
      <c r="F661" s="92"/>
      <c r="G661" s="92"/>
      <c r="H661" s="91"/>
      <c r="I661" s="91"/>
      <c r="J661" s="91"/>
      <c r="K661" s="91"/>
      <c r="L661" s="91"/>
      <c r="M661" s="91"/>
      <c r="N661" s="91"/>
      <c r="O661" s="91"/>
      <c r="P661" s="91"/>
      <c r="Q661" s="91"/>
      <c r="R661" s="91"/>
      <c r="S661" s="91"/>
    </row>
    <row r="662" spans="1:19" ht="15.75" customHeight="1" x14ac:dyDescent="0.25">
      <c r="A662" s="92"/>
      <c r="B662" s="93"/>
      <c r="C662" s="92"/>
      <c r="D662" s="92"/>
      <c r="E662" s="92"/>
      <c r="F662" s="92"/>
      <c r="G662" s="92"/>
      <c r="H662" s="91"/>
      <c r="I662" s="91"/>
      <c r="J662" s="91"/>
      <c r="K662" s="91"/>
      <c r="L662" s="91"/>
      <c r="M662" s="91"/>
      <c r="N662" s="91"/>
      <c r="O662" s="91"/>
      <c r="P662" s="91"/>
      <c r="Q662" s="91"/>
      <c r="R662" s="91"/>
      <c r="S662" s="91"/>
    </row>
    <row r="663" spans="1:19" ht="15.75" customHeight="1" x14ac:dyDescent="0.25">
      <c r="A663" s="92"/>
      <c r="B663" s="93"/>
      <c r="C663" s="92"/>
      <c r="D663" s="92"/>
      <c r="E663" s="92"/>
      <c r="F663" s="92"/>
      <c r="G663" s="92"/>
      <c r="H663" s="91"/>
      <c r="I663" s="91"/>
      <c r="J663" s="91"/>
      <c r="K663" s="91"/>
      <c r="L663" s="91"/>
      <c r="M663" s="91"/>
      <c r="N663" s="91"/>
      <c r="O663" s="91"/>
      <c r="P663" s="91"/>
      <c r="Q663" s="91"/>
      <c r="R663" s="91"/>
      <c r="S663" s="91"/>
    </row>
    <row r="664" spans="1:19" ht="15.75" customHeight="1" x14ac:dyDescent="0.25">
      <c r="A664" s="92"/>
      <c r="B664" s="93"/>
      <c r="C664" s="92"/>
      <c r="D664" s="92"/>
      <c r="E664" s="92"/>
      <c r="F664" s="92"/>
      <c r="G664" s="92"/>
      <c r="H664" s="91"/>
      <c r="I664" s="91"/>
      <c r="J664" s="91"/>
      <c r="K664" s="91"/>
      <c r="L664" s="91"/>
      <c r="M664" s="91"/>
      <c r="N664" s="91"/>
      <c r="O664" s="91"/>
      <c r="P664" s="91"/>
      <c r="Q664" s="91"/>
      <c r="R664" s="91"/>
      <c r="S664" s="91"/>
    </row>
    <row r="665" spans="1:19" ht="15.75" customHeight="1" x14ac:dyDescent="0.25">
      <c r="A665" s="92"/>
      <c r="B665" s="93"/>
      <c r="C665" s="92"/>
      <c r="D665" s="92"/>
      <c r="E665" s="92"/>
      <c r="F665" s="92"/>
      <c r="G665" s="92"/>
      <c r="H665" s="91"/>
      <c r="I665" s="91"/>
      <c r="J665" s="91"/>
      <c r="K665" s="91"/>
      <c r="L665" s="91"/>
      <c r="M665" s="91"/>
      <c r="N665" s="91"/>
      <c r="O665" s="91"/>
      <c r="P665" s="91"/>
      <c r="Q665" s="91"/>
      <c r="R665" s="91"/>
      <c r="S665" s="91"/>
    </row>
    <row r="666" spans="1:19" ht="15.75" customHeight="1" x14ac:dyDescent="0.25">
      <c r="A666" s="92"/>
      <c r="B666" s="93"/>
      <c r="C666" s="92"/>
      <c r="D666" s="92"/>
      <c r="E666" s="92"/>
      <c r="F666" s="92"/>
      <c r="G666" s="92"/>
      <c r="H666" s="91"/>
      <c r="I666" s="91"/>
      <c r="J666" s="91"/>
      <c r="K666" s="91"/>
      <c r="L666" s="91"/>
      <c r="M666" s="91"/>
      <c r="N666" s="91"/>
      <c r="O666" s="91"/>
      <c r="P666" s="91"/>
      <c r="Q666" s="91"/>
      <c r="R666" s="91"/>
      <c r="S666" s="91"/>
    </row>
    <row r="667" spans="1:19" ht="15.75" customHeight="1" x14ac:dyDescent="0.25">
      <c r="A667" s="92"/>
      <c r="B667" s="93"/>
      <c r="C667" s="92"/>
      <c r="D667" s="92"/>
      <c r="E667" s="92"/>
      <c r="F667" s="92"/>
      <c r="G667" s="92"/>
      <c r="H667" s="91"/>
      <c r="I667" s="91"/>
      <c r="J667" s="91"/>
      <c r="K667" s="91"/>
      <c r="L667" s="91"/>
      <c r="M667" s="91"/>
      <c r="N667" s="91"/>
      <c r="O667" s="91"/>
      <c r="P667" s="91"/>
      <c r="Q667" s="91"/>
      <c r="R667" s="91"/>
      <c r="S667" s="91"/>
    </row>
    <row r="668" spans="1:19" ht="15.75" customHeight="1" x14ac:dyDescent="0.25">
      <c r="A668" s="92"/>
      <c r="B668" s="93"/>
      <c r="C668" s="92"/>
      <c r="D668" s="92"/>
      <c r="E668" s="92"/>
      <c r="F668" s="92"/>
      <c r="G668" s="92"/>
      <c r="H668" s="91"/>
      <c r="I668" s="91"/>
      <c r="J668" s="91"/>
      <c r="K668" s="91"/>
      <c r="L668" s="91"/>
      <c r="M668" s="91"/>
      <c r="N668" s="91"/>
      <c r="O668" s="91"/>
      <c r="P668" s="91"/>
      <c r="Q668" s="91"/>
      <c r="R668" s="91"/>
      <c r="S668" s="91"/>
    </row>
    <row r="669" spans="1:19" ht="15.75" customHeight="1" x14ac:dyDescent="0.25">
      <c r="A669" s="92"/>
      <c r="B669" s="93"/>
      <c r="C669" s="92"/>
      <c r="D669" s="92"/>
      <c r="E669" s="92"/>
      <c r="F669" s="92"/>
      <c r="G669" s="92"/>
      <c r="H669" s="91"/>
      <c r="I669" s="91"/>
      <c r="J669" s="91"/>
      <c r="K669" s="91"/>
      <c r="L669" s="91"/>
      <c r="M669" s="91"/>
      <c r="N669" s="91"/>
      <c r="O669" s="91"/>
      <c r="P669" s="91"/>
      <c r="Q669" s="91"/>
      <c r="R669" s="91"/>
      <c r="S669" s="91"/>
    </row>
    <row r="670" spans="1:19" ht="15.75" customHeight="1" x14ac:dyDescent="0.25">
      <c r="A670" s="92"/>
      <c r="B670" s="93"/>
      <c r="C670" s="92"/>
      <c r="D670" s="92"/>
      <c r="E670" s="92"/>
      <c r="F670" s="92"/>
      <c r="G670" s="92"/>
      <c r="H670" s="91"/>
      <c r="I670" s="91"/>
      <c r="J670" s="91"/>
      <c r="K670" s="91"/>
      <c r="L670" s="91"/>
      <c r="M670" s="91"/>
      <c r="N670" s="91"/>
      <c r="O670" s="91"/>
      <c r="P670" s="91"/>
      <c r="Q670" s="91"/>
      <c r="R670" s="91"/>
      <c r="S670" s="91"/>
    </row>
    <row r="671" spans="1:19" ht="15.75" customHeight="1" x14ac:dyDescent="0.25">
      <c r="A671" s="92"/>
      <c r="B671" s="93"/>
      <c r="C671" s="92"/>
      <c r="D671" s="92"/>
      <c r="E671" s="92"/>
      <c r="F671" s="92"/>
      <c r="G671" s="92"/>
      <c r="H671" s="91"/>
      <c r="I671" s="91"/>
      <c r="J671" s="91"/>
      <c r="K671" s="91"/>
      <c r="L671" s="91"/>
      <c r="M671" s="91"/>
      <c r="N671" s="91"/>
      <c r="O671" s="91"/>
      <c r="P671" s="91"/>
      <c r="Q671" s="91"/>
      <c r="R671" s="91"/>
      <c r="S671" s="91"/>
    </row>
    <row r="672" spans="1:19" ht="15.75" customHeight="1" x14ac:dyDescent="0.25">
      <c r="A672" s="92"/>
      <c r="B672" s="93"/>
      <c r="C672" s="92"/>
      <c r="D672" s="92"/>
      <c r="E672" s="92"/>
      <c r="F672" s="92"/>
      <c r="G672" s="92"/>
      <c r="H672" s="91"/>
      <c r="I672" s="91"/>
      <c r="J672" s="91"/>
      <c r="K672" s="91"/>
      <c r="L672" s="91"/>
      <c r="M672" s="91"/>
      <c r="N672" s="91"/>
      <c r="O672" s="91"/>
      <c r="P672" s="91"/>
      <c r="Q672" s="91"/>
      <c r="R672" s="91"/>
      <c r="S672" s="91"/>
    </row>
    <row r="673" spans="1:19" ht="15.75" customHeight="1" x14ac:dyDescent="0.25">
      <c r="A673" s="92"/>
      <c r="B673" s="93"/>
      <c r="C673" s="92"/>
      <c r="D673" s="92"/>
      <c r="E673" s="92"/>
      <c r="F673" s="92"/>
      <c r="G673" s="92"/>
      <c r="H673" s="91"/>
      <c r="I673" s="91"/>
      <c r="J673" s="91"/>
      <c r="K673" s="91"/>
      <c r="L673" s="91"/>
      <c r="M673" s="91"/>
      <c r="N673" s="91"/>
      <c r="O673" s="91"/>
      <c r="P673" s="91"/>
      <c r="Q673" s="91"/>
      <c r="R673" s="91"/>
      <c r="S673" s="91"/>
    </row>
    <row r="674" spans="1:19" ht="15.75" customHeight="1" x14ac:dyDescent="0.25">
      <c r="A674" s="92"/>
      <c r="B674" s="93"/>
      <c r="C674" s="92"/>
      <c r="D674" s="92"/>
      <c r="E674" s="92"/>
      <c r="F674" s="92"/>
      <c r="G674" s="92"/>
      <c r="H674" s="91"/>
      <c r="I674" s="91"/>
      <c r="J674" s="91"/>
      <c r="K674" s="91"/>
      <c r="L674" s="91"/>
      <c r="M674" s="91"/>
      <c r="N674" s="91"/>
      <c r="O674" s="91"/>
      <c r="P674" s="91"/>
      <c r="Q674" s="91"/>
      <c r="R674" s="91"/>
      <c r="S674" s="91"/>
    </row>
    <row r="675" spans="1:19" ht="15.75" customHeight="1" x14ac:dyDescent="0.25">
      <c r="A675" s="92"/>
      <c r="B675" s="93"/>
      <c r="C675" s="92"/>
      <c r="D675" s="92"/>
      <c r="E675" s="92"/>
      <c r="F675" s="92"/>
      <c r="G675" s="92"/>
      <c r="H675" s="91"/>
      <c r="I675" s="91"/>
      <c r="J675" s="91"/>
      <c r="K675" s="91"/>
      <c r="L675" s="91"/>
      <c r="M675" s="91"/>
      <c r="N675" s="91"/>
      <c r="O675" s="91"/>
      <c r="P675" s="91"/>
      <c r="Q675" s="91"/>
      <c r="R675" s="91"/>
      <c r="S675" s="91"/>
    </row>
    <row r="676" spans="1:19" ht="15.75" customHeight="1" x14ac:dyDescent="0.25">
      <c r="A676" s="92"/>
      <c r="B676" s="93"/>
      <c r="C676" s="92"/>
      <c r="D676" s="92"/>
      <c r="E676" s="92"/>
      <c r="F676" s="92"/>
      <c r="G676" s="92"/>
      <c r="H676" s="91"/>
      <c r="I676" s="91"/>
      <c r="J676" s="91"/>
      <c r="K676" s="91"/>
      <c r="L676" s="91"/>
      <c r="M676" s="91"/>
      <c r="N676" s="91"/>
      <c r="O676" s="91"/>
      <c r="P676" s="91"/>
      <c r="Q676" s="91"/>
      <c r="R676" s="91"/>
      <c r="S676" s="91"/>
    </row>
    <row r="677" spans="1:19" ht="15.75" customHeight="1" x14ac:dyDescent="0.25">
      <c r="A677" s="92"/>
      <c r="B677" s="93"/>
      <c r="C677" s="92"/>
      <c r="D677" s="92"/>
      <c r="E677" s="92"/>
      <c r="F677" s="92"/>
      <c r="G677" s="92"/>
      <c r="H677" s="91"/>
      <c r="I677" s="91"/>
      <c r="J677" s="91"/>
      <c r="K677" s="91"/>
      <c r="L677" s="91"/>
      <c r="M677" s="91"/>
      <c r="N677" s="91"/>
      <c r="O677" s="91"/>
      <c r="P677" s="91"/>
      <c r="Q677" s="91"/>
      <c r="R677" s="91"/>
      <c r="S677" s="91"/>
    </row>
    <row r="678" spans="1:19" ht="15.75" customHeight="1" x14ac:dyDescent="0.25">
      <c r="A678" s="92"/>
      <c r="B678" s="93"/>
      <c r="C678" s="92"/>
      <c r="D678" s="92"/>
      <c r="E678" s="92"/>
      <c r="F678" s="92"/>
      <c r="G678" s="92"/>
      <c r="H678" s="91"/>
      <c r="I678" s="91"/>
      <c r="J678" s="91"/>
      <c r="K678" s="91"/>
      <c r="L678" s="91"/>
      <c r="M678" s="91"/>
      <c r="N678" s="91"/>
      <c r="O678" s="91"/>
      <c r="P678" s="91"/>
      <c r="Q678" s="91"/>
      <c r="R678" s="91"/>
      <c r="S678" s="91"/>
    </row>
    <row r="679" spans="1:19" ht="15.75" customHeight="1" x14ac:dyDescent="0.25">
      <c r="A679" s="92"/>
      <c r="B679" s="93"/>
      <c r="C679" s="92"/>
      <c r="D679" s="92"/>
      <c r="E679" s="92"/>
      <c r="F679" s="92"/>
      <c r="G679" s="92"/>
      <c r="H679" s="91"/>
      <c r="I679" s="91"/>
      <c r="J679" s="91"/>
      <c r="K679" s="91"/>
      <c r="L679" s="91"/>
      <c r="M679" s="91"/>
      <c r="N679" s="91"/>
      <c r="O679" s="91"/>
      <c r="P679" s="91"/>
      <c r="Q679" s="91"/>
      <c r="R679" s="91"/>
      <c r="S679" s="91"/>
    </row>
    <row r="680" spans="1:19" ht="15.75" customHeight="1" x14ac:dyDescent="0.25">
      <c r="A680" s="92"/>
      <c r="B680" s="93"/>
      <c r="C680" s="92"/>
      <c r="D680" s="92"/>
      <c r="E680" s="92"/>
      <c r="F680" s="92"/>
      <c r="G680" s="92"/>
      <c r="H680" s="91"/>
      <c r="I680" s="91"/>
      <c r="J680" s="91"/>
      <c r="K680" s="91"/>
      <c r="L680" s="91"/>
      <c r="M680" s="91"/>
      <c r="N680" s="91"/>
      <c r="O680" s="91"/>
      <c r="P680" s="91"/>
      <c r="Q680" s="91"/>
      <c r="R680" s="91"/>
      <c r="S680" s="91"/>
    </row>
    <row r="681" spans="1:19" ht="15.75" customHeight="1" x14ac:dyDescent="0.25">
      <c r="A681" s="92"/>
      <c r="B681" s="93"/>
      <c r="C681" s="92"/>
      <c r="D681" s="92"/>
      <c r="E681" s="92"/>
      <c r="F681" s="92"/>
      <c r="G681" s="92"/>
      <c r="H681" s="91"/>
      <c r="I681" s="91"/>
      <c r="J681" s="91"/>
      <c r="K681" s="91"/>
      <c r="L681" s="91"/>
      <c r="M681" s="91"/>
      <c r="N681" s="91"/>
      <c r="O681" s="91"/>
      <c r="P681" s="91"/>
      <c r="Q681" s="91"/>
      <c r="R681" s="91"/>
      <c r="S681" s="91"/>
    </row>
    <row r="682" spans="1:19" ht="15.75" customHeight="1" x14ac:dyDescent="0.25">
      <c r="A682" s="92"/>
      <c r="B682" s="93"/>
      <c r="C682" s="92"/>
      <c r="D682" s="92"/>
      <c r="E682" s="92"/>
      <c r="F682" s="92"/>
      <c r="G682" s="92"/>
      <c r="H682" s="91"/>
      <c r="I682" s="91"/>
      <c r="J682" s="91"/>
      <c r="K682" s="91"/>
      <c r="L682" s="91"/>
      <c r="M682" s="91"/>
      <c r="N682" s="91"/>
      <c r="O682" s="91"/>
      <c r="P682" s="91"/>
      <c r="Q682" s="91"/>
      <c r="R682" s="91"/>
      <c r="S682" s="91"/>
    </row>
    <row r="683" spans="1:19" ht="15.75" customHeight="1" x14ac:dyDescent="0.25">
      <c r="A683" s="92"/>
      <c r="B683" s="93"/>
      <c r="C683" s="92"/>
      <c r="D683" s="92"/>
      <c r="E683" s="92"/>
      <c r="F683" s="92"/>
      <c r="G683" s="92"/>
      <c r="H683" s="91"/>
      <c r="I683" s="91"/>
      <c r="J683" s="91"/>
      <c r="K683" s="91"/>
      <c r="L683" s="91"/>
      <c r="M683" s="91"/>
      <c r="N683" s="91"/>
      <c r="O683" s="91"/>
      <c r="P683" s="91"/>
      <c r="Q683" s="91"/>
      <c r="R683" s="91"/>
      <c r="S683" s="91"/>
    </row>
    <row r="684" spans="1:19" ht="15.75" customHeight="1" x14ac:dyDescent="0.25">
      <c r="A684" s="92"/>
      <c r="B684" s="93"/>
      <c r="C684" s="92"/>
      <c r="D684" s="92"/>
      <c r="E684" s="92"/>
      <c r="F684" s="92"/>
      <c r="G684" s="92"/>
      <c r="H684" s="91"/>
      <c r="I684" s="91"/>
      <c r="J684" s="91"/>
      <c r="K684" s="91"/>
      <c r="L684" s="91"/>
      <c r="M684" s="91"/>
      <c r="N684" s="91"/>
      <c r="O684" s="91"/>
      <c r="P684" s="91"/>
      <c r="Q684" s="91"/>
      <c r="R684" s="91"/>
      <c r="S684" s="91"/>
    </row>
    <row r="685" spans="1:19" ht="15.75" customHeight="1" x14ac:dyDescent="0.25">
      <c r="A685" s="92"/>
      <c r="B685" s="93"/>
      <c r="C685" s="92"/>
      <c r="D685" s="92"/>
      <c r="E685" s="92"/>
      <c r="F685" s="92"/>
      <c r="G685" s="92"/>
      <c r="H685" s="91"/>
      <c r="I685" s="91"/>
      <c r="J685" s="91"/>
      <c r="K685" s="91"/>
      <c r="L685" s="91"/>
      <c r="M685" s="91"/>
      <c r="N685" s="91"/>
      <c r="O685" s="91"/>
      <c r="P685" s="91"/>
      <c r="Q685" s="91"/>
      <c r="R685" s="91"/>
      <c r="S685" s="91"/>
    </row>
    <row r="686" spans="1:19" ht="15.75" customHeight="1" x14ac:dyDescent="0.25">
      <c r="A686" s="92"/>
      <c r="B686" s="93"/>
      <c r="C686" s="92"/>
      <c r="D686" s="92"/>
      <c r="E686" s="92"/>
      <c r="F686" s="92"/>
      <c r="G686" s="92"/>
      <c r="H686" s="91"/>
      <c r="I686" s="91"/>
      <c r="J686" s="91"/>
      <c r="K686" s="91"/>
      <c r="L686" s="91"/>
      <c r="M686" s="91"/>
      <c r="N686" s="91"/>
      <c r="O686" s="91"/>
      <c r="P686" s="91"/>
      <c r="Q686" s="91"/>
      <c r="R686" s="91"/>
      <c r="S686" s="91"/>
    </row>
    <row r="687" spans="1:19" ht="15.75" customHeight="1" x14ac:dyDescent="0.25">
      <c r="A687" s="92"/>
      <c r="B687" s="93"/>
      <c r="C687" s="92"/>
      <c r="D687" s="92"/>
      <c r="E687" s="92"/>
      <c r="F687" s="92"/>
      <c r="G687" s="92"/>
      <c r="H687" s="91"/>
      <c r="I687" s="91"/>
      <c r="J687" s="91"/>
      <c r="K687" s="91"/>
      <c r="L687" s="91"/>
      <c r="M687" s="91"/>
      <c r="N687" s="91"/>
      <c r="O687" s="91"/>
      <c r="P687" s="91"/>
      <c r="Q687" s="91"/>
      <c r="R687" s="91"/>
      <c r="S687" s="91"/>
    </row>
    <row r="688" spans="1:19" ht="15.75" customHeight="1" x14ac:dyDescent="0.25">
      <c r="A688" s="92"/>
      <c r="B688" s="93"/>
      <c r="C688" s="92"/>
      <c r="D688" s="92"/>
      <c r="E688" s="92"/>
      <c r="F688" s="92"/>
      <c r="G688" s="92"/>
      <c r="H688" s="91"/>
      <c r="I688" s="91"/>
      <c r="J688" s="91"/>
      <c r="K688" s="91"/>
      <c r="L688" s="91"/>
      <c r="M688" s="91"/>
      <c r="N688" s="91"/>
      <c r="O688" s="91"/>
      <c r="P688" s="91"/>
      <c r="Q688" s="91"/>
      <c r="R688" s="91"/>
      <c r="S688" s="91"/>
    </row>
    <row r="689" spans="1:19" ht="15.75" customHeight="1" x14ac:dyDescent="0.25">
      <c r="A689" s="92"/>
      <c r="B689" s="93"/>
      <c r="C689" s="92"/>
      <c r="D689" s="92"/>
      <c r="E689" s="92"/>
      <c r="F689" s="92"/>
      <c r="G689" s="92"/>
      <c r="H689" s="91"/>
      <c r="I689" s="91"/>
      <c r="J689" s="91"/>
      <c r="K689" s="91"/>
      <c r="L689" s="91"/>
      <c r="M689" s="91"/>
      <c r="N689" s="91"/>
      <c r="O689" s="91"/>
      <c r="P689" s="91"/>
      <c r="Q689" s="91"/>
      <c r="R689" s="91"/>
      <c r="S689" s="91"/>
    </row>
    <row r="690" spans="1:19" ht="15.75" customHeight="1" x14ac:dyDescent="0.25">
      <c r="A690" s="92"/>
      <c r="B690" s="93"/>
      <c r="C690" s="92"/>
      <c r="D690" s="92"/>
      <c r="E690" s="92"/>
      <c r="F690" s="92"/>
      <c r="G690" s="92"/>
      <c r="H690" s="91"/>
      <c r="I690" s="91"/>
      <c r="J690" s="91"/>
      <c r="K690" s="91"/>
      <c r="L690" s="91"/>
      <c r="M690" s="91"/>
      <c r="N690" s="91"/>
      <c r="O690" s="91"/>
      <c r="P690" s="91"/>
      <c r="Q690" s="91"/>
      <c r="R690" s="91"/>
      <c r="S690" s="91"/>
    </row>
    <row r="691" spans="1:19" ht="15.75" customHeight="1" x14ac:dyDescent="0.25">
      <c r="A691" s="92"/>
      <c r="B691" s="93"/>
      <c r="C691" s="92"/>
      <c r="D691" s="92"/>
      <c r="E691" s="92"/>
      <c r="F691" s="92"/>
      <c r="G691" s="92"/>
      <c r="H691" s="91"/>
      <c r="I691" s="91"/>
      <c r="J691" s="91"/>
      <c r="K691" s="91"/>
      <c r="L691" s="91"/>
      <c r="M691" s="91"/>
      <c r="N691" s="91"/>
      <c r="O691" s="91"/>
      <c r="P691" s="91"/>
      <c r="Q691" s="91"/>
      <c r="R691" s="91"/>
      <c r="S691" s="91"/>
    </row>
    <row r="692" spans="1:19" ht="15.75" customHeight="1" x14ac:dyDescent="0.25">
      <c r="A692" s="92"/>
      <c r="B692" s="93"/>
      <c r="C692" s="92"/>
      <c r="D692" s="92"/>
      <c r="E692" s="92"/>
      <c r="F692" s="92"/>
      <c r="G692" s="92"/>
      <c r="H692" s="91"/>
      <c r="I692" s="91"/>
      <c r="J692" s="91"/>
      <c r="K692" s="91"/>
      <c r="L692" s="91"/>
      <c r="M692" s="91"/>
      <c r="N692" s="91"/>
      <c r="O692" s="91"/>
      <c r="P692" s="91"/>
      <c r="Q692" s="91"/>
      <c r="R692" s="91"/>
      <c r="S692" s="91"/>
    </row>
    <row r="693" spans="1:19" ht="15.75" customHeight="1" x14ac:dyDescent="0.25">
      <c r="A693" s="92"/>
      <c r="B693" s="93"/>
      <c r="C693" s="92"/>
      <c r="D693" s="92"/>
      <c r="E693" s="92"/>
      <c r="F693" s="92"/>
      <c r="G693" s="92"/>
      <c r="H693" s="91"/>
      <c r="I693" s="91"/>
      <c r="J693" s="91"/>
      <c r="K693" s="91"/>
      <c r="L693" s="91"/>
      <c r="M693" s="91"/>
      <c r="N693" s="91"/>
      <c r="O693" s="91"/>
      <c r="P693" s="91"/>
      <c r="Q693" s="91"/>
      <c r="R693" s="91"/>
      <c r="S693" s="91"/>
    </row>
    <row r="694" spans="1:19" ht="15.75" customHeight="1" x14ac:dyDescent="0.25">
      <c r="A694" s="92"/>
      <c r="B694" s="93"/>
      <c r="C694" s="92"/>
      <c r="D694" s="92"/>
      <c r="E694" s="92"/>
      <c r="F694" s="92"/>
      <c r="G694" s="92"/>
      <c r="H694" s="91"/>
      <c r="I694" s="91"/>
      <c r="J694" s="91"/>
      <c r="K694" s="91"/>
      <c r="L694" s="91"/>
      <c r="M694" s="91"/>
      <c r="N694" s="91"/>
      <c r="O694" s="91"/>
      <c r="P694" s="91"/>
      <c r="Q694" s="91"/>
      <c r="R694" s="91"/>
      <c r="S694" s="91"/>
    </row>
    <row r="695" spans="1:19" ht="15.75" customHeight="1" x14ac:dyDescent="0.25">
      <c r="A695" s="92"/>
      <c r="B695" s="93"/>
      <c r="C695" s="92"/>
      <c r="D695" s="92"/>
      <c r="E695" s="92"/>
      <c r="F695" s="92"/>
      <c r="G695" s="92"/>
      <c r="H695" s="91"/>
      <c r="I695" s="91"/>
      <c r="J695" s="91"/>
      <c r="K695" s="91"/>
      <c r="L695" s="91"/>
      <c r="M695" s="91"/>
      <c r="N695" s="91"/>
      <c r="O695" s="91"/>
      <c r="P695" s="91"/>
      <c r="Q695" s="91"/>
      <c r="R695" s="91"/>
      <c r="S695" s="91"/>
    </row>
    <row r="696" spans="1:19" ht="15.75" customHeight="1" x14ac:dyDescent="0.25">
      <c r="A696" s="92"/>
      <c r="B696" s="93"/>
      <c r="C696" s="92"/>
      <c r="D696" s="92"/>
      <c r="E696" s="92"/>
      <c r="F696" s="92"/>
      <c r="G696" s="92"/>
      <c r="H696" s="91"/>
      <c r="I696" s="91"/>
      <c r="J696" s="91"/>
      <c r="K696" s="91"/>
      <c r="L696" s="91"/>
      <c r="M696" s="91"/>
      <c r="N696" s="91"/>
      <c r="O696" s="91"/>
      <c r="P696" s="91"/>
      <c r="Q696" s="91"/>
      <c r="R696" s="91"/>
      <c r="S696" s="91"/>
    </row>
    <row r="697" spans="1:19" ht="15.75" customHeight="1" x14ac:dyDescent="0.25">
      <c r="A697" s="92"/>
      <c r="B697" s="93"/>
      <c r="C697" s="92"/>
      <c r="D697" s="92"/>
      <c r="E697" s="92"/>
      <c r="F697" s="92"/>
      <c r="G697" s="92"/>
      <c r="H697" s="91"/>
      <c r="I697" s="91"/>
      <c r="J697" s="91"/>
      <c r="K697" s="91"/>
      <c r="L697" s="91"/>
      <c r="M697" s="91"/>
      <c r="N697" s="91"/>
      <c r="O697" s="91"/>
      <c r="P697" s="91"/>
      <c r="Q697" s="91"/>
      <c r="R697" s="91"/>
      <c r="S697" s="91"/>
    </row>
    <row r="698" spans="1:19" ht="15.75" customHeight="1" x14ac:dyDescent="0.25">
      <c r="A698" s="92"/>
      <c r="B698" s="93"/>
      <c r="C698" s="92"/>
      <c r="D698" s="92"/>
      <c r="E698" s="92"/>
      <c r="F698" s="92"/>
      <c r="G698" s="92"/>
      <c r="H698" s="91"/>
      <c r="I698" s="91"/>
      <c r="J698" s="91"/>
      <c r="K698" s="91"/>
      <c r="L698" s="91"/>
      <c r="M698" s="91"/>
      <c r="N698" s="91"/>
      <c r="O698" s="91"/>
      <c r="P698" s="91"/>
      <c r="Q698" s="91"/>
      <c r="R698" s="91"/>
      <c r="S698" s="91"/>
    </row>
    <row r="699" spans="1:19" ht="15.75" customHeight="1" x14ac:dyDescent="0.25">
      <c r="A699" s="92"/>
      <c r="B699" s="93"/>
      <c r="C699" s="92"/>
      <c r="D699" s="92"/>
      <c r="E699" s="92"/>
      <c r="F699" s="92"/>
      <c r="G699" s="92"/>
      <c r="H699" s="91"/>
      <c r="I699" s="91"/>
      <c r="J699" s="91"/>
      <c r="K699" s="91"/>
      <c r="L699" s="91"/>
      <c r="M699" s="91"/>
      <c r="N699" s="91"/>
      <c r="O699" s="91"/>
      <c r="P699" s="91"/>
      <c r="Q699" s="91"/>
      <c r="R699" s="91"/>
      <c r="S699" s="91"/>
    </row>
    <row r="700" spans="1:19" ht="15.75" customHeight="1" x14ac:dyDescent="0.25">
      <c r="A700" s="92"/>
      <c r="B700" s="93"/>
      <c r="C700" s="92"/>
      <c r="D700" s="92"/>
      <c r="E700" s="92"/>
      <c r="F700" s="92"/>
      <c r="G700" s="92"/>
      <c r="H700" s="91"/>
      <c r="I700" s="91"/>
      <c r="J700" s="91"/>
      <c r="K700" s="91"/>
      <c r="L700" s="91"/>
      <c r="M700" s="91"/>
      <c r="N700" s="91"/>
      <c r="O700" s="91"/>
      <c r="P700" s="91"/>
      <c r="Q700" s="91"/>
      <c r="R700" s="91"/>
      <c r="S700" s="91"/>
    </row>
    <row r="701" spans="1:19" ht="15.75" customHeight="1" x14ac:dyDescent="0.25">
      <c r="A701" s="92"/>
      <c r="B701" s="93"/>
      <c r="C701" s="92"/>
      <c r="D701" s="92"/>
      <c r="E701" s="92"/>
      <c r="F701" s="92"/>
      <c r="G701" s="92"/>
      <c r="H701" s="91"/>
      <c r="I701" s="91"/>
      <c r="J701" s="91"/>
      <c r="K701" s="91"/>
      <c r="L701" s="91"/>
      <c r="M701" s="91"/>
      <c r="N701" s="91"/>
      <c r="O701" s="91"/>
      <c r="P701" s="91"/>
      <c r="Q701" s="91"/>
      <c r="R701" s="91"/>
      <c r="S701" s="91"/>
    </row>
    <row r="702" spans="1:19" ht="15.75" customHeight="1" x14ac:dyDescent="0.25">
      <c r="A702" s="92"/>
      <c r="B702" s="93"/>
      <c r="C702" s="92"/>
      <c r="D702" s="92"/>
      <c r="E702" s="92"/>
      <c r="F702" s="92"/>
      <c r="G702" s="92"/>
      <c r="H702" s="91"/>
      <c r="I702" s="91"/>
      <c r="J702" s="91"/>
      <c r="K702" s="91"/>
      <c r="L702" s="91"/>
      <c r="M702" s="91"/>
      <c r="N702" s="91"/>
      <c r="O702" s="91"/>
      <c r="P702" s="91"/>
      <c r="Q702" s="91"/>
      <c r="R702" s="91"/>
      <c r="S702" s="91"/>
    </row>
    <row r="703" spans="1:19" ht="15.75" customHeight="1" x14ac:dyDescent="0.25">
      <c r="A703" s="92"/>
      <c r="B703" s="93"/>
      <c r="C703" s="92"/>
      <c r="D703" s="92"/>
      <c r="E703" s="92"/>
      <c r="F703" s="92"/>
      <c r="G703" s="92"/>
      <c r="H703" s="91"/>
      <c r="I703" s="91"/>
      <c r="J703" s="91"/>
      <c r="K703" s="91"/>
      <c r="L703" s="91"/>
      <c r="M703" s="91"/>
      <c r="N703" s="91"/>
      <c r="O703" s="91"/>
      <c r="P703" s="91"/>
      <c r="Q703" s="91"/>
      <c r="R703" s="91"/>
      <c r="S703" s="91"/>
    </row>
    <row r="704" spans="1:19" ht="15.75" customHeight="1" x14ac:dyDescent="0.25">
      <c r="A704" s="92"/>
      <c r="B704" s="93"/>
      <c r="C704" s="92"/>
      <c r="D704" s="92"/>
      <c r="E704" s="92"/>
      <c r="F704" s="92"/>
      <c r="G704" s="92"/>
      <c r="H704" s="91"/>
      <c r="I704" s="91"/>
      <c r="J704" s="91"/>
      <c r="K704" s="91"/>
      <c r="L704" s="91"/>
      <c r="M704" s="91"/>
      <c r="N704" s="91"/>
      <c r="O704" s="91"/>
      <c r="P704" s="91"/>
      <c r="Q704" s="91"/>
      <c r="R704" s="91"/>
      <c r="S704" s="91"/>
    </row>
    <row r="705" spans="1:19" ht="15.75" customHeight="1" x14ac:dyDescent="0.25">
      <c r="A705" s="92"/>
      <c r="B705" s="93"/>
      <c r="C705" s="92"/>
      <c r="D705" s="92"/>
      <c r="E705" s="92"/>
      <c r="F705" s="92"/>
      <c r="G705" s="92"/>
      <c r="H705" s="91"/>
      <c r="I705" s="91"/>
      <c r="J705" s="91"/>
      <c r="K705" s="91"/>
      <c r="L705" s="91"/>
      <c r="M705" s="91"/>
      <c r="N705" s="91"/>
      <c r="O705" s="91"/>
      <c r="P705" s="91"/>
      <c r="Q705" s="91"/>
      <c r="R705" s="91"/>
      <c r="S705" s="91"/>
    </row>
    <row r="706" spans="1:19" ht="15.75" customHeight="1" x14ac:dyDescent="0.25">
      <c r="A706" s="92"/>
      <c r="B706" s="93"/>
      <c r="C706" s="92"/>
      <c r="D706" s="92"/>
      <c r="E706" s="92"/>
      <c r="F706" s="92"/>
      <c r="G706" s="92"/>
      <c r="H706" s="91"/>
      <c r="I706" s="91"/>
      <c r="J706" s="91"/>
      <c r="K706" s="91"/>
      <c r="L706" s="91"/>
      <c r="M706" s="91"/>
      <c r="N706" s="91"/>
      <c r="O706" s="91"/>
      <c r="P706" s="91"/>
      <c r="Q706" s="91"/>
      <c r="R706" s="91"/>
      <c r="S706" s="91"/>
    </row>
    <row r="707" spans="1:19" ht="15.75" customHeight="1" x14ac:dyDescent="0.25">
      <c r="A707" s="92"/>
      <c r="B707" s="93"/>
      <c r="C707" s="92"/>
      <c r="D707" s="92"/>
      <c r="E707" s="92"/>
      <c r="F707" s="92"/>
      <c r="G707" s="92"/>
      <c r="H707" s="91"/>
      <c r="I707" s="91"/>
      <c r="J707" s="91"/>
      <c r="K707" s="91"/>
      <c r="L707" s="91"/>
      <c r="M707" s="91"/>
      <c r="N707" s="91"/>
      <c r="O707" s="91"/>
      <c r="P707" s="91"/>
      <c r="Q707" s="91"/>
      <c r="R707" s="91"/>
      <c r="S707" s="91"/>
    </row>
    <row r="708" spans="1:19" ht="15.75" customHeight="1" x14ac:dyDescent="0.25">
      <c r="A708" s="92"/>
      <c r="B708" s="93"/>
      <c r="C708" s="92"/>
      <c r="D708" s="92"/>
      <c r="E708" s="92"/>
      <c r="F708" s="92"/>
      <c r="G708" s="92"/>
      <c r="H708" s="91"/>
      <c r="I708" s="91"/>
      <c r="J708" s="91"/>
      <c r="K708" s="91"/>
      <c r="L708" s="91"/>
      <c r="M708" s="91"/>
      <c r="N708" s="91"/>
      <c r="O708" s="91"/>
      <c r="P708" s="91"/>
      <c r="Q708" s="91"/>
      <c r="R708" s="91"/>
      <c r="S708" s="91"/>
    </row>
    <row r="709" spans="1:19" ht="15.75" customHeight="1" x14ac:dyDescent="0.25">
      <c r="A709" s="92"/>
      <c r="B709" s="93"/>
      <c r="C709" s="92"/>
      <c r="D709" s="92"/>
      <c r="E709" s="92"/>
      <c r="F709" s="92"/>
      <c r="G709" s="92"/>
      <c r="H709" s="91"/>
      <c r="I709" s="91"/>
      <c r="J709" s="91"/>
      <c r="K709" s="91"/>
      <c r="L709" s="91"/>
      <c r="M709" s="91"/>
      <c r="N709" s="91"/>
      <c r="O709" s="91"/>
      <c r="P709" s="91"/>
      <c r="Q709" s="91"/>
      <c r="R709" s="91"/>
      <c r="S709" s="91"/>
    </row>
    <row r="710" spans="1:19" ht="15.75" customHeight="1" x14ac:dyDescent="0.25">
      <c r="A710" s="92"/>
      <c r="B710" s="93"/>
      <c r="C710" s="92"/>
      <c r="D710" s="92"/>
      <c r="E710" s="92"/>
      <c r="F710" s="92"/>
      <c r="G710" s="92"/>
      <c r="H710" s="91"/>
      <c r="I710" s="91"/>
      <c r="J710" s="91"/>
      <c r="K710" s="91"/>
      <c r="L710" s="91"/>
      <c r="M710" s="91"/>
      <c r="N710" s="91"/>
      <c r="O710" s="91"/>
      <c r="P710" s="91"/>
      <c r="Q710" s="91"/>
      <c r="R710" s="91"/>
      <c r="S710" s="91"/>
    </row>
    <row r="711" spans="1:19" ht="15.75" customHeight="1" x14ac:dyDescent="0.25">
      <c r="A711" s="92"/>
      <c r="B711" s="93"/>
      <c r="C711" s="92"/>
      <c r="D711" s="92"/>
      <c r="E711" s="92"/>
      <c r="F711" s="92"/>
      <c r="G711" s="92"/>
      <c r="H711" s="91"/>
      <c r="I711" s="91"/>
      <c r="J711" s="91"/>
      <c r="K711" s="91"/>
      <c r="L711" s="91"/>
      <c r="M711" s="91"/>
      <c r="N711" s="91"/>
      <c r="O711" s="91"/>
      <c r="P711" s="91"/>
      <c r="Q711" s="91"/>
      <c r="R711" s="91"/>
      <c r="S711" s="91"/>
    </row>
    <row r="712" spans="1:19" ht="15.75" customHeight="1" x14ac:dyDescent="0.25">
      <c r="A712" s="92"/>
      <c r="B712" s="93"/>
      <c r="C712" s="92"/>
      <c r="D712" s="92"/>
      <c r="E712" s="92"/>
      <c r="F712" s="92"/>
      <c r="G712" s="92"/>
      <c r="H712" s="91"/>
      <c r="I712" s="91"/>
      <c r="J712" s="91"/>
      <c r="K712" s="91"/>
      <c r="L712" s="91"/>
      <c r="M712" s="91"/>
      <c r="N712" s="91"/>
      <c r="O712" s="91"/>
      <c r="P712" s="91"/>
      <c r="Q712" s="91"/>
      <c r="R712" s="91"/>
      <c r="S712" s="91"/>
    </row>
    <row r="713" spans="1:19" ht="15.75" customHeight="1" x14ac:dyDescent="0.25">
      <c r="A713" s="92"/>
      <c r="B713" s="93"/>
      <c r="C713" s="92"/>
      <c r="D713" s="92"/>
      <c r="E713" s="92"/>
      <c r="F713" s="92"/>
      <c r="G713" s="92"/>
      <c r="H713" s="91"/>
      <c r="I713" s="91"/>
      <c r="J713" s="91"/>
      <c r="K713" s="91"/>
      <c r="L713" s="91"/>
      <c r="M713" s="91"/>
      <c r="N713" s="91"/>
      <c r="O713" s="91"/>
      <c r="P713" s="91"/>
      <c r="Q713" s="91"/>
      <c r="R713" s="91"/>
      <c r="S713" s="91"/>
    </row>
    <row r="714" spans="1:19" ht="15.75" customHeight="1" x14ac:dyDescent="0.25">
      <c r="A714" s="92"/>
      <c r="B714" s="93"/>
      <c r="C714" s="92"/>
      <c r="D714" s="92"/>
      <c r="E714" s="92"/>
      <c r="F714" s="92"/>
      <c r="G714" s="92"/>
      <c r="H714" s="91"/>
      <c r="I714" s="91"/>
      <c r="J714" s="91"/>
      <c r="K714" s="91"/>
      <c r="L714" s="91"/>
      <c r="M714" s="91"/>
      <c r="N714" s="91"/>
      <c r="O714" s="91"/>
      <c r="P714" s="91"/>
      <c r="Q714" s="91"/>
      <c r="R714" s="91"/>
      <c r="S714" s="91"/>
    </row>
    <row r="715" spans="1:19" ht="15.75" customHeight="1" x14ac:dyDescent="0.25">
      <c r="A715" s="92"/>
      <c r="B715" s="93"/>
      <c r="C715" s="92"/>
      <c r="D715" s="92"/>
      <c r="E715" s="92"/>
      <c r="F715" s="92"/>
      <c r="G715" s="92"/>
      <c r="H715" s="91"/>
      <c r="I715" s="91"/>
      <c r="J715" s="91"/>
      <c r="K715" s="91"/>
      <c r="L715" s="91"/>
      <c r="M715" s="91"/>
      <c r="N715" s="91"/>
      <c r="O715" s="91"/>
      <c r="P715" s="91"/>
      <c r="Q715" s="91"/>
      <c r="R715" s="91"/>
      <c r="S715" s="91"/>
    </row>
    <row r="716" spans="1:19" ht="15.75" customHeight="1" x14ac:dyDescent="0.25">
      <c r="A716" s="92"/>
      <c r="B716" s="93"/>
      <c r="C716" s="92"/>
      <c r="D716" s="92"/>
      <c r="E716" s="92"/>
      <c r="F716" s="92"/>
      <c r="G716" s="92"/>
      <c r="H716" s="91"/>
      <c r="I716" s="91"/>
      <c r="J716" s="91"/>
      <c r="K716" s="91"/>
      <c r="L716" s="91"/>
      <c r="M716" s="91"/>
      <c r="N716" s="91"/>
      <c r="O716" s="91"/>
      <c r="P716" s="91"/>
      <c r="Q716" s="91"/>
      <c r="R716" s="91"/>
      <c r="S716" s="91"/>
    </row>
    <row r="717" spans="1:19" ht="15.75" customHeight="1" x14ac:dyDescent="0.25">
      <c r="A717" s="92"/>
      <c r="B717" s="93"/>
      <c r="C717" s="92"/>
      <c r="D717" s="92"/>
      <c r="E717" s="92"/>
      <c r="F717" s="92"/>
      <c r="G717" s="92"/>
      <c r="H717" s="91"/>
      <c r="I717" s="91"/>
      <c r="J717" s="91"/>
      <c r="K717" s="91"/>
      <c r="L717" s="91"/>
      <c r="M717" s="91"/>
      <c r="N717" s="91"/>
      <c r="O717" s="91"/>
      <c r="P717" s="91"/>
      <c r="Q717" s="91"/>
      <c r="R717" s="91"/>
      <c r="S717" s="91"/>
    </row>
    <row r="718" spans="1:19" ht="15.75" customHeight="1" x14ac:dyDescent="0.25">
      <c r="A718" s="92"/>
      <c r="B718" s="93"/>
      <c r="C718" s="92"/>
      <c r="D718" s="92"/>
      <c r="E718" s="92"/>
      <c r="F718" s="92"/>
      <c r="G718" s="92"/>
      <c r="H718" s="91"/>
      <c r="I718" s="91"/>
      <c r="J718" s="91"/>
      <c r="K718" s="91"/>
      <c r="L718" s="91"/>
      <c r="M718" s="91"/>
      <c r="N718" s="91"/>
      <c r="O718" s="91"/>
      <c r="P718" s="91"/>
      <c r="Q718" s="91"/>
      <c r="R718" s="91"/>
      <c r="S718" s="91"/>
    </row>
    <row r="719" spans="1:19" ht="15.75" customHeight="1" x14ac:dyDescent="0.25">
      <c r="A719" s="92"/>
      <c r="B719" s="93"/>
      <c r="C719" s="92"/>
      <c r="D719" s="92"/>
      <c r="E719" s="92"/>
      <c r="F719" s="92"/>
      <c r="G719" s="92"/>
      <c r="H719" s="91"/>
      <c r="I719" s="91"/>
      <c r="J719" s="91"/>
      <c r="K719" s="91"/>
      <c r="L719" s="91"/>
      <c r="M719" s="91"/>
      <c r="N719" s="91"/>
      <c r="O719" s="91"/>
      <c r="P719" s="91"/>
      <c r="Q719" s="91"/>
      <c r="R719" s="91"/>
      <c r="S719" s="91"/>
    </row>
    <row r="720" spans="1:19" ht="15.75" customHeight="1" x14ac:dyDescent="0.25">
      <c r="A720" s="92"/>
      <c r="B720" s="93"/>
      <c r="C720" s="92"/>
      <c r="D720" s="92"/>
      <c r="E720" s="92"/>
      <c r="F720" s="92"/>
      <c r="G720" s="92"/>
      <c r="H720" s="91"/>
      <c r="I720" s="91"/>
      <c r="J720" s="91"/>
      <c r="K720" s="91"/>
      <c r="L720" s="91"/>
      <c r="M720" s="91"/>
      <c r="N720" s="91"/>
      <c r="O720" s="91"/>
      <c r="P720" s="91"/>
      <c r="Q720" s="91"/>
      <c r="R720" s="91"/>
      <c r="S720" s="91"/>
    </row>
    <row r="721" spans="1:19" ht="15.75" customHeight="1" x14ac:dyDescent="0.25">
      <c r="A721" s="92"/>
      <c r="B721" s="93"/>
      <c r="C721" s="92"/>
      <c r="D721" s="92"/>
      <c r="E721" s="92"/>
      <c r="F721" s="92"/>
      <c r="G721" s="92"/>
      <c r="H721" s="91"/>
      <c r="I721" s="91"/>
      <c r="J721" s="91"/>
      <c r="K721" s="91"/>
      <c r="L721" s="91"/>
      <c r="M721" s="91"/>
      <c r="N721" s="91"/>
      <c r="O721" s="91"/>
      <c r="P721" s="91"/>
      <c r="Q721" s="91"/>
      <c r="R721" s="91"/>
      <c r="S721" s="91"/>
    </row>
    <row r="722" spans="1:19" ht="15.75" customHeight="1" x14ac:dyDescent="0.25">
      <c r="A722" s="92"/>
      <c r="B722" s="93"/>
      <c r="C722" s="92"/>
      <c r="D722" s="92"/>
      <c r="E722" s="92"/>
      <c r="F722" s="92"/>
      <c r="G722" s="92"/>
      <c r="H722" s="91"/>
      <c r="I722" s="91"/>
      <c r="J722" s="91"/>
      <c r="K722" s="91"/>
      <c r="L722" s="91"/>
      <c r="M722" s="91"/>
      <c r="N722" s="91"/>
      <c r="O722" s="91"/>
      <c r="P722" s="91"/>
      <c r="Q722" s="91"/>
      <c r="R722" s="91"/>
      <c r="S722" s="91"/>
    </row>
    <row r="723" spans="1:19" ht="15.75" customHeight="1" x14ac:dyDescent="0.25">
      <c r="A723" s="92"/>
      <c r="B723" s="93"/>
      <c r="C723" s="92"/>
      <c r="D723" s="92"/>
      <c r="E723" s="92"/>
      <c r="F723" s="92"/>
      <c r="G723" s="92"/>
      <c r="H723" s="91"/>
      <c r="I723" s="91"/>
      <c r="J723" s="91"/>
      <c r="K723" s="91"/>
      <c r="L723" s="91"/>
      <c r="M723" s="91"/>
      <c r="N723" s="91"/>
      <c r="O723" s="91"/>
      <c r="P723" s="91"/>
      <c r="Q723" s="91"/>
      <c r="R723" s="91"/>
      <c r="S723" s="91"/>
    </row>
    <row r="724" spans="1:19" ht="15.75" customHeight="1" x14ac:dyDescent="0.25">
      <c r="A724" s="92"/>
      <c r="B724" s="93"/>
      <c r="C724" s="92"/>
      <c r="D724" s="92"/>
      <c r="E724" s="92"/>
      <c r="F724" s="92"/>
      <c r="G724" s="92"/>
      <c r="H724" s="91"/>
      <c r="I724" s="91"/>
      <c r="J724" s="91"/>
      <c r="K724" s="91"/>
      <c r="L724" s="91"/>
      <c r="M724" s="91"/>
      <c r="N724" s="91"/>
      <c r="O724" s="91"/>
      <c r="P724" s="91"/>
      <c r="Q724" s="91"/>
      <c r="R724" s="91"/>
      <c r="S724" s="91"/>
    </row>
    <row r="725" spans="1:19" ht="15.75" customHeight="1" x14ac:dyDescent="0.25">
      <c r="A725" s="92"/>
      <c r="B725" s="93"/>
      <c r="C725" s="92"/>
      <c r="D725" s="92"/>
      <c r="E725" s="92"/>
      <c r="F725" s="92"/>
      <c r="G725" s="92"/>
      <c r="H725" s="91"/>
      <c r="I725" s="91"/>
      <c r="J725" s="91"/>
      <c r="K725" s="91"/>
      <c r="L725" s="91"/>
      <c r="M725" s="91"/>
      <c r="N725" s="91"/>
      <c r="O725" s="91"/>
      <c r="P725" s="91"/>
      <c r="Q725" s="91"/>
      <c r="R725" s="91"/>
      <c r="S725" s="91"/>
    </row>
    <row r="726" spans="1:19" ht="15.75" customHeight="1" x14ac:dyDescent="0.25">
      <c r="A726" s="92"/>
      <c r="B726" s="93"/>
      <c r="C726" s="92"/>
      <c r="D726" s="92"/>
      <c r="E726" s="92"/>
      <c r="F726" s="92"/>
      <c r="G726" s="92"/>
      <c r="H726" s="91"/>
      <c r="I726" s="91"/>
      <c r="J726" s="91"/>
      <c r="K726" s="91"/>
      <c r="L726" s="91"/>
      <c r="M726" s="91"/>
      <c r="N726" s="91"/>
      <c r="O726" s="91"/>
      <c r="P726" s="91"/>
      <c r="Q726" s="91"/>
      <c r="R726" s="91"/>
      <c r="S726" s="91"/>
    </row>
    <row r="727" spans="1:19" ht="15.75" customHeight="1" x14ac:dyDescent="0.25">
      <c r="A727" s="92"/>
      <c r="B727" s="93"/>
      <c r="C727" s="92"/>
      <c r="D727" s="92"/>
      <c r="E727" s="92"/>
      <c r="F727" s="92"/>
      <c r="G727" s="92"/>
      <c r="H727" s="91"/>
      <c r="I727" s="91"/>
      <c r="J727" s="91"/>
      <c r="K727" s="91"/>
      <c r="L727" s="91"/>
      <c r="M727" s="91"/>
      <c r="N727" s="91"/>
      <c r="O727" s="91"/>
      <c r="P727" s="91"/>
      <c r="Q727" s="91"/>
      <c r="R727" s="91"/>
      <c r="S727" s="91"/>
    </row>
    <row r="728" spans="1:19" ht="15.75" customHeight="1" x14ac:dyDescent="0.25">
      <c r="A728" s="92"/>
      <c r="B728" s="93"/>
      <c r="C728" s="92"/>
      <c r="D728" s="92"/>
      <c r="E728" s="92"/>
      <c r="F728" s="92"/>
      <c r="G728" s="92"/>
      <c r="H728" s="91"/>
      <c r="I728" s="91"/>
      <c r="J728" s="91"/>
      <c r="K728" s="91"/>
      <c r="L728" s="91"/>
      <c r="M728" s="91"/>
      <c r="N728" s="91"/>
      <c r="O728" s="91"/>
      <c r="P728" s="91"/>
      <c r="Q728" s="91"/>
      <c r="R728" s="91"/>
      <c r="S728" s="91"/>
    </row>
    <row r="729" spans="1:19" ht="15.75" customHeight="1" x14ac:dyDescent="0.25">
      <c r="A729" s="92"/>
      <c r="B729" s="93"/>
      <c r="C729" s="92"/>
      <c r="D729" s="92"/>
      <c r="E729" s="92"/>
      <c r="F729" s="92"/>
      <c r="G729" s="92"/>
      <c r="H729" s="91"/>
      <c r="I729" s="91"/>
      <c r="J729" s="91"/>
      <c r="K729" s="91"/>
      <c r="L729" s="91"/>
      <c r="M729" s="91"/>
      <c r="N729" s="91"/>
      <c r="O729" s="91"/>
      <c r="P729" s="91"/>
      <c r="Q729" s="91"/>
      <c r="R729" s="91"/>
      <c r="S729" s="91"/>
    </row>
    <row r="730" spans="1:19" ht="15.75" customHeight="1" x14ac:dyDescent="0.25">
      <c r="A730" s="92"/>
      <c r="B730" s="93"/>
      <c r="C730" s="92"/>
      <c r="D730" s="92"/>
      <c r="E730" s="92"/>
      <c r="F730" s="92"/>
      <c r="G730" s="92"/>
      <c r="H730" s="91"/>
      <c r="I730" s="91"/>
      <c r="J730" s="91"/>
      <c r="K730" s="91"/>
      <c r="L730" s="91"/>
      <c r="M730" s="91"/>
      <c r="N730" s="91"/>
      <c r="O730" s="91"/>
      <c r="P730" s="91"/>
      <c r="Q730" s="91"/>
      <c r="R730" s="91"/>
      <c r="S730" s="91"/>
    </row>
    <row r="731" spans="1:19" ht="15.75" customHeight="1" x14ac:dyDescent="0.25">
      <c r="A731" s="92"/>
      <c r="B731" s="93"/>
      <c r="C731" s="92"/>
      <c r="D731" s="92"/>
      <c r="E731" s="92"/>
      <c r="F731" s="92"/>
      <c r="G731" s="92"/>
      <c r="H731" s="91"/>
      <c r="I731" s="91"/>
      <c r="J731" s="91"/>
      <c r="K731" s="91"/>
      <c r="L731" s="91"/>
      <c r="M731" s="91"/>
      <c r="N731" s="91"/>
      <c r="O731" s="91"/>
      <c r="P731" s="91"/>
      <c r="Q731" s="91"/>
      <c r="R731" s="91"/>
      <c r="S731" s="91"/>
    </row>
    <row r="732" spans="1:19" ht="15.75" customHeight="1" x14ac:dyDescent="0.25">
      <c r="A732" s="92"/>
      <c r="B732" s="93"/>
      <c r="C732" s="92"/>
      <c r="D732" s="92"/>
      <c r="E732" s="92"/>
      <c r="F732" s="92"/>
      <c r="G732" s="92"/>
      <c r="H732" s="91"/>
      <c r="I732" s="91"/>
      <c r="J732" s="91"/>
      <c r="K732" s="91"/>
      <c r="L732" s="91"/>
      <c r="M732" s="91"/>
      <c r="N732" s="91"/>
      <c r="O732" s="91"/>
      <c r="P732" s="91"/>
      <c r="Q732" s="91"/>
      <c r="R732" s="91"/>
      <c r="S732" s="91"/>
    </row>
    <row r="733" spans="1:19" ht="15.75" customHeight="1" x14ac:dyDescent="0.25">
      <c r="A733" s="92"/>
      <c r="B733" s="93"/>
      <c r="C733" s="92"/>
      <c r="D733" s="92"/>
      <c r="E733" s="92"/>
      <c r="F733" s="92"/>
      <c r="G733" s="92"/>
      <c r="H733" s="91"/>
      <c r="I733" s="91"/>
      <c r="J733" s="91"/>
      <c r="K733" s="91"/>
      <c r="L733" s="91"/>
      <c r="M733" s="91"/>
      <c r="N733" s="91"/>
      <c r="O733" s="91"/>
      <c r="P733" s="91"/>
      <c r="Q733" s="91"/>
      <c r="R733" s="91"/>
      <c r="S733" s="91"/>
    </row>
    <row r="734" spans="1:19" ht="15.75" customHeight="1" x14ac:dyDescent="0.25">
      <c r="A734" s="92"/>
      <c r="B734" s="93"/>
      <c r="C734" s="92"/>
      <c r="D734" s="92"/>
      <c r="E734" s="92"/>
      <c r="F734" s="92"/>
      <c r="G734" s="92"/>
      <c r="H734" s="91"/>
      <c r="I734" s="91"/>
      <c r="J734" s="91"/>
      <c r="K734" s="91"/>
      <c r="L734" s="91"/>
      <c r="M734" s="91"/>
      <c r="N734" s="91"/>
      <c r="O734" s="91"/>
      <c r="P734" s="91"/>
      <c r="Q734" s="91"/>
      <c r="R734" s="91"/>
      <c r="S734" s="91"/>
    </row>
    <row r="735" spans="1:19" ht="15.75" customHeight="1" x14ac:dyDescent="0.25">
      <c r="A735" s="92"/>
      <c r="B735" s="93"/>
      <c r="C735" s="92"/>
      <c r="D735" s="92"/>
      <c r="E735" s="92"/>
      <c r="F735" s="92"/>
      <c r="G735" s="92"/>
      <c r="H735" s="91"/>
      <c r="I735" s="91"/>
      <c r="J735" s="91"/>
      <c r="K735" s="91"/>
      <c r="L735" s="91"/>
      <c r="M735" s="91"/>
      <c r="N735" s="91"/>
      <c r="O735" s="91"/>
      <c r="P735" s="91"/>
      <c r="Q735" s="91"/>
      <c r="R735" s="91"/>
      <c r="S735" s="91"/>
    </row>
    <row r="736" spans="1:19" ht="15.75" customHeight="1" x14ac:dyDescent="0.25">
      <c r="A736" s="92"/>
      <c r="B736" s="93"/>
      <c r="C736" s="92"/>
      <c r="D736" s="92"/>
      <c r="E736" s="92"/>
      <c r="F736" s="92"/>
      <c r="G736" s="92"/>
      <c r="H736" s="91"/>
      <c r="I736" s="91"/>
      <c r="J736" s="91"/>
      <c r="K736" s="91"/>
      <c r="L736" s="91"/>
      <c r="M736" s="91"/>
      <c r="N736" s="91"/>
      <c r="O736" s="91"/>
      <c r="P736" s="91"/>
      <c r="Q736" s="91"/>
      <c r="R736" s="91"/>
      <c r="S736" s="91"/>
    </row>
    <row r="737" spans="1:19" ht="15.75" customHeight="1" x14ac:dyDescent="0.25">
      <c r="A737" s="92"/>
      <c r="B737" s="93"/>
      <c r="C737" s="92"/>
      <c r="D737" s="92"/>
      <c r="E737" s="92"/>
      <c r="F737" s="92"/>
      <c r="G737" s="92"/>
      <c r="H737" s="91"/>
      <c r="I737" s="91"/>
      <c r="J737" s="91"/>
      <c r="K737" s="91"/>
      <c r="L737" s="91"/>
      <c r="M737" s="91"/>
      <c r="N737" s="91"/>
      <c r="O737" s="91"/>
      <c r="P737" s="91"/>
      <c r="Q737" s="91"/>
      <c r="R737" s="91"/>
      <c r="S737" s="91"/>
    </row>
    <row r="738" spans="1:19" ht="15.75" customHeight="1" x14ac:dyDescent="0.25">
      <c r="A738" s="92"/>
      <c r="B738" s="93"/>
      <c r="C738" s="92"/>
      <c r="D738" s="92"/>
      <c r="E738" s="92"/>
      <c r="F738" s="92"/>
      <c r="G738" s="92"/>
      <c r="H738" s="91"/>
      <c r="I738" s="91"/>
      <c r="J738" s="91"/>
      <c r="K738" s="91"/>
      <c r="L738" s="91"/>
      <c r="M738" s="91"/>
      <c r="N738" s="91"/>
      <c r="O738" s="91"/>
      <c r="P738" s="91"/>
      <c r="Q738" s="91"/>
      <c r="R738" s="91"/>
      <c r="S738" s="91"/>
    </row>
    <row r="739" spans="1:19" ht="15.75" customHeight="1" x14ac:dyDescent="0.25">
      <c r="A739" s="92"/>
      <c r="B739" s="93"/>
      <c r="C739" s="92"/>
      <c r="D739" s="92"/>
      <c r="E739" s="92"/>
      <c r="F739" s="92"/>
      <c r="G739" s="92"/>
      <c r="H739" s="91"/>
      <c r="I739" s="91"/>
      <c r="J739" s="91"/>
      <c r="K739" s="91"/>
      <c r="L739" s="91"/>
      <c r="M739" s="91"/>
      <c r="N739" s="91"/>
      <c r="O739" s="91"/>
      <c r="P739" s="91"/>
      <c r="Q739" s="91"/>
      <c r="R739" s="91"/>
      <c r="S739" s="91"/>
    </row>
    <row r="740" spans="1:19" ht="15.75" customHeight="1" x14ac:dyDescent="0.25">
      <c r="A740" s="92"/>
      <c r="B740" s="93"/>
      <c r="C740" s="92"/>
      <c r="D740" s="92"/>
      <c r="E740" s="92"/>
      <c r="F740" s="92"/>
      <c r="G740" s="92"/>
      <c r="H740" s="91"/>
      <c r="I740" s="91"/>
      <c r="J740" s="91"/>
      <c r="K740" s="91"/>
      <c r="L740" s="91"/>
      <c r="M740" s="91"/>
      <c r="N740" s="91"/>
      <c r="O740" s="91"/>
      <c r="P740" s="91"/>
      <c r="Q740" s="91"/>
      <c r="R740" s="91"/>
      <c r="S740" s="91"/>
    </row>
    <row r="741" spans="1:19" ht="15.75" customHeight="1" x14ac:dyDescent="0.25">
      <c r="A741" s="92"/>
      <c r="B741" s="93"/>
      <c r="C741" s="92"/>
      <c r="D741" s="92"/>
      <c r="E741" s="92"/>
      <c r="F741" s="92"/>
      <c r="G741" s="92"/>
      <c r="H741" s="91"/>
      <c r="I741" s="91"/>
      <c r="J741" s="91"/>
      <c r="K741" s="91"/>
      <c r="L741" s="91"/>
      <c r="M741" s="91"/>
      <c r="N741" s="91"/>
      <c r="O741" s="91"/>
      <c r="P741" s="91"/>
      <c r="Q741" s="91"/>
      <c r="R741" s="91"/>
      <c r="S741" s="91"/>
    </row>
    <row r="742" spans="1:19" ht="15.75" customHeight="1" x14ac:dyDescent="0.25">
      <c r="A742" s="92"/>
      <c r="B742" s="93"/>
      <c r="C742" s="92"/>
      <c r="D742" s="92"/>
      <c r="E742" s="92"/>
      <c r="F742" s="92"/>
      <c r="G742" s="92"/>
      <c r="H742" s="91"/>
      <c r="I742" s="91"/>
      <c r="J742" s="91"/>
      <c r="K742" s="91"/>
      <c r="L742" s="91"/>
      <c r="M742" s="91"/>
      <c r="N742" s="91"/>
      <c r="O742" s="91"/>
      <c r="P742" s="91"/>
      <c r="Q742" s="91"/>
      <c r="R742" s="91"/>
      <c r="S742" s="91"/>
    </row>
    <row r="743" spans="1:19" ht="15.75" customHeight="1" x14ac:dyDescent="0.25">
      <c r="A743" s="92"/>
      <c r="B743" s="93"/>
      <c r="C743" s="92"/>
      <c r="D743" s="92"/>
      <c r="E743" s="92"/>
      <c r="F743" s="92"/>
      <c r="G743" s="92"/>
      <c r="H743" s="91"/>
      <c r="I743" s="91"/>
      <c r="J743" s="91"/>
      <c r="K743" s="91"/>
      <c r="L743" s="91"/>
      <c r="M743" s="91"/>
      <c r="N743" s="91"/>
      <c r="O743" s="91"/>
      <c r="P743" s="91"/>
      <c r="Q743" s="91"/>
      <c r="R743" s="91"/>
      <c r="S743" s="91"/>
    </row>
    <row r="744" spans="1:19" ht="15.75" customHeight="1" x14ac:dyDescent="0.25">
      <c r="A744" s="92"/>
      <c r="B744" s="93"/>
      <c r="C744" s="92"/>
      <c r="D744" s="92"/>
      <c r="E744" s="92"/>
      <c r="F744" s="92"/>
      <c r="G744" s="92"/>
      <c r="H744" s="91"/>
      <c r="I744" s="91"/>
      <c r="J744" s="91"/>
      <c r="K744" s="91"/>
      <c r="L744" s="91"/>
      <c r="M744" s="91"/>
      <c r="N744" s="91"/>
      <c r="O744" s="91"/>
      <c r="P744" s="91"/>
      <c r="Q744" s="91"/>
      <c r="R744" s="91"/>
      <c r="S744" s="91"/>
    </row>
    <row r="745" spans="1:19" ht="15.75" customHeight="1" x14ac:dyDescent="0.25">
      <c r="A745" s="92"/>
      <c r="B745" s="93"/>
      <c r="C745" s="92"/>
      <c r="D745" s="92"/>
      <c r="E745" s="92"/>
      <c r="F745" s="92"/>
      <c r="G745" s="92"/>
      <c r="H745" s="91"/>
      <c r="I745" s="91"/>
      <c r="J745" s="91"/>
      <c r="K745" s="91"/>
      <c r="L745" s="91"/>
      <c r="M745" s="91"/>
      <c r="N745" s="91"/>
      <c r="O745" s="91"/>
      <c r="P745" s="91"/>
      <c r="Q745" s="91"/>
      <c r="R745" s="91"/>
      <c r="S745" s="91"/>
    </row>
    <row r="746" spans="1:19" ht="15.75" customHeight="1" x14ac:dyDescent="0.25">
      <c r="A746" s="92"/>
      <c r="B746" s="93"/>
      <c r="C746" s="92"/>
      <c r="D746" s="92"/>
      <c r="E746" s="92"/>
      <c r="F746" s="92"/>
      <c r="G746" s="92"/>
      <c r="H746" s="91"/>
      <c r="I746" s="91"/>
      <c r="J746" s="91"/>
      <c r="K746" s="91"/>
      <c r="L746" s="91"/>
      <c r="M746" s="91"/>
      <c r="N746" s="91"/>
      <c r="O746" s="91"/>
      <c r="P746" s="91"/>
      <c r="Q746" s="91"/>
      <c r="R746" s="91"/>
      <c r="S746" s="91"/>
    </row>
    <row r="747" spans="1:19" ht="15.75" customHeight="1" x14ac:dyDescent="0.25">
      <c r="A747" s="92"/>
      <c r="B747" s="93"/>
      <c r="C747" s="92"/>
      <c r="D747" s="92"/>
      <c r="E747" s="92"/>
      <c r="F747" s="92"/>
      <c r="G747" s="92"/>
      <c r="H747" s="91"/>
      <c r="I747" s="91"/>
      <c r="J747" s="91"/>
      <c r="K747" s="91"/>
      <c r="L747" s="91"/>
      <c r="M747" s="91"/>
      <c r="N747" s="91"/>
      <c r="O747" s="91"/>
      <c r="P747" s="91"/>
      <c r="Q747" s="91"/>
      <c r="R747" s="91"/>
      <c r="S747" s="91"/>
    </row>
    <row r="748" spans="1:19" ht="15.75" customHeight="1" x14ac:dyDescent="0.25">
      <c r="A748" s="92"/>
      <c r="B748" s="93"/>
      <c r="C748" s="92"/>
      <c r="D748" s="92"/>
      <c r="E748" s="92"/>
      <c r="F748" s="92"/>
      <c r="G748" s="92"/>
      <c r="H748" s="91"/>
      <c r="I748" s="91"/>
      <c r="J748" s="91"/>
      <c r="K748" s="91"/>
      <c r="L748" s="91"/>
      <c r="M748" s="91"/>
      <c r="N748" s="91"/>
      <c r="O748" s="91"/>
      <c r="P748" s="91"/>
      <c r="Q748" s="91"/>
      <c r="R748" s="91"/>
      <c r="S748" s="91"/>
    </row>
    <row r="749" spans="1:19" ht="15.75" customHeight="1" x14ac:dyDescent="0.25">
      <c r="A749" s="92"/>
      <c r="B749" s="93"/>
      <c r="C749" s="92"/>
      <c r="D749" s="92"/>
      <c r="E749" s="92"/>
      <c r="F749" s="92"/>
      <c r="G749" s="92"/>
      <c r="H749" s="91"/>
      <c r="I749" s="91"/>
      <c r="J749" s="91"/>
      <c r="K749" s="91"/>
      <c r="L749" s="91"/>
      <c r="M749" s="91"/>
      <c r="N749" s="91"/>
      <c r="O749" s="91"/>
      <c r="P749" s="91"/>
      <c r="Q749" s="91"/>
      <c r="R749" s="91"/>
      <c r="S749" s="91"/>
    </row>
    <row r="750" spans="1:19" ht="15.75" customHeight="1" x14ac:dyDescent="0.25">
      <c r="A750" s="92"/>
      <c r="B750" s="93"/>
      <c r="C750" s="92"/>
      <c r="D750" s="92"/>
      <c r="E750" s="92"/>
      <c r="F750" s="92"/>
      <c r="G750" s="92"/>
      <c r="H750" s="91"/>
      <c r="I750" s="91"/>
      <c r="J750" s="91"/>
      <c r="K750" s="91"/>
      <c r="L750" s="91"/>
      <c r="M750" s="91"/>
      <c r="N750" s="91"/>
      <c r="O750" s="91"/>
      <c r="P750" s="91"/>
      <c r="Q750" s="91"/>
      <c r="R750" s="91"/>
      <c r="S750" s="91"/>
    </row>
    <row r="751" spans="1:19" ht="15.75" customHeight="1" x14ac:dyDescent="0.25">
      <c r="A751" s="92"/>
      <c r="B751" s="93"/>
      <c r="C751" s="92"/>
      <c r="D751" s="92"/>
      <c r="E751" s="92"/>
      <c r="F751" s="92"/>
      <c r="G751" s="92"/>
      <c r="H751" s="91"/>
      <c r="I751" s="91"/>
      <c r="J751" s="91"/>
      <c r="K751" s="91"/>
      <c r="L751" s="91"/>
      <c r="M751" s="91"/>
      <c r="N751" s="91"/>
      <c r="O751" s="91"/>
      <c r="P751" s="91"/>
      <c r="Q751" s="91"/>
      <c r="R751" s="91"/>
      <c r="S751" s="91"/>
    </row>
    <row r="752" spans="1:19" ht="15.75" customHeight="1" x14ac:dyDescent="0.25">
      <c r="A752" s="92"/>
      <c r="B752" s="93"/>
      <c r="C752" s="92"/>
      <c r="D752" s="92"/>
      <c r="E752" s="92"/>
      <c r="F752" s="92"/>
      <c r="G752" s="92"/>
      <c r="H752" s="91"/>
      <c r="I752" s="91"/>
      <c r="J752" s="91"/>
      <c r="K752" s="91"/>
      <c r="L752" s="91"/>
      <c r="M752" s="91"/>
      <c r="N752" s="91"/>
      <c r="O752" s="91"/>
      <c r="P752" s="91"/>
      <c r="Q752" s="91"/>
      <c r="R752" s="91"/>
      <c r="S752" s="91"/>
    </row>
    <row r="753" spans="1:19" ht="15.75" customHeight="1" x14ac:dyDescent="0.25">
      <c r="A753" s="92"/>
      <c r="B753" s="93"/>
      <c r="C753" s="92"/>
      <c r="D753" s="92"/>
      <c r="E753" s="92"/>
      <c r="F753" s="92"/>
      <c r="G753" s="92"/>
      <c r="H753" s="91"/>
      <c r="I753" s="91"/>
      <c r="J753" s="91"/>
      <c r="K753" s="91"/>
      <c r="L753" s="91"/>
      <c r="M753" s="91"/>
      <c r="N753" s="91"/>
      <c r="O753" s="91"/>
      <c r="P753" s="91"/>
      <c r="Q753" s="91"/>
      <c r="R753" s="91"/>
      <c r="S753" s="91"/>
    </row>
    <row r="754" spans="1:19" ht="15.75" customHeight="1" x14ac:dyDescent="0.25">
      <c r="A754" s="92"/>
      <c r="B754" s="93"/>
      <c r="C754" s="92"/>
      <c r="D754" s="92"/>
      <c r="E754" s="92"/>
      <c r="F754" s="92"/>
      <c r="G754" s="92"/>
      <c r="H754" s="91"/>
      <c r="I754" s="91"/>
      <c r="J754" s="91"/>
      <c r="K754" s="91"/>
      <c r="L754" s="91"/>
      <c r="M754" s="91"/>
      <c r="N754" s="91"/>
      <c r="O754" s="91"/>
      <c r="P754" s="91"/>
      <c r="Q754" s="91"/>
      <c r="R754" s="91"/>
      <c r="S754" s="91"/>
    </row>
    <row r="755" spans="1:19" ht="15.75" customHeight="1" x14ac:dyDescent="0.25">
      <c r="A755" s="92"/>
      <c r="B755" s="93"/>
      <c r="C755" s="92"/>
      <c r="D755" s="92"/>
      <c r="E755" s="92"/>
      <c r="F755" s="92"/>
      <c r="G755" s="92"/>
      <c r="H755" s="91"/>
      <c r="I755" s="91"/>
      <c r="J755" s="91"/>
      <c r="K755" s="91"/>
      <c r="L755" s="91"/>
      <c r="M755" s="91"/>
      <c r="N755" s="91"/>
      <c r="O755" s="91"/>
      <c r="P755" s="91"/>
      <c r="Q755" s="91"/>
      <c r="R755" s="91"/>
      <c r="S755" s="91"/>
    </row>
    <row r="756" spans="1:19" ht="15.75" customHeight="1" x14ac:dyDescent="0.25">
      <c r="A756" s="92"/>
      <c r="B756" s="93"/>
      <c r="C756" s="92"/>
      <c r="D756" s="92"/>
      <c r="E756" s="92"/>
      <c r="F756" s="92"/>
      <c r="G756" s="92"/>
      <c r="H756" s="91"/>
      <c r="I756" s="91"/>
      <c r="J756" s="91"/>
      <c r="K756" s="91"/>
      <c r="L756" s="91"/>
      <c r="M756" s="91"/>
      <c r="N756" s="91"/>
      <c r="O756" s="91"/>
      <c r="P756" s="91"/>
      <c r="Q756" s="91"/>
      <c r="R756" s="91"/>
      <c r="S756" s="91"/>
    </row>
    <row r="757" spans="1:19" ht="15.75" customHeight="1" x14ac:dyDescent="0.25">
      <c r="A757" s="92"/>
      <c r="B757" s="93"/>
      <c r="C757" s="92"/>
      <c r="D757" s="92"/>
      <c r="E757" s="92"/>
      <c r="F757" s="92"/>
      <c r="G757" s="92"/>
      <c r="H757" s="91"/>
      <c r="I757" s="91"/>
      <c r="J757" s="91"/>
      <c r="K757" s="91"/>
      <c r="L757" s="91"/>
      <c r="M757" s="91"/>
      <c r="N757" s="91"/>
      <c r="O757" s="91"/>
      <c r="P757" s="91"/>
      <c r="Q757" s="91"/>
      <c r="R757" s="91"/>
      <c r="S757" s="91"/>
    </row>
    <row r="758" spans="1:19" ht="15.75" customHeight="1" x14ac:dyDescent="0.25">
      <c r="A758" s="92"/>
      <c r="B758" s="93"/>
      <c r="C758" s="92"/>
      <c r="D758" s="92"/>
      <c r="E758" s="92"/>
      <c r="F758" s="92"/>
      <c r="G758" s="92"/>
      <c r="H758" s="91"/>
      <c r="I758" s="91"/>
      <c r="J758" s="91"/>
      <c r="K758" s="91"/>
      <c r="L758" s="91"/>
      <c r="M758" s="91"/>
      <c r="N758" s="91"/>
      <c r="O758" s="91"/>
      <c r="P758" s="91"/>
      <c r="Q758" s="91"/>
      <c r="R758" s="91"/>
      <c r="S758" s="91"/>
    </row>
    <row r="759" spans="1:19" ht="15.75" customHeight="1" x14ac:dyDescent="0.25">
      <c r="A759" s="92"/>
      <c r="B759" s="93"/>
      <c r="C759" s="92"/>
      <c r="D759" s="92"/>
      <c r="E759" s="92"/>
      <c r="F759" s="92"/>
      <c r="G759" s="92"/>
      <c r="H759" s="91"/>
      <c r="I759" s="91"/>
      <c r="J759" s="91"/>
      <c r="K759" s="91"/>
      <c r="L759" s="91"/>
      <c r="M759" s="91"/>
      <c r="N759" s="91"/>
      <c r="O759" s="91"/>
      <c r="P759" s="91"/>
      <c r="Q759" s="91"/>
      <c r="R759" s="91"/>
      <c r="S759" s="91"/>
    </row>
    <row r="760" spans="1:19" ht="15.75" customHeight="1" x14ac:dyDescent="0.25">
      <c r="A760" s="92"/>
      <c r="B760" s="93"/>
      <c r="C760" s="92"/>
      <c r="D760" s="92"/>
      <c r="E760" s="92"/>
      <c r="F760" s="92"/>
      <c r="G760" s="92"/>
      <c r="H760" s="91"/>
      <c r="I760" s="91"/>
      <c r="J760" s="91"/>
      <c r="K760" s="91"/>
      <c r="L760" s="91"/>
      <c r="M760" s="91"/>
      <c r="N760" s="91"/>
      <c r="O760" s="91"/>
      <c r="P760" s="91"/>
      <c r="Q760" s="91"/>
      <c r="R760" s="91"/>
      <c r="S760" s="91"/>
    </row>
    <row r="761" spans="1:19" ht="15.75" customHeight="1" x14ac:dyDescent="0.25">
      <c r="A761" s="92"/>
      <c r="B761" s="93"/>
      <c r="C761" s="92"/>
      <c r="D761" s="92"/>
      <c r="E761" s="92"/>
      <c r="F761" s="92"/>
      <c r="G761" s="92"/>
      <c r="H761" s="91"/>
      <c r="I761" s="91"/>
      <c r="J761" s="91"/>
      <c r="K761" s="91"/>
      <c r="L761" s="91"/>
      <c r="M761" s="91"/>
      <c r="N761" s="91"/>
      <c r="O761" s="91"/>
      <c r="P761" s="91"/>
      <c r="Q761" s="91"/>
      <c r="R761" s="91"/>
      <c r="S761" s="91"/>
    </row>
    <row r="762" spans="1:19" ht="15.75" customHeight="1" x14ac:dyDescent="0.25">
      <c r="A762" s="92"/>
      <c r="B762" s="93"/>
      <c r="C762" s="92"/>
      <c r="D762" s="92"/>
      <c r="E762" s="92"/>
      <c r="F762" s="92"/>
      <c r="G762" s="92"/>
      <c r="H762" s="91"/>
      <c r="I762" s="91"/>
      <c r="J762" s="91"/>
      <c r="K762" s="91"/>
      <c r="L762" s="91"/>
      <c r="M762" s="91"/>
      <c r="N762" s="91"/>
      <c r="O762" s="91"/>
      <c r="P762" s="91"/>
      <c r="Q762" s="91"/>
      <c r="R762" s="91"/>
      <c r="S762" s="91"/>
    </row>
    <row r="763" spans="1:19" ht="15.75" customHeight="1" x14ac:dyDescent="0.25">
      <c r="A763" s="92"/>
      <c r="B763" s="93"/>
      <c r="C763" s="92"/>
      <c r="D763" s="92"/>
      <c r="E763" s="92"/>
      <c r="F763" s="92"/>
      <c r="G763" s="92"/>
      <c r="H763" s="91"/>
      <c r="I763" s="91"/>
      <c r="J763" s="91"/>
      <c r="K763" s="91"/>
      <c r="L763" s="91"/>
      <c r="M763" s="91"/>
      <c r="N763" s="91"/>
      <c r="O763" s="91"/>
      <c r="P763" s="91"/>
      <c r="Q763" s="91"/>
      <c r="R763" s="91"/>
      <c r="S763" s="91"/>
    </row>
    <row r="764" spans="1:19" ht="15.75" customHeight="1" x14ac:dyDescent="0.25">
      <c r="A764" s="92"/>
      <c r="B764" s="93"/>
      <c r="C764" s="92"/>
      <c r="D764" s="92"/>
      <c r="E764" s="92"/>
      <c r="F764" s="92"/>
      <c r="G764" s="92"/>
      <c r="H764" s="91"/>
      <c r="I764" s="91"/>
      <c r="J764" s="91"/>
      <c r="K764" s="91"/>
      <c r="L764" s="91"/>
      <c r="M764" s="91"/>
      <c r="N764" s="91"/>
      <c r="O764" s="91"/>
      <c r="P764" s="91"/>
      <c r="Q764" s="91"/>
      <c r="R764" s="91"/>
      <c r="S764" s="91"/>
    </row>
    <row r="765" spans="1:19" ht="15.75" customHeight="1" x14ac:dyDescent="0.25">
      <c r="A765" s="92"/>
      <c r="B765" s="93"/>
      <c r="C765" s="92"/>
      <c r="D765" s="92"/>
      <c r="E765" s="92"/>
      <c r="F765" s="92"/>
      <c r="G765" s="92"/>
      <c r="H765" s="91"/>
      <c r="I765" s="91"/>
      <c r="J765" s="91"/>
      <c r="K765" s="91"/>
      <c r="L765" s="91"/>
      <c r="M765" s="91"/>
      <c r="N765" s="91"/>
      <c r="O765" s="91"/>
      <c r="P765" s="91"/>
      <c r="Q765" s="91"/>
      <c r="R765" s="91"/>
      <c r="S765" s="91"/>
    </row>
    <row r="766" spans="1:19" ht="15.75" customHeight="1" x14ac:dyDescent="0.25">
      <c r="A766" s="92"/>
      <c r="B766" s="93"/>
      <c r="C766" s="92"/>
      <c r="D766" s="92"/>
      <c r="E766" s="92"/>
      <c r="F766" s="92"/>
      <c r="G766" s="92"/>
      <c r="H766" s="91"/>
      <c r="I766" s="91"/>
      <c r="J766" s="91"/>
      <c r="K766" s="91"/>
      <c r="L766" s="91"/>
      <c r="M766" s="91"/>
      <c r="N766" s="91"/>
      <c r="O766" s="91"/>
      <c r="P766" s="91"/>
      <c r="Q766" s="91"/>
      <c r="R766" s="91"/>
      <c r="S766" s="91"/>
    </row>
    <row r="767" spans="1:19" ht="15.75" customHeight="1" x14ac:dyDescent="0.25">
      <c r="A767" s="92"/>
      <c r="B767" s="93"/>
      <c r="C767" s="92"/>
      <c r="D767" s="92"/>
      <c r="E767" s="92"/>
      <c r="F767" s="92"/>
      <c r="G767" s="92"/>
      <c r="H767" s="91"/>
      <c r="I767" s="91"/>
      <c r="J767" s="91"/>
      <c r="K767" s="91"/>
      <c r="L767" s="91"/>
      <c r="M767" s="91"/>
      <c r="N767" s="91"/>
      <c r="O767" s="91"/>
      <c r="P767" s="91"/>
      <c r="Q767" s="91"/>
      <c r="R767" s="91"/>
      <c r="S767" s="91"/>
    </row>
    <row r="768" spans="1:19" ht="15.75" customHeight="1" x14ac:dyDescent="0.25">
      <c r="A768" s="92"/>
      <c r="B768" s="93"/>
      <c r="C768" s="92"/>
      <c r="D768" s="92"/>
      <c r="E768" s="92"/>
      <c r="F768" s="92"/>
      <c r="G768" s="92"/>
      <c r="H768" s="91"/>
      <c r="I768" s="91"/>
      <c r="J768" s="91"/>
      <c r="K768" s="91"/>
      <c r="L768" s="91"/>
      <c r="M768" s="91"/>
      <c r="N768" s="91"/>
      <c r="O768" s="91"/>
      <c r="P768" s="91"/>
      <c r="Q768" s="91"/>
      <c r="R768" s="91"/>
      <c r="S768" s="91"/>
    </row>
    <row r="769" spans="1:19" ht="15.75" customHeight="1" x14ac:dyDescent="0.25">
      <c r="A769" s="92"/>
      <c r="B769" s="93"/>
      <c r="C769" s="92"/>
      <c r="D769" s="92"/>
      <c r="E769" s="92"/>
      <c r="F769" s="92"/>
      <c r="G769" s="92"/>
      <c r="H769" s="91"/>
      <c r="I769" s="91"/>
      <c r="J769" s="91"/>
      <c r="K769" s="91"/>
      <c r="L769" s="91"/>
      <c r="M769" s="91"/>
      <c r="N769" s="91"/>
      <c r="O769" s="91"/>
      <c r="P769" s="91"/>
      <c r="Q769" s="91"/>
      <c r="R769" s="91"/>
      <c r="S769" s="91"/>
    </row>
    <row r="770" spans="1:19" ht="15.75" customHeight="1" x14ac:dyDescent="0.25">
      <c r="A770" s="92"/>
      <c r="B770" s="93"/>
      <c r="C770" s="92"/>
      <c r="D770" s="92"/>
      <c r="E770" s="92"/>
      <c r="F770" s="92"/>
      <c r="G770" s="92"/>
      <c r="H770" s="91"/>
      <c r="I770" s="91"/>
      <c r="J770" s="91"/>
      <c r="K770" s="91"/>
      <c r="L770" s="91"/>
      <c r="M770" s="91"/>
      <c r="N770" s="91"/>
      <c r="O770" s="91"/>
      <c r="P770" s="91"/>
      <c r="Q770" s="91"/>
      <c r="R770" s="91"/>
      <c r="S770" s="91"/>
    </row>
    <row r="771" spans="1:19" ht="15.75" customHeight="1" x14ac:dyDescent="0.25">
      <c r="A771" s="92"/>
      <c r="B771" s="93"/>
      <c r="C771" s="92"/>
      <c r="D771" s="92"/>
      <c r="E771" s="92"/>
      <c r="F771" s="92"/>
      <c r="G771" s="92"/>
      <c r="H771" s="91"/>
      <c r="I771" s="91"/>
      <c r="J771" s="91"/>
      <c r="K771" s="91"/>
      <c r="L771" s="91"/>
      <c r="M771" s="91"/>
      <c r="N771" s="91"/>
      <c r="O771" s="91"/>
      <c r="P771" s="91"/>
      <c r="Q771" s="91"/>
      <c r="R771" s="91"/>
      <c r="S771" s="91"/>
    </row>
    <row r="772" spans="1:19" ht="15.75" customHeight="1" x14ac:dyDescent="0.25">
      <c r="A772" s="92"/>
      <c r="B772" s="93"/>
      <c r="C772" s="92"/>
      <c r="D772" s="92"/>
      <c r="E772" s="92"/>
      <c r="F772" s="92"/>
      <c r="G772" s="92"/>
      <c r="H772" s="91"/>
      <c r="I772" s="91"/>
      <c r="J772" s="91"/>
      <c r="K772" s="91"/>
      <c r="L772" s="91"/>
      <c r="M772" s="91"/>
      <c r="N772" s="91"/>
      <c r="O772" s="91"/>
      <c r="P772" s="91"/>
      <c r="Q772" s="91"/>
      <c r="R772" s="91"/>
      <c r="S772" s="91"/>
    </row>
    <row r="773" spans="1:19" ht="15.75" customHeight="1" x14ac:dyDescent="0.25">
      <c r="A773" s="92"/>
      <c r="B773" s="93"/>
      <c r="C773" s="92"/>
      <c r="D773" s="92"/>
      <c r="E773" s="92"/>
      <c r="F773" s="92"/>
      <c r="G773" s="92"/>
      <c r="H773" s="91"/>
      <c r="I773" s="91"/>
      <c r="J773" s="91"/>
      <c r="K773" s="91"/>
      <c r="L773" s="91"/>
      <c r="M773" s="91"/>
      <c r="N773" s="91"/>
      <c r="O773" s="91"/>
      <c r="P773" s="91"/>
      <c r="Q773" s="91"/>
      <c r="R773" s="91"/>
      <c r="S773" s="91"/>
    </row>
    <row r="774" spans="1:19" ht="15.75" customHeight="1" x14ac:dyDescent="0.25">
      <c r="A774" s="92"/>
      <c r="B774" s="93"/>
      <c r="C774" s="92"/>
      <c r="D774" s="92"/>
      <c r="E774" s="92"/>
      <c r="F774" s="92"/>
      <c r="G774" s="92"/>
      <c r="H774" s="91"/>
      <c r="I774" s="91"/>
      <c r="J774" s="91"/>
      <c r="K774" s="91"/>
      <c r="L774" s="91"/>
      <c r="M774" s="91"/>
      <c r="N774" s="91"/>
      <c r="O774" s="91"/>
      <c r="P774" s="91"/>
      <c r="Q774" s="91"/>
      <c r="R774" s="91"/>
      <c r="S774" s="91"/>
    </row>
    <row r="775" spans="1:19" ht="15.75" customHeight="1" x14ac:dyDescent="0.25">
      <c r="A775" s="92"/>
      <c r="B775" s="93"/>
      <c r="C775" s="92"/>
      <c r="D775" s="92"/>
      <c r="E775" s="92"/>
      <c r="F775" s="92"/>
      <c r="G775" s="92"/>
      <c r="H775" s="91"/>
      <c r="I775" s="91"/>
      <c r="J775" s="91"/>
      <c r="K775" s="91"/>
      <c r="L775" s="91"/>
      <c r="M775" s="91"/>
      <c r="N775" s="91"/>
      <c r="O775" s="91"/>
      <c r="P775" s="91"/>
      <c r="Q775" s="91"/>
      <c r="R775" s="91"/>
      <c r="S775" s="91"/>
    </row>
    <row r="776" spans="1:19" ht="15.75" customHeight="1" x14ac:dyDescent="0.25">
      <c r="A776" s="92"/>
      <c r="B776" s="93"/>
      <c r="C776" s="92"/>
      <c r="D776" s="92"/>
      <c r="E776" s="92"/>
      <c r="F776" s="92"/>
      <c r="G776" s="92"/>
      <c r="H776" s="91"/>
      <c r="I776" s="91"/>
      <c r="J776" s="91"/>
      <c r="K776" s="91"/>
      <c r="L776" s="91"/>
      <c r="M776" s="91"/>
      <c r="N776" s="91"/>
      <c r="O776" s="91"/>
      <c r="P776" s="91"/>
      <c r="Q776" s="91"/>
      <c r="R776" s="91"/>
      <c r="S776" s="91"/>
    </row>
    <row r="777" spans="1:19" ht="15.75" customHeight="1" x14ac:dyDescent="0.25">
      <c r="A777" s="92"/>
      <c r="B777" s="93"/>
      <c r="C777" s="92"/>
      <c r="D777" s="92"/>
      <c r="E777" s="92"/>
      <c r="F777" s="92"/>
      <c r="G777" s="92"/>
      <c r="H777" s="91"/>
      <c r="I777" s="91"/>
      <c r="J777" s="91"/>
      <c r="K777" s="91"/>
      <c r="L777" s="91"/>
      <c r="M777" s="91"/>
      <c r="N777" s="91"/>
      <c r="O777" s="91"/>
      <c r="P777" s="91"/>
      <c r="Q777" s="91"/>
      <c r="R777" s="91"/>
      <c r="S777" s="91"/>
    </row>
    <row r="778" spans="1:19" ht="15.75" customHeight="1" x14ac:dyDescent="0.25">
      <c r="A778" s="92"/>
      <c r="B778" s="93"/>
      <c r="C778" s="92"/>
      <c r="D778" s="92"/>
      <c r="E778" s="92"/>
      <c r="F778" s="92"/>
      <c r="G778" s="92"/>
      <c r="H778" s="91"/>
      <c r="I778" s="91"/>
      <c r="J778" s="91"/>
      <c r="K778" s="91"/>
      <c r="L778" s="91"/>
      <c r="M778" s="91"/>
      <c r="N778" s="91"/>
      <c r="O778" s="91"/>
      <c r="P778" s="91"/>
      <c r="Q778" s="91"/>
      <c r="R778" s="91"/>
      <c r="S778" s="91"/>
    </row>
    <row r="779" spans="1:19" ht="15.75" customHeight="1" x14ac:dyDescent="0.25">
      <c r="A779" s="92"/>
      <c r="B779" s="93"/>
      <c r="C779" s="92"/>
      <c r="D779" s="92"/>
      <c r="E779" s="92"/>
      <c r="F779" s="92"/>
      <c r="G779" s="92"/>
      <c r="H779" s="91"/>
      <c r="I779" s="91"/>
      <c r="J779" s="91"/>
      <c r="K779" s="91"/>
      <c r="L779" s="91"/>
      <c r="M779" s="91"/>
      <c r="N779" s="91"/>
      <c r="O779" s="91"/>
      <c r="P779" s="91"/>
      <c r="Q779" s="91"/>
      <c r="R779" s="91"/>
      <c r="S779" s="91"/>
    </row>
    <row r="780" spans="1:19" ht="15.75" customHeight="1" x14ac:dyDescent="0.25">
      <c r="A780" s="92"/>
      <c r="B780" s="93"/>
      <c r="C780" s="92"/>
      <c r="D780" s="92"/>
      <c r="E780" s="92"/>
      <c r="F780" s="92"/>
      <c r="G780" s="92"/>
      <c r="H780" s="91"/>
      <c r="I780" s="91"/>
      <c r="J780" s="91"/>
      <c r="K780" s="91"/>
      <c r="L780" s="91"/>
      <c r="M780" s="91"/>
      <c r="N780" s="91"/>
      <c r="O780" s="91"/>
      <c r="P780" s="91"/>
      <c r="Q780" s="91"/>
      <c r="R780" s="91"/>
      <c r="S780" s="91"/>
    </row>
    <row r="781" spans="1:19" ht="15.75" customHeight="1" x14ac:dyDescent="0.25">
      <c r="A781" s="92"/>
      <c r="B781" s="93"/>
      <c r="C781" s="92"/>
      <c r="D781" s="92"/>
      <c r="E781" s="92"/>
      <c r="F781" s="92"/>
      <c r="G781" s="92"/>
      <c r="H781" s="91"/>
      <c r="I781" s="91"/>
      <c r="J781" s="91"/>
      <c r="K781" s="91"/>
      <c r="L781" s="91"/>
      <c r="M781" s="91"/>
      <c r="N781" s="91"/>
      <c r="O781" s="91"/>
      <c r="P781" s="91"/>
      <c r="Q781" s="91"/>
      <c r="R781" s="91"/>
      <c r="S781" s="91"/>
    </row>
    <row r="782" spans="1:19" ht="15.75" customHeight="1" x14ac:dyDescent="0.25">
      <c r="A782" s="92"/>
      <c r="B782" s="93"/>
      <c r="C782" s="92"/>
      <c r="D782" s="92"/>
      <c r="E782" s="92"/>
      <c r="F782" s="92"/>
      <c r="G782" s="92"/>
      <c r="H782" s="91"/>
      <c r="I782" s="91"/>
      <c r="J782" s="91"/>
      <c r="K782" s="91"/>
      <c r="L782" s="91"/>
      <c r="M782" s="91"/>
      <c r="N782" s="91"/>
      <c r="O782" s="91"/>
      <c r="P782" s="91"/>
      <c r="Q782" s="91"/>
      <c r="R782" s="91"/>
      <c r="S782" s="91"/>
    </row>
    <row r="783" spans="1:19" ht="15.75" customHeight="1" x14ac:dyDescent="0.25">
      <c r="A783" s="92"/>
      <c r="B783" s="93"/>
      <c r="C783" s="92"/>
      <c r="D783" s="92"/>
      <c r="E783" s="92"/>
      <c r="F783" s="92"/>
      <c r="G783" s="92"/>
      <c r="H783" s="91"/>
      <c r="I783" s="91"/>
      <c r="J783" s="91"/>
      <c r="K783" s="91"/>
      <c r="L783" s="91"/>
      <c r="M783" s="91"/>
      <c r="N783" s="91"/>
      <c r="O783" s="91"/>
      <c r="P783" s="91"/>
      <c r="Q783" s="91"/>
      <c r="R783" s="91"/>
      <c r="S783" s="91"/>
    </row>
    <row r="784" spans="1:19" ht="15.75" customHeight="1" x14ac:dyDescent="0.25">
      <c r="A784" s="92"/>
      <c r="B784" s="93"/>
      <c r="C784" s="92"/>
      <c r="D784" s="92"/>
      <c r="E784" s="92"/>
      <c r="F784" s="92"/>
      <c r="G784" s="92"/>
      <c r="H784" s="91"/>
      <c r="I784" s="91"/>
      <c r="J784" s="91"/>
      <c r="K784" s="91"/>
      <c r="L784" s="91"/>
      <c r="M784" s="91"/>
      <c r="N784" s="91"/>
      <c r="O784" s="91"/>
      <c r="P784" s="91"/>
      <c r="Q784" s="91"/>
      <c r="R784" s="91"/>
      <c r="S784" s="91"/>
    </row>
    <row r="785" spans="1:19" ht="15.75" customHeight="1" x14ac:dyDescent="0.25">
      <c r="A785" s="92"/>
      <c r="B785" s="93"/>
      <c r="C785" s="92"/>
      <c r="D785" s="92"/>
      <c r="E785" s="92"/>
      <c r="F785" s="92"/>
      <c r="G785" s="92"/>
      <c r="H785" s="91"/>
      <c r="I785" s="91"/>
      <c r="J785" s="91"/>
      <c r="K785" s="91"/>
      <c r="L785" s="91"/>
      <c r="M785" s="91"/>
      <c r="N785" s="91"/>
      <c r="O785" s="91"/>
      <c r="P785" s="91"/>
      <c r="Q785" s="91"/>
      <c r="R785" s="91"/>
      <c r="S785" s="91"/>
    </row>
    <row r="786" spans="1:19" ht="15.75" customHeight="1" x14ac:dyDescent="0.25">
      <c r="A786" s="92"/>
      <c r="B786" s="93"/>
      <c r="C786" s="92"/>
      <c r="D786" s="92"/>
      <c r="E786" s="92"/>
      <c r="F786" s="92"/>
      <c r="G786" s="92"/>
      <c r="H786" s="91"/>
      <c r="I786" s="91"/>
      <c r="J786" s="91"/>
      <c r="K786" s="91"/>
      <c r="L786" s="91"/>
      <c r="M786" s="91"/>
      <c r="N786" s="91"/>
      <c r="O786" s="91"/>
      <c r="P786" s="91"/>
      <c r="Q786" s="91"/>
      <c r="R786" s="91"/>
      <c r="S786" s="91"/>
    </row>
    <row r="787" spans="1:19" ht="15.75" customHeight="1" x14ac:dyDescent="0.25">
      <c r="A787" s="92"/>
      <c r="B787" s="93"/>
      <c r="C787" s="92"/>
      <c r="D787" s="92"/>
      <c r="E787" s="92"/>
      <c r="F787" s="92"/>
      <c r="G787" s="92"/>
      <c r="H787" s="91"/>
      <c r="I787" s="91"/>
      <c r="J787" s="91"/>
      <c r="K787" s="91"/>
      <c r="L787" s="91"/>
      <c r="M787" s="91"/>
      <c r="N787" s="91"/>
      <c r="O787" s="91"/>
      <c r="P787" s="91"/>
      <c r="Q787" s="91"/>
      <c r="R787" s="91"/>
      <c r="S787" s="91"/>
    </row>
    <row r="788" spans="1:19" ht="15.75" customHeight="1" x14ac:dyDescent="0.25">
      <c r="A788" s="92"/>
      <c r="B788" s="93"/>
      <c r="C788" s="92"/>
      <c r="D788" s="92"/>
      <c r="E788" s="92"/>
      <c r="F788" s="92"/>
      <c r="G788" s="92"/>
      <c r="H788" s="91"/>
      <c r="I788" s="91"/>
      <c r="J788" s="91"/>
      <c r="K788" s="91"/>
      <c r="L788" s="91"/>
      <c r="M788" s="91"/>
      <c r="N788" s="91"/>
      <c r="O788" s="91"/>
      <c r="P788" s="91"/>
      <c r="Q788" s="91"/>
      <c r="R788" s="91"/>
      <c r="S788" s="91"/>
    </row>
    <row r="789" spans="1:19" ht="15.75" customHeight="1" x14ac:dyDescent="0.25">
      <c r="A789" s="92"/>
      <c r="B789" s="93"/>
      <c r="C789" s="92"/>
      <c r="D789" s="92"/>
      <c r="E789" s="92"/>
      <c r="F789" s="92"/>
      <c r="G789" s="92"/>
      <c r="H789" s="91"/>
      <c r="I789" s="91"/>
      <c r="J789" s="91"/>
      <c r="K789" s="91"/>
      <c r="L789" s="91"/>
      <c r="M789" s="91"/>
      <c r="N789" s="91"/>
      <c r="O789" s="91"/>
      <c r="P789" s="91"/>
      <c r="Q789" s="91"/>
      <c r="R789" s="91"/>
      <c r="S789" s="91"/>
    </row>
    <row r="790" spans="1:19" ht="15.75" customHeight="1" x14ac:dyDescent="0.25">
      <c r="A790" s="92"/>
      <c r="B790" s="93"/>
      <c r="C790" s="92"/>
      <c r="D790" s="92"/>
      <c r="E790" s="92"/>
      <c r="F790" s="92"/>
      <c r="G790" s="92"/>
      <c r="H790" s="91"/>
      <c r="I790" s="91"/>
      <c r="J790" s="91"/>
      <c r="K790" s="91"/>
      <c r="L790" s="91"/>
      <c r="M790" s="91"/>
      <c r="N790" s="91"/>
      <c r="O790" s="91"/>
      <c r="P790" s="91"/>
      <c r="Q790" s="91"/>
      <c r="R790" s="91"/>
      <c r="S790" s="91"/>
    </row>
    <row r="791" spans="1:19" ht="15.75" customHeight="1" x14ac:dyDescent="0.25">
      <c r="A791" s="92"/>
      <c r="B791" s="93"/>
      <c r="C791" s="92"/>
      <c r="D791" s="92"/>
      <c r="E791" s="92"/>
      <c r="F791" s="92"/>
      <c r="G791" s="92"/>
      <c r="H791" s="91"/>
      <c r="I791" s="91"/>
      <c r="J791" s="91"/>
      <c r="K791" s="91"/>
      <c r="L791" s="91"/>
      <c r="M791" s="91"/>
      <c r="N791" s="91"/>
      <c r="O791" s="91"/>
      <c r="P791" s="91"/>
      <c r="Q791" s="91"/>
      <c r="R791" s="91"/>
      <c r="S791" s="91"/>
    </row>
    <row r="792" spans="1:19" ht="15.75" customHeight="1" x14ac:dyDescent="0.25">
      <c r="A792" s="92"/>
      <c r="B792" s="93"/>
      <c r="C792" s="92"/>
      <c r="D792" s="92"/>
      <c r="E792" s="92"/>
      <c r="F792" s="92"/>
      <c r="G792" s="92"/>
      <c r="H792" s="91"/>
      <c r="I792" s="91"/>
      <c r="J792" s="91"/>
      <c r="K792" s="91"/>
      <c r="L792" s="91"/>
      <c r="M792" s="91"/>
      <c r="N792" s="91"/>
      <c r="O792" s="91"/>
      <c r="P792" s="91"/>
      <c r="Q792" s="91"/>
      <c r="R792" s="91"/>
      <c r="S792" s="91"/>
    </row>
    <row r="793" spans="1:19" ht="15.75" customHeight="1" x14ac:dyDescent="0.25">
      <c r="A793" s="92"/>
      <c r="B793" s="93"/>
      <c r="C793" s="92"/>
      <c r="D793" s="92"/>
      <c r="E793" s="92"/>
      <c r="F793" s="92"/>
      <c r="G793" s="92"/>
      <c r="H793" s="91"/>
      <c r="I793" s="91"/>
      <c r="J793" s="91"/>
      <c r="K793" s="91"/>
      <c r="L793" s="91"/>
      <c r="M793" s="91"/>
      <c r="N793" s="91"/>
      <c r="O793" s="91"/>
      <c r="P793" s="91"/>
      <c r="Q793" s="91"/>
      <c r="R793" s="91"/>
      <c r="S793" s="91"/>
    </row>
    <row r="794" spans="1:19" ht="15.75" customHeight="1" x14ac:dyDescent="0.25">
      <c r="A794" s="92"/>
      <c r="B794" s="93"/>
      <c r="C794" s="92"/>
      <c r="D794" s="92"/>
      <c r="E794" s="92"/>
      <c r="F794" s="92"/>
      <c r="G794" s="92"/>
      <c r="H794" s="91"/>
      <c r="I794" s="91"/>
      <c r="J794" s="91"/>
      <c r="K794" s="91"/>
      <c r="L794" s="91"/>
      <c r="M794" s="91"/>
      <c r="N794" s="91"/>
      <c r="O794" s="91"/>
      <c r="P794" s="91"/>
      <c r="Q794" s="91"/>
      <c r="R794" s="91"/>
      <c r="S794" s="91"/>
    </row>
    <row r="795" spans="1:19" ht="15.75" customHeight="1" x14ac:dyDescent="0.25">
      <c r="A795" s="92"/>
      <c r="B795" s="93"/>
      <c r="C795" s="92"/>
      <c r="D795" s="92"/>
      <c r="E795" s="92"/>
      <c r="F795" s="92"/>
      <c r="G795" s="92"/>
      <c r="H795" s="91"/>
      <c r="I795" s="91"/>
      <c r="J795" s="91"/>
      <c r="K795" s="91"/>
      <c r="L795" s="91"/>
      <c r="M795" s="91"/>
      <c r="N795" s="91"/>
      <c r="O795" s="91"/>
      <c r="P795" s="91"/>
      <c r="Q795" s="91"/>
      <c r="R795" s="91"/>
      <c r="S795" s="91"/>
    </row>
    <row r="796" spans="1:19" ht="15.75" customHeight="1" x14ac:dyDescent="0.25">
      <c r="A796" s="92"/>
      <c r="B796" s="93"/>
      <c r="C796" s="92"/>
      <c r="D796" s="92"/>
      <c r="E796" s="92"/>
      <c r="F796" s="92"/>
      <c r="G796" s="92"/>
      <c r="H796" s="91"/>
      <c r="I796" s="91"/>
      <c r="J796" s="91"/>
      <c r="K796" s="91"/>
      <c r="L796" s="91"/>
      <c r="M796" s="91"/>
      <c r="N796" s="91"/>
      <c r="O796" s="91"/>
      <c r="P796" s="91"/>
      <c r="Q796" s="91"/>
      <c r="R796" s="91"/>
      <c r="S796" s="91"/>
    </row>
    <row r="797" spans="1:19" ht="15.75" customHeight="1" x14ac:dyDescent="0.25">
      <c r="A797" s="92"/>
      <c r="B797" s="93"/>
      <c r="C797" s="92"/>
      <c r="D797" s="92"/>
      <c r="E797" s="92"/>
      <c r="F797" s="92"/>
      <c r="G797" s="92"/>
      <c r="H797" s="91"/>
      <c r="I797" s="91"/>
      <c r="J797" s="91"/>
      <c r="K797" s="91"/>
      <c r="L797" s="91"/>
      <c r="M797" s="91"/>
      <c r="N797" s="91"/>
      <c r="O797" s="91"/>
      <c r="P797" s="91"/>
      <c r="Q797" s="91"/>
      <c r="R797" s="91"/>
      <c r="S797" s="91"/>
    </row>
    <row r="798" spans="1:19" ht="15.75" customHeight="1" x14ac:dyDescent="0.25">
      <c r="A798" s="92"/>
      <c r="B798" s="93"/>
      <c r="C798" s="92"/>
      <c r="D798" s="92"/>
      <c r="E798" s="92"/>
      <c r="F798" s="92"/>
      <c r="G798" s="92"/>
      <c r="H798" s="91"/>
      <c r="I798" s="91"/>
      <c r="J798" s="91"/>
      <c r="K798" s="91"/>
      <c r="L798" s="91"/>
      <c r="M798" s="91"/>
      <c r="N798" s="91"/>
      <c r="O798" s="91"/>
      <c r="P798" s="91"/>
      <c r="Q798" s="91"/>
      <c r="R798" s="91"/>
      <c r="S798" s="91"/>
    </row>
    <row r="799" spans="1:19" ht="15.75" customHeight="1" x14ac:dyDescent="0.25">
      <c r="A799" s="92"/>
      <c r="B799" s="93"/>
      <c r="C799" s="92"/>
      <c r="D799" s="92"/>
      <c r="E799" s="92"/>
      <c r="F799" s="92"/>
      <c r="G799" s="92"/>
      <c r="H799" s="91"/>
      <c r="I799" s="91"/>
      <c r="J799" s="91"/>
      <c r="K799" s="91"/>
      <c r="L799" s="91"/>
      <c r="M799" s="91"/>
      <c r="N799" s="91"/>
      <c r="O799" s="91"/>
      <c r="P799" s="91"/>
      <c r="Q799" s="91"/>
      <c r="R799" s="91"/>
      <c r="S799" s="91"/>
    </row>
    <row r="800" spans="1:19" ht="15.75" customHeight="1" x14ac:dyDescent="0.25">
      <c r="A800" s="92"/>
      <c r="B800" s="93"/>
      <c r="C800" s="92"/>
      <c r="D800" s="92"/>
      <c r="E800" s="92"/>
      <c r="F800" s="92"/>
      <c r="G800" s="92"/>
      <c r="H800" s="91"/>
      <c r="I800" s="91"/>
      <c r="J800" s="91"/>
      <c r="K800" s="91"/>
      <c r="L800" s="91"/>
      <c r="M800" s="91"/>
      <c r="N800" s="91"/>
      <c r="O800" s="91"/>
      <c r="P800" s="91"/>
      <c r="Q800" s="91"/>
      <c r="R800" s="91"/>
      <c r="S800" s="91"/>
    </row>
    <row r="801" spans="1:19" ht="15.75" customHeight="1" x14ac:dyDescent="0.25">
      <c r="A801" s="92"/>
      <c r="B801" s="93"/>
      <c r="C801" s="92"/>
      <c r="D801" s="92"/>
      <c r="E801" s="92"/>
      <c r="F801" s="92"/>
      <c r="G801" s="92"/>
      <c r="H801" s="91"/>
      <c r="I801" s="91"/>
      <c r="J801" s="91"/>
      <c r="K801" s="91"/>
      <c r="L801" s="91"/>
      <c r="M801" s="91"/>
      <c r="N801" s="91"/>
      <c r="O801" s="91"/>
      <c r="P801" s="91"/>
      <c r="Q801" s="91"/>
      <c r="R801" s="91"/>
      <c r="S801" s="91"/>
    </row>
    <row r="802" spans="1:19" ht="15.75" customHeight="1" x14ac:dyDescent="0.25">
      <c r="A802" s="92"/>
      <c r="B802" s="93"/>
      <c r="C802" s="92"/>
      <c r="D802" s="92"/>
      <c r="E802" s="92"/>
      <c r="F802" s="92"/>
      <c r="G802" s="92"/>
      <c r="H802" s="91"/>
      <c r="I802" s="91"/>
      <c r="J802" s="91"/>
      <c r="K802" s="91"/>
      <c r="L802" s="91"/>
      <c r="M802" s="91"/>
      <c r="N802" s="91"/>
      <c r="O802" s="91"/>
      <c r="P802" s="91"/>
      <c r="Q802" s="91"/>
      <c r="R802" s="91"/>
      <c r="S802" s="91"/>
    </row>
    <row r="803" spans="1:19" ht="15.75" customHeight="1" x14ac:dyDescent="0.25">
      <c r="A803" s="92"/>
      <c r="B803" s="93"/>
      <c r="C803" s="92"/>
      <c r="D803" s="92"/>
      <c r="E803" s="92"/>
      <c r="F803" s="92"/>
      <c r="G803" s="92"/>
      <c r="H803" s="91"/>
      <c r="I803" s="91"/>
      <c r="J803" s="91"/>
      <c r="K803" s="91"/>
      <c r="L803" s="91"/>
      <c r="M803" s="91"/>
      <c r="N803" s="91"/>
      <c r="O803" s="91"/>
      <c r="P803" s="91"/>
      <c r="Q803" s="91"/>
      <c r="R803" s="91"/>
      <c r="S803" s="91"/>
    </row>
    <row r="804" spans="1:19" ht="15.75" customHeight="1" x14ac:dyDescent="0.25">
      <c r="A804" s="92"/>
      <c r="B804" s="93"/>
      <c r="C804" s="92"/>
      <c r="D804" s="92"/>
      <c r="E804" s="92"/>
      <c r="F804" s="92"/>
      <c r="G804" s="92"/>
      <c r="H804" s="91"/>
      <c r="I804" s="91"/>
      <c r="J804" s="91"/>
      <c r="K804" s="91"/>
      <c r="L804" s="91"/>
      <c r="M804" s="91"/>
      <c r="N804" s="91"/>
      <c r="O804" s="91"/>
      <c r="P804" s="91"/>
      <c r="Q804" s="91"/>
      <c r="R804" s="91"/>
      <c r="S804" s="91"/>
    </row>
    <row r="805" spans="1:19" ht="15.75" customHeight="1" x14ac:dyDescent="0.25">
      <c r="A805" s="92"/>
      <c r="B805" s="93"/>
      <c r="C805" s="92"/>
      <c r="D805" s="92"/>
      <c r="E805" s="92"/>
      <c r="F805" s="92"/>
      <c r="G805" s="92"/>
      <c r="H805" s="91"/>
      <c r="I805" s="91"/>
      <c r="J805" s="91"/>
      <c r="K805" s="91"/>
      <c r="L805" s="91"/>
      <c r="M805" s="91"/>
      <c r="N805" s="91"/>
      <c r="O805" s="91"/>
      <c r="P805" s="91"/>
      <c r="Q805" s="91"/>
      <c r="R805" s="91"/>
      <c r="S805" s="91"/>
    </row>
    <row r="806" spans="1:19" ht="15.75" customHeight="1" x14ac:dyDescent="0.25">
      <c r="A806" s="92"/>
      <c r="B806" s="93"/>
      <c r="C806" s="92"/>
      <c r="D806" s="92"/>
      <c r="E806" s="92"/>
      <c r="F806" s="92"/>
      <c r="G806" s="92"/>
      <c r="H806" s="91"/>
      <c r="I806" s="91"/>
      <c r="J806" s="91"/>
      <c r="K806" s="91"/>
      <c r="L806" s="91"/>
      <c r="M806" s="91"/>
      <c r="N806" s="91"/>
      <c r="O806" s="91"/>
      <c r="P806" s="91"/>
      <c r="Q806" s="91"/>
      <c r="R806" s="91"/>
      <c r="S806" s="91"/>
    </row>
    <row r="807" spans="1:19" ht="15.75" customHeight="1" x14ac:dyDescent="0.25">
      <c r="A807" s="92"/>
      <c r="B807" s="93"/>
      <c r="C807" s="92"/>
      <c r="D807" s="92"/>
      <c r="E807" s="92"/>
      <c r="F807" s="92"/>
      <c r="G807" s="92"/>
      <c r="H807" s="91"/>
      <c r="I807" s="91"/>
      <c r="J807" s="91"/>
      <c r="K807" s="91"/>
      <c r="L807" s="91"/>
      <c r="M807" s="91"/>
      <c r="N807" s="91"/>
      <c r="O807" s="91"/>
      <c r="P807" s="91"/>
      <c r="Q807" s="91"/>
      <c r="R807" s="91"/>
      <c r="S807" s="91"/>
    </row>
    <row r="808" spans="1:19" ht="15.75" customHeight="1" x14ac:dyDescent="0.25">
      <c r="A808" s="92"/>
      <c r="B808" s="93"/>
      <c r="C808" s="92"/>
      <c r="D808" s="92"/>
      <c r="E808" s="92"/>
      <c r="F808" s="92"/>
      <c r="G808" s="92"/>
      <c r="H808" s="91"/>
      <c r="I808" s="91"/>
      <c r="J808" s="91"/>
      <c r="K808" s="91"/>
      <c r="L808" s="91"/>
      <c r="M808" s="91"/>
      <c r="N808" s="91"/>
      <c r="O808" s="91"/>
      <c r="P808" s="91"/>
      <c r="Q808" s="91"/>
      <c r="R808" s="91"/>
      <c r="S808" s="91"/>
    </row>
    <row r="809" spans="1:19" ht="15.75" customHeight="1" x14ac:dyDescent="0.25">
      <c r="A809" s="92"/>
      <c r="B809" s="93"/>
      <c r="C809" s="92"/>
      <c r="D809" s="92"/>
      <c r="E809" s="92"/>
      <c r="F809" s="92"/>
      <c r="G809" s="92"/>
      <c r="H809" s="91"/>
      <c r="I809" s="91"/>
      <c r="J809" s="91"/>
      <c r="K809" s="91"/>
      <c r="L809" s="91"/>
      <c r="M809" s="91"/>
      <c r="N809" s="91"/>
      <c r="O809" s="91"/>
      <c r="P809" s="91"/>
      <c r="Q809" s="91"/>
      <c r="R809" s="91"/>
      <c r="S809" s="91"/>
    </row>
    <row r="810" spans="1:19" ht="15.75" customHeight="1" x14ac:dyDescent="0.25">
      <c r="A810" s="92"/>
      <c r="B810" s="93"/>
      <c r="C810" s="92"/>
      <c r="D810" s="92"/>
      <c r="E810" s="92"/>
      <c r="F810" s="92"/>
      <c r="G810" s="92"/>
      <c r="H810" s="91"/>
      <c r="I810" s="91"/>
      <c r="J810" s="91"/>
      <c r="K810" s="91"/>
      <c r="L810" s="91"/>
      <c r="M810" s="91"/>
      <c r="N810" s="91"/>
      <c r="O810" s="91"/>
      <c r="P810" s="91"/>
      <c r="Q810" s="91"/>
      <c r="R810" s="91"/>
      <c r="S810" s="91"/>
    </row>
    <row r="811" spans="1:19" ht="15.75" customHeight="1" x14ac:dyDescent="0.25">
      <c r="A811" s="92"/>
      <c r="B811" s="93"/>
      <c r="C811" s="92"/>
      <c r="D811" s="92"/>
      <c r="E811" s="92"/>
      <c r="F811" s="92"/>
      <c r="G811" s="92"/>
      <c r="H811" s="91"/>
      <c r="I811" s="91"/>
      <c r="J811" s="91"/>
      <c r="K811" s="91"/>
      <c r="L811" s="91"/>
      <c r="M811" s="91"/>
      <c r="N811" s="91"/>
      <c r="O811" s="91"/>
      <c r="P811" s="91"/>
      <c r="Q811" s="91"/>
      <c r="R811" s="91"/>
      <c r="S811" s="91"/>
    </row>
    <row r="812" spans="1:19" ht="15.75" customHeight="1" x14ac:dyDescent="0.25">
      <c r="A812" s="92"/>
      <c r="B812" s="93"/>
      <c r="C812" s="92"/>
      <c r="D812" s="92"/>
      <c r="E812" s="92"/>
      <c r="F812" s="92"/>
      <c r="G812" s="92"/>
      <c r="H812" s="91"/>
      <c r="I812" s="91"/>
      <c r="J812" s="91"/>
      <c r="K812" s="91"/>
      <c r="L812" s="91"/>
      <c r="M812" s="91"/>
      <c r="N812" s="91"/>
      <c r="O812" s="91"/>
      <c r="P812" s="91"/>
      <c r="Q812" s="91"/>
      <c r="R812" s="91"/>
      <c r="S812" s="91"/>
    </row>
    <row r="813" spans="1:19" ht="15.75" customHeight="1" x14ac:dyDescent="0.25">
      <c r="A813" s="92"/>
      <c r="B813" s="93"/>
      <c r="C813" s="92"/>
      <c r="D813" s="92"/>
      <c r="E813" s="92"/>
      <c r="F813" s="92"/>
      <c r="G813" s="92"/>
      <c r="H813" s="91"/>
      <c r="I813" s="91"/>
      <c r="J813" s="91"/>
      <c r="K813" s="91"/>
      <c r="L813" s="91"/>
      <c r="M813" s="91"/>
      <c r="N813" s="91"/>
      <c r="O813" s="91"/>
      <c r="P813" s="91"/>
      <c r="Q813" s="91"/>
      <c r="R813" s="91"/>
      <c r="S813" s="91"/>
    </row>
    <row r="814" spans="1:19" ht="15.75" customHeight="1" x14ac:dyDescent="0.25">
      <c r="A814" s="92"/>
      <c r="B814" s="93"/>
      <c r="C814" s="92"/>
      <c r="D814" s="92"/>
      <c r="E814" s="92"/>
      <c r="F814" s="92"/>
      <c r="G814" s="92"/>
      <c r="H814" s="91"/>
      <c r="I814" s="91"/>
      <c r="J814" s="91"/>
      <c r="K814" s="91"/>
      <c r="L814" s="91"/>
      <c r="M814" s="91"/>
      <c r="N814" s="91"/>
      <c r="O814" s="91"/>
      <c r="P814" s="91"/>
      <c r="Q814" s="91"/>
      <c r="R814" s="91"/>
      <c r="S814" s="91"/>
    </row>
    <row r="815" spans="1:19" ht="15.75" customHeight="1" x14ac:dyDescent="0.25">
      <c r="A815" s="92"/>
      <c r="B815" s="93"/>
      <c r="C815" s="92"/>
      <c r="D815" s="92"/>
      <c r="E815" s="92"/>
      <c r="F815" s="92"/>
      <c r="G815" s="92"/>
      <c r="H815" s="91"/>
      <c r="I815" s="91"/>
      <c r="J815" s="91"/>
      <c r="K815" s="91"/>
      <c r="L815" s="91"/>
      <c r="M815" s="91"/>
      <c r="N815" s="91"/>
      <c r="O815" s="91"/>
      <c r="P815" s="91"/>
      <c r="Q815" s="91"/>
      <c r="R815" s="91"/>
      <c r="S815" s="91"/>
    </row>
    <row r="816" spans="1:19" ht="15.75" customHeight="1" x14ac:dyDescent="0.25">
      <c r="A816" s="92"/>
      <c r="B816" s="93"/>
      <c r="C816" s="92"/>
      <c r="D816" s="92"/>
      <c r="E816" s="92"/>
      <c r="F816" s="92"/>
      <c r="G816" s="92"/>
      <c r="H816" s="91"/>
      <c r="I816" s="91"/>
      <c r="J816" s="91"/>
      <c r="K816" s="91"/>
      <c r="L816" s="91"/>
      <c r="M816" s="91"/>
      <c r="N816" s="91"/>
      <c r="O816" s="91"/>
      <c r="P816" s="91"/>
      <c r="Q816" s="91"/>
      <c r="R816" s="91"/>
      <c r="S816" s="91"/>
    </row>
    <row r="817" spans="1:19" ht="15.75" customHeight="1" x14ac:dyDescent="0.25">
      <c r="A817" s="92"/>
      <c r="B817" s="93"/>
      <c r="C817" s="92"/>
      <c r="D817" s="92"/>
      <c r="E817" s="92"/>
      <c r="F817" s="92"/>
      <c r="G817" s="92"/>
      <c r="H817" s="91"/>
      <c r="I817" s="91"/>
      <c r="J817" s="91"/>
      <c r="K817" s="91"/>
      <c r="L817" s="91"/>
      <c r="M817" s="91"/>
      <c r="N817" s="91"/>
      <c r="O817" s="91"/>
      <c r="P817" s="91"/>
      <c r="Q817" s="91"/>
      <c r="R817" s="91"/>
      <c r="S817" s="91"/>
    </row>
    <row r="818" spans="1:19" ht="15.75" customHeight="1" x14ac:dyDescent="0.25">
      <c r="A818" s="92"/>
      <c r="B818" s="93"/>
      <c r="C818" s="92"/>
      <c r="D818" s="92"/>
      <c r="E818" s="92"/>
      <c r="F818" s="92"/>
      <c r="G818" s="92"/>
      <c r="H818" s="91"/>
      <c r="I818" s="91"/>
      <c r="J818" s="91"/>
      <c r="K818" s="91"/>
      <c r="L818" s="91"/>
      <c r="M818" s="91"/>
      <c r="N818" s="91"/>
      <c r="O818" s="91"/>
      <c r="P818" s="91"/>
      <c r="Q818" s="91"/>
      <c r="R818" s="91"/>
      <c r="S818" s="91"/>
    </row>
    <row r="819" spans="1:19" ht="15.75" customHeight="1" x14ac:dyDescent="0.25">
      <c r="A819" s="92"/>
      <c r="B819" s="93"/>
      <c r="C819" s="92"/>
      <c r="D819" s="92"/>
      <c r="E819" s="92"/>
      <c r="F819" s="92"/>
      <c r="G819" s="92"/>
      <c r="H819" s="91"/>
      <c r="I819" s="91"/>
      <c r="J819" s="91"/>
      <c r="K819" s="91"/>
      <c r="L819" s="91"/>
      <c r="M819" s="91"/>
      <c r="N819" s="91"/>
      <c r="O819" s="91"/>
      <c r="P819" s="91"/>
      <c r="Q819" s="91"/>
      <c r="R819" s="91"/>
      <c r="S819" s="91"/>
    </row>
    <row r="820" spans="1:19" ht="15.75" customHeight="1" x14ac:dyDescent="0.25">
      <c r="A820" s="92"/>
      <c r="B820" s="93"/>
      <c r="C820" s="92"/>
      <c r="D820" s="92"/>
      <c r="E820" s="92"/>
      <c r="F820" s="92"/>
      <c r="G820" s="92"/>
      <c r="H820" s="91"/>
      <c r="I820" s="91"/>
      <c r="J820" s="91"/>
      <c r="K820" s="91"/>
      <c r="L820" s="91"/>
      <c r="M820" s="91"/>
      <c r="N820" s="91"/>
      <c r="O820" s="91"/>
      <c r="P820" s="91"/>
      <c r="Q820" s="91"/>
      <c r="R820" s="91"/>
      <c r="S820" s="91"/>
    </row>
    <row r="821" spans="1:19" ht="15.75" customHeight="1" x14ac:dyDescent="0.25">
      <c r="A821" s="92"/>
      <c r="B821" s="93"/>
      <c r="C821" s="92"/>
      <c r="D821" s="92"/>
      <c r="E821" s="92"/>
      <c r="F821" s="92"/>
      <c r="G821" s="92"/>
      <c r="H821" s="91"/>
      <c r="I821" s="91"/>
      <c r="J821" s="91"/>
      <c r="K821" s="91"/>
      <c r="L821" s="91"/>
      <c r="M821" s="91"/>
      <c r="N821" s="91"/>
      <c r="O821" s="91"/>
      <c r="P821" s="91"/>
      <c r="Q821" s="91"/>
      <c r="R821" s="91"/>
      <c r="S821" s="91"/>
    </row>
    <row r="822" spans="1:19" ht="15.75" customHeight="1" x14ac:dyDescent="0.25">
      <c r="A822" s="92"/>
      <c r="B822" s="93"/>
      <c r="C822" s="92"/>
      <c r="D822" s="92"/>
      <c r="E822" s="92"/>
      <c r="F822" s="92"/>
      <c r="G822" s="92"/>
      <c r="H822" s="91"/>
      <c r="I822" s="91"/>
      <c r="J822" s="91"/>
      <c r="K822" s="91"/>
      <c r="L822" s="91"/>
      <c r="M822" s="91"/>
      <c r="N822" s="91"/>
      <c r="O822" s="91"/>
      <c r="P822" s="91"/>
      <c r="Q822" s="91"/>
      <c r="R822" s="91"/>
      <c r="S822" s="91"/>
    </row>
    <row r="823" spans="1:19" ht="15.75" customHeight="1" x14ac:dyDescent="0.25">
      <c r="A823" s="92"/>
      <c r="B823" s="93"/>
      <c r="C823" s="92"/>
      <c r="D823" s="92"/>
      <c r="E823" s="92"/>
      <c r="F823" s="92"/>
      <c r="G823" s="92"/>
      <c r="H823" s="91"/>
      <c r="I823" s="91"/>
      <c r="J823" s="91"/>
      <c r="K823" s="91"/>
      <c r="L823" s="91"/>
      <c r="M823" s="91"/>
      <c r="N823" s="91"/>
      <c r="O823" s="91"/>
      <c r="P823" s="91"/>
      <c r="Q823" s="91"/>
      <c r="R823" s="91"/>
      <c r="S823" s="91"/>
    </row>
    <row r="824" spans="1:19" ht="15.75" customHeight="1" x14ac:dyDescent="0.25">
      <c r="A824" s="92"/>
      <c r="B824" s="93"/>
      <c r="C824" s="92"/>
      <c r="D824" s="92"/>
      <c r="E824" s="92"/>
      <c r="F824" s="92"/>
      <c r="G824" s="92"/>
      <c r="H824" s="91"/>
      <c r="I824" s="91"/>
      <c r="J824" s="91"/>
      <c r="K824" s="91"/>
      <c r="L824" s="91"/>
      <c r="M824" s="91"/>
      <c r="N824" s="91"/>
      <c r="O824" s="91"/>
      <c r="P824" s="91"/>
      <c r="Q824" s="91"/>
      <c r="R824" s="91"/>
      <c r="S824" s="91"/>
    </row>
    <row r="825" spans="1:19" ht="15.75" customHeight="1" x14ac:dyDescent="0.25">
      <c r="A825" s="92"/>
      <c r="B825" s="93"/>
      <c r="C825" s="92"/>
      <c r="D825" s="92"/>
      <c r="E825" s="92"/>
      <c r="F825" s="92"/>
      <c r="G825" s="92"/>
      <c r="H825" s="91"/>
      <c r="I825" s="91"/>
      <c r="J825" s="91"/>
      <c r="K825" s="91"/>
      <c r="L825" s="91"/>
      <c r="M825" s="91"/>
      <c r="N825" s="91"/>
      <c r="O825" s="91"/>
      <c r="P825" s="91"/>
      <c r="Q825" s="91"/>
      <c r="R825" s="91"/>
      <c r="S825" s="91"/>
    </row>
    <row r="826" spans="1:19" ht="15.75" customHeight="1" x14ac:dyDescent="0.25">
      <c r="A826" s="92"/>
      <c r="B826" s="93"/>
      <c r="C826" s="92"/>
      <c r="D826" s="92"/>
      <c r="E826" s="92"/>
      <c r="F826" s="92"/>
      <c r="G826" s="92"/>
      <c r="H826" s="91"/>
      <c r="I826" s="91"/>
      <c r="J826" s="91"/>
      <c r="K826" s="91"/>
      <c r="L826" s="91"/>
      <c r="M826" s="91"/>
      <c r="N826" s="91"/>
      <c r="O826" s="91"/>
      <c r="P826" s="91"/>
      <c r="Q826" s="91"/>
      <c r="R826" s="91"/>
      <c r="S826" s="91"/>
    </row>
    <row r="827" spans="1:19" ht="15.75" customHeight="1" x14ac:dyDescent="0.25">
      <c r="A827" s="92"/>
      <c r="B827" s="93"/>
      <c r="C827" s="92"/>
      <c r="D827" s="92"/>
      <c r="E827" s="92"/>
      <c r="F827" s="92"/>
      <c r="G827" s="92"/>
      <c r="H827" s="91"/>
      <c r="I827" s="91"/>
      <c r="J827" s="91"/>
      <c r="K827" s="91"/>
      <c r="L827" s="91"/>
      <c r="M827" s="91"/>
      <c r="N827" s="91"/>
      <c r="O827" s="91"/>
      <c r="P827" s="91"/>
      <c r="Q827" s="91"/>
      <c r="R827" s="91"/>
      <c r="S827" s="91"/>
    </row>
    <row r="828" spans="1:19" ht="15.75" customHeight="1" x14ac:dyDescent="0.25">
      <c r="A828" s="92"/>
      <c r="B828" s="93"/>
      <c r="C828" s="92"/>
      <c r="D828" s="92"/>
      <c r="E828" s="92"/>
      <c r="F828" s="92"/>
      <c r="G828" s="92"/>
      <c r="H828" s="91"/>
      <c r="I828" s="91"/>
      <c r="J828" s="91"/>
      <c r="K828" s="91"/>
      <c r="L828" s="91"/>
      <c r="M828" s="91"/>
      <c r="N828" s="91"/>
      <c r="O828" s="91"/>
      <c r="P828" s="91"/>
      <c r="Q828" s="91"/>
      <c r="R828" s="91"/>
      <c r="S828" s="91"/>
    </row>
    <row r="829" spans="1:19" ht="15.75" customHeight="1" x14ac:dyDescent="0.25">
      <c r="A829" s="92"/>
      <c r="B829" s="93"/>
      <c r="C829" s="92"/>
      <c r="D829" s="92"/>
      <c r="E829" s="92"/>
      <c r="F829" s="92"/>
      <c r="G829" s="92"/>
      <c r="H829" s="91"/>
      <c r="I829" s="91"/>
      <c r="J829" s="91"/>
      <c r="K829" s="91"/>
      <c r="L829" s="91"/>
      <c r="M829" s="91"/>
      <c r="N829" s="91"/>
      <c r="O829" s="91"/>
      <c r="P829" s="91"/>
      <c r="Q829" s="91"/>
      <c r="R829" s="91"/>
      <c r="S829" s="91"/>
    </row>
    <row r="830" spans="1:19" ht="15.75" customHeight="1" x14ac:dyDescent="0.25">
      <c r="A830" s="92"/>
      <c r="B830" s="93"/>
      <c r="C830" s="92"/>
      <c r="D830" s="92"/>
      <c r="E830" s="92"/>
      <c r="F830" s="92"/>
      <c r="G830" s="92"/>
      <c r="H830" s="91"/>
      <c r="I830" s="91"/>
      <c r="J830" s="91"/>
      <c r="K830" s="91"/>
      <c r="L830" s="91"/>
      <c r="M830" s="91"/>
      <c r="N830" s="91"/>
      <c r="O830" s="91"/>
      <c r="P830" s="91"/>
      <c r="Q830" s="91"/>
      <c r="R830" s="91"/>
      <c r="S830" s="91"/>
    </row>
    <row r="831" spans="1:19" ht="15.75" customHeight="1" x14ac:dyDescent="0.25">
      <c r="A831" s="92"/>
      <c r="B831" s="93"/>
      <c r="C831" s="92"/>
      <c r="D831" s="92"/>
      <c r="E831" s="92"/>
      <c r="F831" s="92"/>
      <c r="G831" s="92"/>
      <c r="H831" s="91"/>
      <c r="I831" s="91"/>
      <c r="J831" s="91"/>
      <c r="K831" s="91"/>
      <c r="L831" s="91"/>
      <c r="M831" s="91"/>
      <c r="N831" s="91"/>
      <c r="O831" s="91"/>
      <c r="P831" s="91"/>
      <c r="Q831" s="91"/>
      <c r="R831" s="91"/>
      <c r="S831" s="91"/>
    </row>
    <row r="832" spans="1:19" ht="15.75" customHeight="1" x14ac:dyDescent="0.25">
      <c r="A832" s="92"/>
      <c r="B832" s="93"/>
      <c r="C832" s="92"/>
      <c r="D832" s="92"/>
      <c r="E832" s="92"/>
      <c r="F832" s="92"/>
      <c r="G832" s="92"/>
      <c r="H832" s="91"/>
      <c r="I832" s="91"/>
      <c r="J832" s="91"/>
      <c r="K832" s="91"/>
      <c r="L832" s="91"/>
      <c r="M832" s="91"/>
      <c r="N832" s="91"/>
      <c r="O832" s="91"/>
      <c r="P832" s="91"/>
      <c r="Q832" s="91"/>
      <c r="R832" s="91"/>
      <c r="S832" s="91"/>
    </row>
    <row r="833" spans="1:19" ht="15.75" customHeight="1" x14ac:dyDescent="0.25">
      <c r="A833" s="92"/>
      <c r="B833" s="93"/>
      <c r="C833" s="92"/>
      <c r="D833" s="92"/>
      <c r="E833" s="92"/>
      <c r="F833" s="92"/>
      <c r="G833" s="92"/>
      <c r="H833" s="91"/>
      <c r="I833" s="91"/>
      <c r="J833" s="91"/>
      <c r="K833" s="91"/>
      <c r="L833" s="91"/>
      <c r="M833" s="91"/>
      <c r="N833" s="91"/>
      <c r="O833" s="91"/>
      <c r="P833" s="91"/>
      <c r="Q833" s="91"/>
      <c r="R833" s="91"/>
      <c r="S833" s="91"/>
    </row>
    <row r="834" spans="1:19" ht="15.75" customHeight="1" x14ac:dyDescent="0.25">
      <c r="A834" s="92"/>
      <c r="B834" s="93"/>
      <c r="C834" s="92"/>
      <c r="D834" s="92"/>
      <c r="E834" s="92"/>
      <c r="F834" s="92"/>
      <c r="G834" s="92"/>
      <c r="H834" s="91"/>
      <c r="I834" s="91"/>
      <c r="J834" s="91"/>
      <c r="K834" s="91"/>
      <c r="L834" s="91"/>
      <c r="M834" s="91"/>
      <c r="N834" s="91"/>
      <c r="O834" s="91"/>
      <c r="P834" s="91"/>
      <c r="Q834" s="91"/>
      <c r="R834" s="91"/>
      <c r="S834" s="91"/>
    </row>
    <row r="835" spans="1:19" ht="15.75" customHeight="1" x14ac:dyDescent="0.25">
      <c r="A835" s="92"/>
      <c r="B835" s="93"/>
      <c r="C835" s="92"/>
      <c r="D835" s="92"/>
      <c r="E835" s="92"/>
      <c r="F835" s="92"/>
      <c r="G835" s="92"/>
      <c r="H835" s="91"/>
      <c r="I835" s="91"/>
      <c r="J835" s="91"/>
      <c r="K835" s="91"/>
      <c r="L835" s="91"/>
      <c r="M835" s="91"/>
      <c r="N835" s="91"/>
      <c r="O835" s="91"/>
      <c r="P835" s="91"/>
      <c r="Q835" s="91"/>
      <c r="R835" s="91"/>
      <c r="S835" s="91"/>
    </row>
    <row r="836" spans="1:19" ht="15.75" customHeight="1" x14ac:dyDescent="0.25">
      <c r="A836" s="92"/>
      <c r="B836" s="93"/>
      <c r="C836" s="92"/>
      <c r="D836" s="92"/>
      <c r="E836" s="92"/>
      <c r="F836" s="92"/>
      <c r="G836" s="92"/>
      <c r="H836" s="91"/>
      <c r="I836" s="91"/>
      <c r="J836" s="91"/>
      <c r="K836" s="91"/>
      <c r="L836" s="91"/>
      <c r="M836" s="91"/>
      <c r="N836" s="91"/>
      <c r="O836" s="91"/>
      <c r="P836" s="91"/>
      <c r="Q836" s="91"/>
      <c r="R836" s="91"/>
      <c r="S836" s="91"/>
    </row>
    <row r="837" spans="1:19" ht="15.75" customHeight="1" x14ac:dyDescent="0.25">
      <c r="A837" s="92"/>
      <c r="B837" s="93"/>
      <c r="C837" s="92"/>
      <c r="D837" s="92"/>
      <c r="E837" s="92"/>
      <c r="F837" s="92"/>
      <c r="G837" s="92"/>
      <c r="H837" s="91"/>
      <c r="I837" s="91"/>
      <c r="J837" s="91"/>
      <c r="K837" s="91"/>
      <c r="L837" s="91"/>
      <c r="M837" s="91"/>
      <c r="N837" s="91"/>
      <c r="O837" s="91"/>
      <c r="P837" s="91"/>
      <c r="Q837" s="91"/>
      <c r="R837" s="91"/>
      <c r="S837" s="91"/>
    </row>
    <row r="838" spans="1:19" ht="15.75" customHeight="1" x14ac:dyDescent="0.25">
      <c r="A838" s="92"/>
      <c r="B838" s="93"/>
      <c r="C838" s="92"/>
      <c r="D838" s="92"/>
      <c r="E838" s="92"/>
      <c r="F838" s="92"/>
      <c r="G838" s="92"/>
      <c r="H838" s="91"/>
      <c r="I838" s="91"/>
      <c r="J838" s="91"/>
      <c r="K838" s="91"/>
      <c r="L838" s="91"/>
      <c r="M838" s="91"/>
      <c r="N838" s="91"/>
      <c r="O838" s="91"/>
      <c r="P838" s="91"/>
      <c r="Q838" s="91"/>
      <c r="R838" s="91"/>
      <c r="S838" s="91"/>
    </row>
    <row r="839" spans="1:19" ht="15.75" customHeight="1" x14ac:dyDescent="0.25">
      <c r="A839" s="92"/>
      <c r="B839" s="93"/>
      <c r="C839" s="92"/>
      <c r="D839" s="92"/>
      <c r="E839" s="92"/>
      <c r="F839" s="92"/>
      <c r="G839" s="92"/>
      <c r="H839" s="91"/>
      <c r="I839" s="91"/>
      <c r="J839" s="91"/>
      <c r="K839" s="91"/>
      <c r="L839" s="91"/>
      <c r="M839" s="91"/>
      <c r="N839" s="91"/>
      <c r="O839" s="91"/>
      <c r="P839" s="91"/>
      <c r="Q839" s="91"/>
      <c r="R839" s="91"/>
      <c r="S839" s="91"/>
    </row>
    <row r="840" spans="1:19" ht="15.75" customHeight="1" x14ac:dyDescent="0.25">
      <c r="A840" s="92"/>
      <c r="B840" s="93"/>
      <c r="C840" s="92"/>
      <c r="D840" s="92"/>
      <c r="E840" s="92"/>
      <c r="F840" s="92"/>
      <c r="G840" s="92"/>
      <c r="H840" s="91"/>
      <c r="I840" s="91"/>
      <c r="J840" s="91"/>
      <c r="K840" s="91"/>
      <c r="L840" s="91"/>
      <c r="M840" s="91"/>
      <c r="N840" s="91"/>
      <c r="O840" s="91"/>
      <c r="P840" s="91"/>
      <c r="Q840" s="91"/>
      <c r="R840" s="91"/>
      <c r="S840" s="91"/>
    </row>
    <row r="841" spans="1:19" ht="15.75" customHeight="1" x14ac:dyDescent="0.25">
      <c r="A841" s="92"/>
      <c r="B841" s="93"/>
      <c r="C841" s="92"/>
      <c r="D841" s="92"/>
      <c r="E841" s="92"/>
      <c r="F841" s="92"/>
      <c r="G841" s="92"/>
      <c r="H841" s="91"/>
      <c r="I841" s="91"/>
      <c r="J841" s="91"/>
      <c r="K841" s="91"/>
      <c r="L841" s="91"/>
      <c r="M841" s="91"/>
      <c r="N841" s="91"/>
      <c r="O841" s="91"/>
      <c r="P841" s="91"/>
      <c r="Q841" s="91"/>
      <c r="R841" s="91"/>
      <c r="S841" s="91"/>
    </row>
    <row r="842" spans="1:19" ht="15.75" customHeight="1" x14ac:dyDescent="0.25">
      <c r="A842" s="92"/>
      <c r="B842" s="93"/>
      <c r="C842" s="92"/>
      <c r="D842" s="92"/>
      <c r="E842" s="92"/>
      <c r="F842" s="92"/>
      <c r="G842" s="92"/>
      <c r="H842" s="91"/>
      <c r="I842" s="91"/>
      <c r="J842" s="91"/>
      <c r="K842" s="91"/>
      <c r="L842" s="91"/>
      <c r="M842" s="91"/>
      <c r="N842" s="91"/>
      <c r="O842" s="91"/>
      <c r="P842" s="91"/>
      <c r="Q842" s="91"/>
      <c r="R842" s="91"/>
      <c r="S842" s="91"/>
    </row>
    <row r="843" spans="1:19" ht="15.75" customHeight="1" x14ac:dyDescent="0.25">
      <c r="A843" s="92"/>
      <c r="B843" s="93"/>
      <c r="C843" s="92"/>
      <c r="D843" s="92"/>
      <c r="E843" s="92"/>
      <c r="F843" s="92"/>
      <c r="G843" s="92"/>
      <c r="H843" s="91"/>
      <c r="I843" s="91"/>
      <c r="J843" s="91"/>
      <c r="K843" s="91"/>
      <c r="L843" s="91"/>
      <c r="M843" s="91"/>
      <c r="N843" s="91"/>
      <c r="O843" s="91"/>
      <c r="P843" s="91"/>
      <c r="Q843" s="91"/>
      <c r="R843" s="91"/>
      <c r="S843" s="91"/>
    </row>
    <row r="844" spans="1:19" ht="15.75" customHeight="1" x14ac:dyDescent="0.25">
      <c r="A844" s="92"/>
      <c r="B844" s="93"/>
      <c r="C844" s="92"/>
      <c r="D844" s="92"/>
      <c r="E844" s="92"/>
      <c r="F844" s="92"/>
      <c r="G844" s="92"/>
      <c r="H844" s="91"/>
      <c r="I844" s="91"/>
      <c r="J844" s="91"/>
      <c r="K844" s="91"/>
      <c r="L844" s="91"/>
      <c r="M844" s="91"/>
      <c r="N844" s="91"/>
      <c r="O844" s="91"/>
      <c r="P844" s="91"/>
      <c r="Q844" s="91"/>
      <c r="R844" s="91"/>
      <c r="S844" s="91"/>
    </row>
    <row r="845" spans="1:19" ht="15.75" customHeight="1" x14ac:dyDescent="0.25">
      <c r="A845" s="92"/>
      <c r="B845" s="93"/>
      <c r="C845" s="92"/>
      <c r="D845" s="92"/>
      <c r="E845" s="92"/>
      <c r="F845" s="92"/>
      <c r="G845" s="92"/>
      <c r="H845" s="91"/>
      <c r="I845" s="91"/>
      <c r="J845" s="91"/>
      <c r="K845" s="91"/>
      <c r="L845" s="91"/>
      <c r="M845" s="91"/>
      <c r="N845" s="91"/>
      <c r="O845" s="91"/>
      <c r="P845" s="91"/>
      <c r="Q845" s="91"/>
      <c r="R845" s="91"/>
      <c r="S845" s="91"/>
    </row>
    <row r="846" spans="1:19" ht="15.75" customHeight="1" x14ac:dyDescent="0.25">
      <c r="A846" s="92"/>
      <c r="B846" s="93"/>
      <c r="C846" s="92"/>
      <c r="D846" s="92"/>
      <c r="E846" s="92"/>
      <c r="F846" s="92"/>
      <c r="G846" s="92"/>
      <c r="H846" s="91"/>
      <c r="I846" s="91"/>
      <c r="J846" s="91"/>
      <c r="K846" s="91"/>
      <c r="L846" s="91"/>
      <c r="M846" s="91"/>
      <c r="N846" s="91"/>
      <c r="O846" s="91"/>
      <c r="P846" s="91"/>
      <c r="Q846" s="91"/>
      <c r="R846" s="91"/>
      <c r="S846" s="91"/>
    </row>
    <row r="847" spans="1:19" ht="15.75" customHeight="1" x14ac:dyDescent="0.25">
      <c r="A847" s="92"/>
      <c r="B847" s="93"/>
      <c r="C847" s="92"/>
      <c r="D847" s="92"/>
      <c r="E847" s="92"/>
      <c r="F847" s="92"/>
      <c r="G847" s="92"/>
      <c r="H847" s="91"/>
      <c r="I847" s="91"/>
      <c r="J847" s="91"/>
      <c r="K847" s="91"/>
      <c r="L847" s="91"/>
      <c r="M847" s="91"/>
      <c r="N847" s="91"/>
      <c r="O847" s="91"/>
      <c r="P847" s="91"/>
      <c r="Q847" s="91"/>
      <c r="R847" s="91"/>
      <c r="S847" s="91"/>
    </row>
    <row r="848" spans="1:19" ht="15.75" customHeight="1" x14ac:dyDescent="0.25">
      <c r="A848" s="92"/>
      <c r="B848" s="93"/>
      <c r="C848" s="92"/>
      <c r="D848" s="92"/>
      <c r="E848" s="92"/>
      <c r="F848" s="92"/>
      <c r="G848" s="92"/>
      <c r="H848" s="91"/>
      <c r="I848" s="91"/>
      <c r="J848" s="91"/>
      <c r="K848" s="91"/>
      <c r="L848" s="91"/>
      <c r="M848" s="91"/>
      <c r="N848" s="91"/>
      <c r="O848" s="91"/>
      <c r="P848" s="91"/>
      <c r="Q848" s="91"/>
      <c r="R848" s="91"/>
      <c r="S848" s="91"/>
    </row>
    <row r="849" spans="1:19" ht="15.75" customHeight="1" x14ac:dyDescent="0.25">
      <c r="A849" s="92"/>
      <c r="B849" s="93"/>
      <c r="C849" s="92"/>
      <c r="D849" s="92"/>
      <c r="E849" s="92"/>
      <c r="F849" s="92"/>
      <c r="G849" s="92"/>
      <c r="H849" s="91"/>
      <c r="I849" s="91"/>
      <c r="J849" s="91"/>
      <c r="K849" s="91"/>
      <c r="L849" s="91"/>
      <c r="M849" s="91"/>
      <c r="N849" s="91"/>
      <c r="O849" s="91"/>
      <c r="P849" s="91"/>
      <c r="Q849" s="91"/>
      <c r="R849" s="91"/>
      <c r="S849" s="91"/>
    </row>
    <row r="850" spans="1:19" ht="15.75" customHeight="1" x14ac:dyDescent="0.25">
      <c r="A850" s="92"/>
      <c r="B850" s="93"/>
      <c r="C850" s="92"/>
      <c r="D850" s="92"/>
      <c r="E850" s="92"/>
      <c r="F850" s="92"/>
      <c r="G850" s="92"/>
      <c r="H850" s="91"/>
      <c r="I850" s="91"/>
      <c r="J850" s="91"/>
      <c r="K850" s="91"/>
      <c r="L850" s="91"/>
      <c r="M850" s="91"/>
      <c r="N850" s="91"/>
      <c r="O850" s="91"/>
      <c r="P850" s="91"/>
      <c r="Q850" s="91"/>
      <c r="R850" s="91"/>
      <c r="S850" s="91"/>
    </row>
    <row r="851" spans="1:19" ht="15.75" customHeight="1" x14ac:dyDescent="0.25">
      <c r="A851" s="92"/>
      <c r="B851" s="93"/>
      <c r="C851" s="92"/>
      <c r="D851" s="92"/>
      <c r="E851" s="92"/>
      <c r="F851" s="92"/>
      <c r="G851" s="92"/>
      <c r="H851" s="91"/>
      <c r="I851" s="91"/>
      <c r="J851" s="91"/>
      <c r="K851" s="91"/>
      <c r="L851" s="91"/>
      <c r="M851" s="91"/>
      <c r="N851" s="91"/>
      <c r="O851" s="91"/>
      <c r="P851" s="91"/>
      <c r="Q851" s="91"/>
      <c r="R851" s="91"/>
      <c r="S851" s="91"/>
    </row>
    <row r="852" spans="1:19" ht="15.75" customHeight="1" x14ac:dyDescent="0.25">
      <c r="A852" s="92"/>
      <c r="B852" s="93"/>
      <c r="C852" s="92"/>
      <c r="D852" s="92"/>
      <c r="E852" s="92"/>
      <c r="F852" s="92"/>
      <c r="G852" s="92"/>
      <c r="H852" s="91"/>
      <c r="I852" s="91"/>
      <c r="J852" s="91"/>
      <c r="K852" s="91"/>
      <c r="L852" s="91"/>
      <c r="M852" s="91"/>
      <c r="N852" s="91"/>
      <c r="O852" s="91"/>
      <c r="P852" s="91"/>
      <c r="Q852" s="91"/>
      <c r="R852" s="91"/>
      <c r="S852" s="91"/>
    </row>
    <row r="853" spans="1:19" ht="15.75" customHeight="1" x14ac:dyDescent="0.25">
      <c r="A853" s="92"/>
      <c r="B853" s="93"/>
      <c r="C853" s="92"/>
      <c r="D853" s="92"/>
      <c r="E853" s="92"/>
      <c r="F853" s="92"/>
      <c r="G853" s="92"/>
      <c r="H853" s="91"/>
      <c r="I853" s="91"/>
      <c r="J853" s="91"/>
      <c r="K853" s="91"/>
      <c r="L853" s="91"/>
      <c r="M853" s="91"/>
      <c r="N853" s="91"/>
      <c r="O853" s="91"/>
      <c r="P853" s="91"/>
      <c r="Q853" s="91"/>
      <c r="R853" s="91"/>
      <c r="S853" s="91"/>
    </row>
    <row r="854" spans="1:19" ht="15.75" customHeight="1" x14ac:dyDescent="0.25">
      <c r="A854" s="92"/>
      <c r="B854" s="93"/>
      <c r="C854" s="92"/>
      <c r="D854" s="92"/>
      <c r="E854" s="92"/>
      <c r="F854" s="92"/>
      <c r="G854" s="92"/>
      <c r="H854" s="91"/>
      <c r="I854" s="91"/>
      <c r="J854" s="91"/>
      <c r="K854" s="91"/>
      <c r="L854" s="91"/>
      <c r="M854" s="91"/>
      <c r="N854" s="91"/>
      <c r="O854" s="91"/>
      <c r="P854" s="91"/>
      <c r="Q854" s="91"/>
      <c r="R854" s="91"/>
      <c r="S854" s="91"/>
    </row>
    <row r="855" spans="1:19" ht="15.75" customHeight="1" x14ac:dyDescent="0.25">
      <c r="A855" s="92"/>
      <c r="B855" s="93"/>
      <c r="C855" s="92"/>
      <c r="D855" s="92"/>
      <c r="E855" s="92"/>
      <c r="F855" s="92"/>
      <c r="G855" s="92"/>
      <c r="H855" s="91"/>
      <c r="I855" s="91"/>
      <c r="J855" s="91"/>
      <c r="K855" s="91"/>
      <c r="L855" s="91"/>
      <c r="M855" s="91"/>
      <c r="N855" s="91"/>
      <c r="O855" s="91"/>
      <c r="P855" s="91"/>
      <c r="Q855" s="91"/>
      <c r="R855" s="91"/>
      <c r="S855" s="91"/>
    </row>
    <row r="856" spans="1:19" ht="15.75" customHeight="1" x14ac:dyDescent="0.25">
      <c r="A856" s="92"/>
      <c r="B856" s="93"/>
      <c r="C856" s="92"/>
      <c r="D856" s="92"/>
      <c r="E856" s="92"/>
      <c r="F856" s="92"/>
      <c r="G856" s="92"/>
      <c r="H856" s="91"/>
      <c r="I856" s="91"/>
      <c r="J856" s="91"/>
      <c r="K856" s="91"/>
      <c r="L856" s="91"/>
      <c r="M856" s="91"/>
      <c r="N856" s="91"/>
      <c r="O856" s="91"/>
      <c r="P856" s="91"/>
      <c r="Q856" s="91"/>
      <c r="R856" s="91"/>
      <c r="S856" s="91"/>
    </row>
    <row r="857" spans="1:19" ht="15.75" customHeight="1" x14ac:dyDescent="0.25">
      <c r="A857" s="92"/>
      <c r="B857" s="93"/>
      <c r="C857" s="92"/>
      <c r="D857" s="92"/>
      <c r="E857" s="92"/>
      <c r="F857" s="92"/>
      <c r="G857" s="92"/>
      <c r="H857" s="91"/>
      <c r="I857" s="91"/>
      <c r="J857" s="91"/>
      <c r="K857" s="91"/>
      <c r="L857" s="91"/>
      <c r="M857" s="91"/>
      <c r="N857" s="91"/>
      <c r="O857" s="91"/>
      <c r="P857" s="91"/>
      <c r="Q857" s="91"/>
      <c r="R857" s="91"/>
      <c r="S857" s="91"/>
    </row>
    <row r="858" spans="1:19" ht="15.75" customHeight="1" x14ac:dyDescent="0.25">
      <c r="A858" s="92"/>
      <c r="B858" s="93"/>
      <c r="C858" s="92"/>
      <c r="D858" s="92"/>
      <c r="E858" s="92"/>
      <c r="F858" s="92"/>
      <c r="G858" s="92"/>
      <c r="H858" s="91"/>
      <c r="I858" s="91"/>
      <c r="J858" s="91"/>
      <c r="K858" s="91"/>
      <c r="L858" s="91"/>
      <c r="M858" s="91"/>
      <c r="N858" s="91"/>
      <c r="O858" s="91"/>
      <c r="P858" s="91"/>
      <c r="Q858" s="91"/>
      <c r="R858" s="91"/>
      <c r="S858" s="91"/>
    </row>
    <row r="859" spans="1:19" ht="15.75" customHeight="1" x14ac:dyDescent="0.25">
      <c r="A859" s="92"/>
      <c r="B859" s="93"/>
      <c r="C859" s="92"/>
      <c r="D859" s="92"/>
      <c r="E859" s="92"/>
      <c r="F859" s="92"/>
      <c r="G859" s="92"/>
      <c r="H859" s="91"/>
      <c r="I859" s="91"/>
      <c r="J859" s="91"/>
      <c r="K859" s="91"/>
      <c r="L859" s="91"/>
      <c r="M859" s="91"/>
      <c r="N859" s="91"/>
      <c r="O859" s="91"/>
      <c r="P859" s="91"/>
      <c r="Q859" s="91"/>
      <c r="R859" s="91"/>
      <c r="S859" s="91"/>
    </row>
    <row r="860" spans="1:19" ht="15.75" customHeight="1" x14ac:dyDescent="0.25">
      <c r="A860" s="92"/>
      <c r="B860" s="93"/>
      <c r="C860" s="92"/>
      <c r="D860" s="92"/>
      <c r="E860" s="92"/>
      <c r="F860" s="92"/>
      <c r="G860" s="92"/>
      <c r="H860" s="91"/>
      <c r="I860" s="91"/>
      <c r="J860" s="91"/>
      <c r="K860" s="91"/>
      <c r="L860" s="91"/>
      <c r="M860" s="91"/>
      <c r="N860" s="91"/>
      <c r="O860" s="91"/>
      <c r="P860" s="91"/>
      <c r="Q860" s="91"/>
      <c r="R860" s="91"/>
      <c r="S860" s="91"/>
    </row>
    <row r="861" spans="1:19" ht="15.75" customHeight="1" x14ac:dyDescent="0.25">
      <c r="A861" s="92"/>
      <c r="B861" s="93"/>
      <c r="C861" s="92"/>
      <c r="D861" s="92"/>
      <c r="E861" s="92"/>
      <c r="F861" s="92"/>
      <c r="G861" s="92"/>
      <c r="H861" s="91"/>
      <c r="I861" s="91"/>
      <c r="J861" s="91"/>
      <c r="K861" s="91"/>
      <c r="L861" s="91"/>
      <c r="M861" s="91"/>
      <c r="N861" s="91"/>
      <c r="O861" s="91"/>
      <c r="P861" s="91"/>
      <c r="Q861" s="91"/>
      <c r="R861" s="91"/>
      <c r="S861" s="91"/>
    </row>
    <row r="862" spans="1:19" ht="15.75" customHeight="1" x14ac:dyDescent="0.25">
      <c r="A862" s="92"/>
      <c r="B862" s="93"/>
      <c r="C862" s="92"/>
      <c r="D862" s="92"/>
      <c r="E862" s="92"/>
      <c r="F862" s="92"/>
      <c r="G862" s="92"/>
      <c r="H862" s="91"/>
      <c r="I862" s="91"/>
      <c r="J862" s="91"/>
      <c r="K862" s="91"/>
      <c r="L862" s="91"/>
      <c r="M862" s="91"/>
      <c r="N862" s="91"/>
      <c r="O862" s="91"/>
      <c r="P862" s="91"/>
      <c r="Q862" s="91"/>
      <c r="R862" s="91"/>
      <c r="S862" s="91"/>
    </row>
    <row r="863" spans="1:19" ht="15.75" customHeight="1" x14ac:dyDescent="0.25">
      <c r="A863" s="92"/>
      <c r="B863" s="93"/>
      <c r="C863" s="92"/>
      <c r="D863" s="92"/>
      <c r="E863" s="92"/>
      <c r="F863" s="92"/>
      <c r="G863" s="92"/>
      <c r="H863" s="91"/>
      <c r="I863" s="91"/>
      <c r="J863" s="91"/>
      <c r="K863" s="91"/>
      <c r="L863" s="91"/>
      <c r="M863" s="91"/>
      <c r="N863" s="91"/>
      <c r="O863" s="91"/>
      <c r="P863" s="91"/>
      <c r="Q863" s="91"/>
      <c r="R863" s="91"/>
      <c r="S863" s="91"/>
    </row>
    <row r="864" spans="1:19" ht="15.75" customHeight="1" x14ac:dyDescent="0.25">
      <c r="A864" s="92"/>
      <c r="B864" s="93"/>
      <c r="C864" s="92"/>
      <c r="D864" s="92"/>
      <c r="E864" s="92"/>
      <c r="F864" s="92"/>
      <c r="G864" s="92"/>
      <c r="H864" s="91"/>
      <c r="I864" s="91"/>
      <c r="J864" s="91"/>
      <c r="K864" s="91"/>
      <c r="L864" s="91"/>
      <c r="M864" s="91"/>
      <c r="N864" s="91"/>
      <c r="O864" s="91"/>
      <c r="P864" s="91"/>
      <c r="Q864" s="91"/>
      <c r="R864" s="91"/>
      <c r="S864" s="91"/>
    </row>
    <row r="865" spans="1:19" ht="15.75" customHeight="1" x14ac:dyDescent="0.25">
      <c r="A865" s="92"/>
      <c r="B865" s="93"/>
      <c r="C865" s="92"/>
      <c r="D865" s="92"/>
      <c r="E865" s="92"/>
      <c r="F865" s="92"/>
      <c r="G865" s="92"/>
      <c r="H865" s="91"/>
      <c r="I865" s="91"/>
      <c r="J865" s="91"/>
      <c r="K865" s="91"/>
      <c r="L865" s="91"/>
      <c r="M865" s="91"/>
      <c r="N865" s="91"/>
      <c r="O865" s="91"/>
      <c r="P865" s="91"/>
      <c r="Q865" s="91"/>
      <c r="R865" s="91"/>
      <c r="S865" s="91"/>
    </row>
    <row r="866" spans="1:19" ht="15.75" customHeight="1" x14ac:dyDescent="0.25">
      <c r="A866" s="92"/>
      <c r="B866" s="93"/>
      <c r="C866" s="92"/>
      <c r="D866" s="92"/>
      <c r="E866" s="92"/>
      <c r="F866" s="92"/>
      <c r="G866" s="92"/>
      <c r="H866" s="91"/>
      <c r="I866" s="91"/>
      <c r="J866" s="91"/>
      <c r="K866" s="91"/>
      <c r="L866" s="91"/>
      <c r="M866" s="91"/>
      <c r="N866" s="91"/>
      <c r="O866" s="91"/>
      <c r="P866" s="91"/>
      <c r="Q866" s="91"/>
      <c r="R866" s="91"/>
      <c r="S866" s="91"/>
    </row>
    <row r="867" spans="1:19" ht="15.75" customHeight="1" x14ac:dyDescent="0.25">
      <c r="A867" s="92"/>
      <c r="B867" s="93"/>
      <c r="C867" s="92"/>
      <c r="D867" s="92"/>
      <c r="E867" s="92"/>
      <c r="F867" s="92"/>
      <c r="G867" s="92"/>
      <c r="H867" s="91"/>
      <c r="I867" s="91"/>
      <c r="J867" s="91"/>
      <c r="K867" s="91"/>
      <c r="L867" s="91"/>
      <c r="M867" s="91"/>
      <c r="N867" s="91"/>
      <c r="O867" s="91"/>
      <c r="P867" s="91"/>
      <c r="Q867" s="91"/>
      <c r="R867" s="91"/>
      <c r="S867" s="91"/>
    </row>
    <row r="868" spans="1:19" ht="15.75" customHeight="1" x14ac:dyDescent="0.25">
      <c r="A868" s="92"/>
      <c r="B868" s="93"/>
      <c r="C868" s="92"/>
      <c r="D868" s="92"/>
      <c r="E868" s="92"/>
      <c r="F868" s="92"/>
      <c r="G868" s="92"/>
      <c r="H868" s="91"/>
      <c r="I868" s="91"/>
      <c r="J868" s="91"/>
      <c r="K868" s="91"/>
      <c r="L868" s="91"/>
      <c r="M868" s="91"/>
      <c r="N868" s="91"/>
      <c r="O868" s="91"/>
      <c r="P868" s="91"/>
      <c r="Q868" s="91"/>
      <c r="R868" s="91"/>
      <c r="S868" s="91"/>
    </row>
    <row r="869" spans="1:19" ht="15.75" customHeight="1" x14ac:dyDescent="0.25">
      <c r="A869" s="92"/>
      <c r="B869" s="93"/>
      <c r="C869" s="92"/>
      <c r="D869" s="92"/>
      <c r="E869" s="92"/>
      <c r="F869" s="92"/>
      <c r="G869" s="92"/>
      <c r="H869" s="91"/>
      <c r="I869" s="91"/>
      <c r="J869" s="91"/>
      <c r="K869" s="91"/>
      <c r="L869" s="91"/>
      <c r="M869" s="91"/>
      <c r="N869" s="91"/>
      <c r="O869" s="91"/>
      <c r="P869" s="91"/>
      <c r="Q869" s="91"/>
      <c r="R869" s="91"/>
      <c r="S869" s="91"/>
    </row>
    <row r="870" spans="1:19" ht="15.75" customHeight="1" x14ac:dyDescent="0.25">
      <c r="A870" s="92"/>
      <c r="B870" s="93"/>
      <c r="C870" s="92"/>
      <c r="D870" s="92"/>
      <c r="E870" s="92"/>
      <c r="F870" s="92"/>
      <c r="G870" s="92"/>
      <c r="H870" s="91"/>
      <c r="I870" s="91"/>
      <c r="J870" s="91"/>
      <c r="K870" s="91"/>
      <c r="L870" s="91"/>
      <c r="M870" s="91"/>
      <c r="N870" s="91"/>
      <c r="O870" s="91"/>
      <c r="P870" s="91"/>
      <c r="Q870" s="91"/>
      <c r="R870" s="91"/>
      <c r="S870" s="91"/>
    </row>
    <row r="871" spans="1:19" ht="15.75" customHeight="1" x14ac:dyDescent="0.25">
      <c r="A871" s="92"/>
      <c r="B871" s="93"/>
      <c r="C871" s="92"/>
      <c r="D871" s="92"/>
      <c r="E871" s="92"/>
      <c r="F871" s="92"/>
      <c r="G871" s="92"/>
      <c r="H871" s="91"/>
      <c r="I871" s="91"/>
      <c r="J871" s="91"/>
      <c r="K871" s="91"/>
      <c r="L871" s="91"/>
      <c r="M871" s="91"/>
      <c r="N871" s="91"/>
      <c r="O871" s="91"/>
      <c r="P871" s="91"/>
      <c r="Q871" s="91"/>
      <c r="R871" s="91"/>
      <c r="S871" s="91"/>
    </row>
    <row r="872" spans="1:19" ht="15.75" customHeight="1" x14ac:dyDescent="0.25">
      <c r="A872" s="92"/>
      <c r="B872" s="93"/>
      <c r="C872" s="92"/>
      <c r="D872" s="92"/>
      <c r="E872" s="92"/>
      <c r="F872" s="92"/>
      <c r="G872" s="92"/>
      <c r="H872" s="91"/>
      <c r="I872" s="91"/>
      <c r="J872" s="91"/>
      <c r="K872" s="91"/>
      <c r="L872" s="91"/>
      <c r="M872" s="91"/>
      <c r="N872" s="91"/>
      <c r="O872" s="91"/>
      <c r="P872" s="91"/>
      <c r="Q872" s="91"/>
      <c r="R872" s="91"/>
      <c r="S872" s="91"/>
    </row>
    <row r="873" spans="1:19" ht="15.75" customHeight="1" x14ac:dyDescent="0.25">
      <c r="A873" s="92"/>
      <c r="B873" s="93"/>
      <c r="C873" s="92"/>
      <c r="D873" s="92"/>
      <c r="E873" s="92"/>
      <c r="F873" s="92"/>
      <c r="G873" s="92"/>
      <c r="H873" s="91"/>
      <c r="I873" s="91"/>
      <c r="J873" s="91"/>
      <c r="K873" s="91"/>
      <c r="L873" s="91"/>
      <c r="M873" s="91"/>
      <c r="N873" s="91"/>
      <c r="O873" s="91"/>
      <c r="P873" s="91"/>
      <c r="Q873" s="91"/>
      <c r="R873" s="91"/>
      <c r="S873" s="91"/>
    </row>
    <row r="874" spans="1:19" ht="15.75" customHeight="1" x14ac:dyDescent="0.25">
      <c r="A874" s="92"/>
      <c r="B874" s="93"/>
      <c r="C874" s="92"/>
      <c r="D874" s="92"/>
      <c r="E874" s="92"/>
      <c r="F874" s="92"/>
      <c r="G874" s="92"/>
      <c r="H874" s="91"/>
      <c r="I874" s="91"/>
      <c r="J874" s="91"/>
      <c r="K874" s="91"/>
      <c r="L874" s="91"/>
      <c r="M874" s="91"/>
      <c r="N874" s="91"/>
      <c r="O874" s="91"/>
      <c r="P874" s="91"/>
      <c r="Q874" s="91"/>
      <c r="R874" s="91"/>
      <c r="S874" s="91"/>
    </row>
    <row r="875" spans="1:19" ht="15.75" customHeight="1" x14ac:dyDescent="0.25">
      <c r="A875" s="92"/>
      <c r="B875" s="93"/>
      <c r="C875" s="92"/>
      <c r="D875" s="92"/>
      <c r="E875" s="92"/>
      <c r="F875" s="92"/>
      <c r="G875" s="92"/>
      <c r="H875" s="91"/>
      <c r="I875" s="91"/>
      <c r="J875" s="91"/>
      <c r="K875" s="91"/>
      <c r="L875" s="91"/>
      <c r="M875" s="91"/>
      <c r="N875" s="91"/>
      <c r="O875" s="91"/>
      <c r="P875" s="91"/>
      <c r="Q875" s="91"/>
      <c r="R875" s="91"/>
      <c r="S875" s="91"/>
    </row>
    <row r="876" spans="1:19" ht="15.75" customHeight="1" x14ac:dyDescent="0.25">
      <c r="A876" s="92"/>
      <c r="B876" s="93"/>
      <c r="C876" s="92"/>
      <c r="D876" s="92"/>
      <c r="E876" s="92"/>
      <c r="F876" s="92"/>
      <c r="G876" s="92"/>
      <c r="H876" s="91"/>
      <c r="I876" s="91"/>
      <c r="J876" s="91"/>
      <c r="K876" s="91"/>
      <c r="L876" s="91"/>
      <c r="M876" s="91"/>
      <c r="N876" s="91"/>
      <c r="O876" s="91"/>
      <c r="P876" s="91"/>
      <c r="Q876" s="91"/>
      <c r="R876" s="91"/>
      <c r="S876" s="91"/>
    </row>
    <row r="877" spans="1:19" ht="15.75" customHeight="1" x14ac:dyDescent="0.25">
      <c r="A877" s="92"/>
      <c r="B877" s="93"/>
      <c r="C877" s="92"/>
      <c r="D877" s="92"/>
      <c r="E877" s="92"/>
      <c r="F877" s="92"/>
      <c r="G877" s="92"/>
      <c r="H877" s="91"/>
      <c r="I877" s="91"/>
      <c r="J877" s="91"/>
      <c r="K877" s="91"/>
      <c r="L877" s="91"/>
      <c r="M877" s="91"/>
      <c r="N877" s="91"/>
      <c r="O877" s="91"/>
      <c r="P877" s="91"/>
      <c r="Q877" s="91"/>
      <c r="R877" s="91"/>
      <c r="S877" s="91"/>
    </row>
    <row r="878" spans="1:19" ht="15.75" customHeight="1" x14ac:dyDescent="0.25">
      <c r="A878" s="92"/>
      <c r="B878" s="93"/>
      <c r="C878" s="92"/>
      <c r="D878" s="92"/>
      <c r="E878" s="92"/>
      <c r="F878" s="92"/>
      <c r="G878" s="92"/>
      <c r="H878" s="91"/>
      <c r="I878" s="91"/>
      <c r="J878" s="91"/>
      <c r="K878" s="91"/>
      <c r="L878" s="91"/>
      <c r="M878" s="91"/>
      <c r="N878" s="91"/>
      <c r="O878" s="91"/>
      <c r="P878" s="91"/>
      <c r="Q878" s="91"/>
      <c r="R878" s="91"/>
      <c r="S878" s="91"/>
    </row>
    <row r="879" spans="1:19" ht="15.75" customHeight="1" x14ac:dyDescent="0.25">
      <c r="A879" s="92"/>
      <c r="B879" s="93"/>
      <c r="C879" s="92"/>
      <c r="D879" s="92"/>
      <c r="E879" s="92"/>
      <c r="F879" s="92"/>
      <c r="G879" s="92"/>
      <c r="H879" s="91"/>
      <c r="I879" s="91"/>
      <c r="J879" s="91"/>
      <c r="K879" s="91"/>
      <c r="L879" s="91"/>
      <c r="M879" s="91"/>
      <c r="N879" s="91"/>
      <c r="O879" s="91"/>
      <c r="P879" s="91"/>
      <c r="Q879" s="91"/>
      <c r="R879" s="91"/>
      <c r="S879" s="91"/>
    </row>
    <row r="880" spans="1:19" ht="15.75" customHeight="1" x14ac:dyDescent="0.25">
      <c r="A880" s="92"/>
      <c r="B880" s="93"/>
      <c r="C880" s="92"/>
      <c r="D880" s="92"/>
      <c r="E880" s="92"/>
      <c r="F880" s="92"/>
      <c r="G880" s="92"/>
      <c r="H880" s="91"/>
      <c r="I880" s="91"/>
      <c r="J880" s="91"/>
      <c r="K880" s="91"/>
      <c r="L880" s="91"/>
      <c r="M880" s="91"/>
      <c r="N880" s="91"/>
      <c r="O880" s="91"/>
      <c r="P880" s="91"/>
      <c r="Q880" s="91"/>
      <c r="R880" s="91"/>
      <c r="S880" s="91"/>
    </row>
    <row r="881" spans="1:19" ht="15.75" customHeight="1" x14ac:dyDescent="0.25">
      <c r="A881" s="92"/>
      <c r="B881" s="93"/>
      <c r="C881" s="92"/>
      <c r="D881" s="92"/>
      <c r="E881" s="92"/>
      <c r="F881" s="92"/>
      <c r="G881" s="92"/>
      <c r="H881" s="91"/>
      <c r="I881" s="91"/>
      <c r="J881" s="91"/>
      <c r="K881" s="91"/>
      <c r="L881" s="91"/>
      <c r="M881" s="91"/>
      <c r="N881" s="91"/>
      <c r="O881" s="91"/>
      <c r="P881" s="91"/>
      <c r="Q881" s="91"/>
      <c r="R881" s="91"/>
      <c r="S881" s="91"/>
    </row>
    <row r="882" spans="1:19" ht="15.75" customHeight="1" x14ac:dyDescent="0.25">
      <c r="A882" s="92"/>
      <c r="B882" s="93"/>
      <c r="C882" s="92"/>
      <c r="D882" s="92"/>
      <c r="E882" s="92"/>
      <c r="F882" s="92"/>
      <c r="G882" s="92"/>
      <c r="H882" s="91"/>
      <c r="I882" s="91"/>
      <c r="J882" s="91"/>
      <c r="K882" s="91"/>
      <c r="L882" s="91"/>
      <c r="M882" s="91"/>
      <c r="N882" s="91"/>
      <c r="O882" s="91"/>
      <c r="P882" s="91"/>
      <c r="Q882" s="91"/>
      <c r="R882" s="91"/>
      <c r="S882" s="91"/>
    </row>
    <row r="883" spans="1:19" ht="15.75" customHeight="1" x14ac:dyDescent="0.25">
      <c r="A883" s="92"/>
      <c r="B883" s="93"/>
      <c r="C883" s="92"/>
      <c r="D883" s="92"/>
      <c r="E883" s="92"/>
      <c r="F883" s="92"/>
      <c r="G883" s="92"/>
      <c r="H883" s="91"/>
      <c r="I883" s="91"/>
      <c r="J883" s="91"/>
      <c r="K883" s="91"/>
      <c r="L883" s="91"/>
      <c r="M883" s="91"/>
      <c r="N883" s="91"/>
      <c r="O883" s="91"/>
      <c r="P883" s="91"/>
      <c r="Q883" s="91"/>
      <c r="R883" s="91"/>
      <c r="S883" s="91"/>
    </row>
    <row r="884" spans="1:19" ht="15.75" customHeight="1" x14ac:dyDescent="0.25">
      <c r="A884" s="92"/>
      <c r="B884" s="93"/>
      <c r="C884" s="92"/>
      <c r="D884" s="92"/>
      <c r="E884" s="92"/>
      <c r="F884" s="92"/>
      <c r="G884" s="92"/>
      <c r="H884" s="91"/>
      <c r="I884" s="91"/>
      <c r="J884" s="91"/>
      <c r="K884" s="91"/>
      <c r="L884" s="91"/>
      <c r="M884" s="91"/>
      <c r="N884" s="91"/>
      <c r="O884" s="91"/>
      <c r="P884" s="91"/>
      <c r="Q884" s="91"/>
      <c r="R884" s="91"/>
      <c r="S884" s="91"/>
    </row>
    <row r="885" spans="1:19" ht="15.75" customHeight="1" x14ac:dyDescent="0.25">
      <c r="A885" s="92"/>
      <c r="B885" s="93"/>
      <c r="C885" s="92"/>
      <c r="D885" s="92"/>
      <c r="E885" s="92"/>
      <c r="F885" s="92"/>
      <c r="G885" s="92"/>
      <c r="H885" s="91"/>
      <c r="I885" s="91"/>
      <c r="J885" s="91"/>
      <c r="K885" s="91"/>
      <c r="L885" s="91"/>
      <c r="M885" s="91"/>
      <c r="N885" s="91"/>
      <c r="O885" s="91"/>
      <c r="P885" s="91"/>
      <c r="Q885" s="91"/>
      <c r="R885" s="91"/>
      <c r="S885" s="91"/>
    </row>
    <row r="886" spans="1:19" ht="15.75" customHeight="1" x14ac:dyDescent="0.25">
      <c r="A886" s="92"/>
      <c r="B886" s="93"/>
      <c r="C886" s="92"/>
      <c r="D886" s="92"/>
      <c r="E886" s="92"/>
      <c r="F886" s="92"/>
      <c r="G886" s="92"/>
      <c r="H886" s="91"/>
      <c r="I886" s="91"/>
      <c r="J886" s="91"/>
      <c r="K886" s="91"/>
      <c r="L886" s="91"/>
      <c r="M886" s="91"/>
      <c r="N886" s="91"/>
      <c r="O886" s="91"/>
      <c r="P886" s="91"/>
      <c r="Q886" s="91"/>
      <c r="R886" s="91"/>
      <c r="S886" s="91"/>
    </row>
    <row r="887" spans="1:19" ht="15.75" customHeight="1" x14ac:dyDescent="0.25">
      <c r="A887" s="92"/>
      <c r="B887" s="93"/>
      <c r="C887" s="92"/>
      <c r="D887" s="92"/>
      <c r="E887" s="92"/>
      <c r="F887" s="92"/>
      <c r="G887" s="92"/>
      <c r="H887" s="91"/>
      <c r="I887" s="91"/>
      <c r="J887" s="91"/>
      <c r="K887" s="91"/>
      <c r="L887" s="91"/>
      <c r="M887" s="91"/>
      <c r="N887" s="91"/>
      <c r="O887" s="91"/>
      <c r="P887" s="91"/>
      <c r="Q887" s="91"/>
      <c r="R887" s="91"/>
      <c r="S887" s="91"/>
    </row>
    <row r="888" spans="1:19" ht="15.75" customHeight="1" x14ac:dyDescent="0.25">
      <c r="A888" s="92"/>
      <c r="B888" s="93"/>
      <c r="C888" s="92"/>
      <c r="D888" s="92"/>
      <c r="E888" s="92"/>
      <c r="F888" s="92"/>
      <c r="G888" s="92"/>
      <c r="H888" s="91"/>
      <c r="I888" s="91"/>
      <c r="J888" s="91"/>
      <c r="K888" s="91"/>
      <c r="L888" s="91"/>
      <c r="M888" s="91"/>
      <c r="N888" s="91"/>
      <c r="O888" s="91"/>
      <c r="P888" s="91"/>
      <c r="Q888" s="91"/>
      <c r="R888" s="91"/>
      <c r="S888" s="91"/>
    </row>
    <row r="889" spans="1:19" ht="15.75" customHeight="1" x14ac:dyDescent="0.25">
      <c r="A889" s="92"/>
      <c r="B889" s="93"/>
      <c r="C889" s="92"/>
      <c r="D889" s="92"/>
      <c r="E889" s="92"/>
      <c r="F889" s="92"/>
      <c r="G889" s="92"/>
      <c r="H889" s="91"/>
      <c r="I889" s="91"/>
      <c r="J889" s="91"/>
      <c r="K889" s="91"/>
      <c r="L889" s="91"/>
      <c r="M889" s="91"/>
      <c r="N889" s="91"/>
      <c r="O889" s="91"/>
      <c r="P889" s="91"/>
      <c r="Q889" s="91"/>
      <c r="R889" s="91"/>
      <c r="S889" s="91"/>
    </row>
    <row r="890" spans="1:19" ht="15.75" customHeight="1" x14ac:dyDescent="0.25">
      <c r="A890" s="92"/>
      <c r="B890" s="93"/>
      <c r="C890" s="92"/>
      <c r="D890" s="92"/>
      <c r="E890" s="92"/>
      <c r="F890" s="92"/>
      <c r="G890" s="92"/>
      <c r="H890" s="91"/>
      <c r="I890" s="91"/>
      <c r="J890" s="91"/>
      <c r="K890" s="91"/>
      <c r="L890" s="91"/>
      <c r="M890" s="91"/>
      <c r="N890" s="91"/>
      <c r="O890" s="91"/>
      <c r="P890" s="91"/>
      <c r="Q890" s="91"/>
      <c r="R890" s="91"/>
      <c r="S890" s="91"/>
    </row>
    <row r="891" spans="1:19" ht="15.75" customHeight="1" x14ac:dyDescent="0.25">
      <c r="A891" s="92"/>
      <c r="B891" s="93"/>
      <c r="C891" s="92"/>
      <c r="D891" s="92"/>
      <c r="E891" s="92"/>
      <c r="F891" s="92"/>
      <c r="G891" s="92"/>
      <c r="H891" s="91"/>
      <c r="I891" s="91"/>
      <c r="J891" s="91"/>
      <c r="K891" s="91"/>
      <c r="L891" s="91"/>
      <c r="M891" s="91"/>
      <c r="N891" s="91"/>
      <c r="O891" s="91"/>
      <c r="P891" s="91"/>
      <c r="Q891" s="91"/>
      <c r="R891" s="91"/>
      <c r="S891" s="91"/>
    </row>
    <row r="892" spans="1:19" ht="15.75" customHeight="1" x14ac:dyDescent="0.25">
      <c r="A892" s="92"/>
      <c r="B892" s="93"/>
      <c r="C892" s="92"/>
      <c r="D892" s="92"/>
      <c r="E892" s="92"/>
      <c r="F892" s="92"/>
      <c r="G892" s="92"/>
      <c r="H892" s="91"/>
      <c r="I892" s="91"/>
      <c r="J892" s="91"/>
      <c r="K892" s="91"/>
      <c r="L892" s="91"/>
      <c r="M892" s="91"/>
      <c r="N892" s="91"/>
      <c r="O892" s="91"/>
      <c r="P892" s="91"/>
      <c r="Q892" s="91"/>
      <c r="R892" s="91"/>
      <c r="S892" s="91"/>
    </row>
    <row r="893" spans="1:19" ht="15.75" customHeight="1" x14ac:dyDescent="0.25">
      <c r="A893" s="92"/>
      <c r="B893" s="93"/>
      <c r="C893" s="92"/>
      <c r="D893" s="92"/>
      <c r="E893" s="92"/>
      <c r="F893" s="92"/>
      <c r="G893" s="92"/>
      <c r="H893" s="91"/>
      <c r="I893" s="91"/>
      <c r="J893" s="91"/>
      <c r="K893" s="91"/>
      <c r="L893" s="91"/>
      <c r="M893" s="91"/>
      <c r="N893" s="91"/>
      <c r="O893" s="91"/>
      <c r="P893" s="91"/>
      <c r="Q893" s="91"/>
      <c r="R893" s="91"/>
      <c r="S893" s="91"/>
    </row>
    <row r="894" spans="1:19" ht="15.75" customHeight="1" x14ac:dyDescent="0.25">
      <c r="A894" s="92"/>
      <c r="B894" s="93"/>
      <c r="C894" s="92"/>
      <c r="D894" s="92"/>
      <c r="E894" s="92"/>
      <c r="F894" s="92"/>
      <c r="G894" s="92"/>
      <c r="H894" s="91"/>
      <c r="I894" s="91"/>
      <c r="J894" s="91"/>
      <c r="K894" s="91"/>
      <c r="L894" s="91"/>
      <c r="M894" s="91"/>
      <c r="N894" s="91"/>
      <c r="O894" s="91"/>
      <c r="P894" s="91"/>
      <c r="Q894" s="91"/>
      <c r="R894" s="91"/>
      <c r="S894" s="91"/>
    </row>
    <row r="895" spans="1:19" ht="15.75" customHeight="1" x14ac:dyDescent="0.25">
      <c r="A895" s="92"/>
      <c r="B895" s="93"/>
      <c r="C895" s="92"/>
      <c r="D895" s="92"/>
      <c r="E895" s="92"/>
      <c r="F895" s="92"/>
      <c r="G895" s="92"/>
      <c r="H895" s="91"/>
      <c r="I895" s="91"/>
      <c r="J895" s="91"/>
      <c r="K895" s="91"/>
      <c r="L895" s="91"/>
      <c r="M895" s="91"/>
      <c r="N895" s="91"/>
      <c r="O895" s="91"/>
      <c r="P895" s="91"/>
      <c r="Q895" s="91"/>
      <c r="R895" s="91"/>
      <c r="S895" s="91"/>
    </row>
    <row r="896" spans="1:19" ht="15.75" customHeight="1" x14ac:dyDescent="0.25">
      <c r="A896" s="92"/>
      <c r="B896" s="93"/>
      <c r="C896" s="92"/>
      <c r="D896" s="92"/>
      <c r="E896" s="92"/>
      <c r="F896" s="92"/>
      <c r="G896" s="92"/>
      <c r="H896" s="91"/>
      <c r="I896" s="91"/>
      <c r="J896" s="91"/>
      <c r="K896" s="91"/>
      <c r="L896" s="91"/>
      <c r="M896" s="91"/>
      <c r="N896" s="91"/>
      <c r="O896" s="91"/>
      <c r="P896" s="91"/>
      <c r="Q896" s="91"/>
      <c r="R896" s="91"/>
      <c r="S896" s="91"/>
    </row>
    <row r="897" spans="1:19" ht="15.75" customHeight="1" x14ac:dyDescent="0.25">
      <c r="A897" s="92"/>
      <c r="B897" s="93"/>
      <c r="C897" s="92"/>
      <c r="D897" s="92"/>
      <c r="E897" s="92"/>
      <c r="F897" s="92"/>
      <c r="G897" s="92"/>
      <c r="H897" s="91"/>
      <c r="I897" s="91"/>
      <c r="J897" s="91"/>
      <c r="K897" s="91"/>
      <c r="L897" s="91"/>
      <c r="M897" s="91"/>
      <c r="N897" s="91"/>
      <c r="O897" s="91"/>
      <c r="P897" s="91"/>
      <c r="Q897" s="91"/>
      <c r="R897" s="91"/>
      <c r="S897" s="91"/>
    </row>
    <row r="898" spans="1:19" ht="15.75" customHeight="1" x14ac:dyDescent="0.25">
      <c r="A898" s="92"/>
      <c r="B898" s="93"/>
      <c r="C898" s="92"/>
      <c r="D898" s="92"/>
      <c r="E898" s="92"/>
      <c r="F898" s="92"/>
      <c r="G898" s="92"/>
      <c r="H898" s="91"/>
      <c r="I898" s="91"/>
      <c r="J898" s="91"/>
      <c r="K898" s="91"/>
      <c r="L898" s="91"/>
      <c r="M898" s="91"/>
      <c r="N898" s="91"/>
      <c r="O898" s="91"/>
      <c r="P898" s="91"/>
      <c r="Q898" s="91"/>
      <c r="R898" s="91"/>
      <c r="S898" s="91"/>
    </row>
    <row r="899" spans="1:19" ht="15.75" customHeight="1" x14ac:dyDescent="0.25">
      <c r="A899" s="92"/>
      <c r="B899" s="93"/>
      <c r="C899" s="92"/>
      <c r="D899" s="92"/>
      <c r="E899" s="92"/>
      <c r="F899" s="92"/>
      <c r="G899" s="92"/>
      <c r="H899" s="91"/>
      <c r="I899" s="91"/>
      <c r="J899" s="91"/>
      <c r="K899" s="91"/>
      <c r="L899" s="91"/>
      <c r="M899" s="91"/>
      <c r="N899" s="91"/>
      <c r="O899" s="91"/>
      <c r="P899" s="91"/>
      <c r="Q899" s="91"/>
      <c r="R899" s="91"/>
      <c r="S899" s="91"/>
    </row>
    <row r="900" spans="1:19" ht="15.75" customHeight="1" x14ac:dyDescent="0.25">
      <c r="A900" s="92"/>
      <c r="B900" s="93"/>
      <c r="C900" s="92"/>
      <c r="D900" s="92"/>
      <c r="E900" s="92"/>
      <c r="F900" s="92"/>
      <c r="G900" s="92"/>
      <c r="H900" s="91"/>
      <c r="I900" s="91"/>
      <c r="J900" s="91"/>
      <c r="K900" s="91"/>
      <c r="L900" s="91"/>
      <c r="M900" s="91"/>
      <c r="N900" s="91"/>
      <c r="O900" s="91"/>
      <c r="P900" s="91"/>
      <c r="Q900" s="91"/>
      <c r="R900" s="91"/>
      <c r="S900" s="91"/>
    </row>
    <row r="901" spans="1:19" ht="15.75" customHeight="1" x14ac:dyDescent="0.25">
      <c r="A901" s="92"/>
      <c r="B901" s="93"/>
      <c r="C901" s="92"/>
      <c r="D901" s="92"/>
      <c r="E901" s="92"/>
      <c r="F901" s="92"/>
      <c r="G901" s="92"/>
      <c r="H901" s="91"/>
      <c r="I901" s="91"/>
      <c r="J901" s="91"/>
      <c r="K901" s="91"/>
      <c r="L901" s="91"/>
      <c r="M901" s="91"/>
      <c r="N901" s="91"/>
      <c r="O901" s="91"/>
      <c r="P901" s="91"/>
      <c r="Q901" s="91"/>
      <c r="R901" s="91"/>
      <c r="S901" s="91"/>
    </row>
    <row r="902" spans="1:19" ht="15.75" customHeight="1" x14ac:dyDescent="0.25">
      <c r="A902" s="92"/>
      <c r="B902" s="93"/>
      <c r="C902" s="92"/>
      <c r="D902" s="92"/>
      <c r="E902" s="92"/>
      <c r="F902" s="92"/>
      <c r="G902" s="92"/>
      <c r="H902" s="91"/>
      <c r="I902" s="91"/>
      <c r="J902" s="91"/>
      <c r="K902" s="91"/>
      <c r="L902" s="91"/>
      <c r="M902" s="91"/>
      <c r="N902" s="91"/>
      <c r="O902" s="91"/>
      <c r="P902" s="91"/>
      <c r="Q902" s="91"/>
      <c r="R902" s="91"/>
      <c r="S902" s="91"/>
    </row>
    <row r="903" spans="1:19" ht="15.75" customHeight="1" x14ac:dyDescent="0.25">
      <c r="A903" s="92"/>
      <c r="B903" s="93"/>
      <c r="C903" s="92"/>
      <c r="D903" s="92"/>
      <c r="E903" s="92"/>
      <c r="F903" s="92"/>
      <c r="G903" s="92"/>
      <c r="H903" s="91"/>
      <c r="I903" s="91"/>
      <c r="J903" s="91"/>
      <c r="K903" s="91"/>
      <c r="L903" s="91"/>
      <c r="M903" s="91"/>
      <c r="N903" s="91"/>
      <c r="O903" s="91"/>
      <c r="P903" s="91"/>
      <c r="Q903" s="91"/>
      <c r="R903" s="91"/>
      <c r="S903" s="91"/>
    </row>
    <row r="904" spans="1:19" ht="15.75" customHeight="1" x14ac:dyDescent="0.25">
      <c r="A904" s="92"/>
      <c r="B904" s="93"/>
      <c r="C904" s="92"/>
      <c r="D904" s="92"/>
      <c r="E904" s="92"/>
      <c r="F904" s="92"/>
      <c r="G904" s="92"/>
      <c r="H904" s="91"/>
      <c r="I904" s="91"/>
      <c r="J904" s="91"/>
      <c r="K904" s="91"/>
      <c r="L904" s="91"/>
      <c r="M904" s="91"/>
      <c r="N904" s="91"/>
      <c r="O904" s="91"/>
      <c r="P904" s="91"/>
      <c r="Q904" s="91"/>
      <c r="R904" s="91"/>
      <c r="S904" s="91"/>
    </row>
    <row r="905" spans="1:19" ht="15.75" customHeight="1" x14ac:dyDescent="0.25">
      <c r="A905" s="92"/>
      <c r="B905" s="93"/>
      <c r="C905" s="92"/>
      <c r="D905" s="92"/>
      <c r="E905" s="92"/>
      <c r="F905" s="92"/>
      <c r="G905" s="92"/>
      <c r="H905" s="91"/>
      <c r="I905" s="91"/>
      <c r="J905" s="91"/>
      <c r="K905" s="91"/>
      <c r="L905" s="91"/>
      <c r="M905" s="91"/>
      <c r="N905" s="91"/>
      <c r="O905" s="91"/>
      <c r="P905" s="91"/>
      <c r="Q905" s="91"/>
      <c r="R905" s="91"/>
      <c r="S905" s="91"/>
    </row>
    <row r="906" spans="1:19" ht="15.75" customHeight="1" x14ac:dyDescent="0.25">
      <c r="A906" s="92"/>
      <c r="B906" s="93"/>
      <c r="C906" s="92"/>
      <c r="D906" s="92"/>
      <c r="E906" s="92"/>
      <c r="F906" s="92"/>
      <c r="G906" s="92"/>
      <c r="H906" s="91"/>
      <c r="I906" s="91"/>
      <c r="J906" s="91"/>
      <c r="K906" s="91"/>
      <c r="L906" s="91"/>
      <c r="M906" s="91"/>
      <c r="N906" s="91"/>
      <c r="O906" s="91"/>
      <c r="P906" s="91"/>
      <c r="Q906" s="91"/>
      <c r="R906" s="91"/>
      <c r="S906" s="91"/>
    </row>
    <row r="907" spans="1:19" ht="15.75" customHeight="1" x14ac:dyDescent="0.25">
      <c r="A907" s="92"/>
      <c r="B907" s="93"/>
      <c r="C907" s="92"/>
      <c r="D907" s="92"/>
      <c r="E907" s="92"/>
      <c r="F907" s="92"/>
      <c r="G907" s="92"/>
      <c r="H907" s="91"/>
      <c r="I907" s="91"/>
      <c r="J907" s="91"/>
      <c r="K907" s="91"/>
      <c r="L907" s="91"/>
      <c r="M907" s="91"/>
      <c r="N907" s="91"/>
      <c r="O907" s="91"/>
      <c r="P907" s="91"/>
      <c r="Q907" s="91"/>
      <c r="R907" s="91"/>
      <c r="S907" s="91"/>
    </row>
    <row r="908" spans="1:19" ht="15.75" customHeight="1" x14ac:dyDescent="0.25">
      <c r="A908" s="92"/>
      <c r="B908" s="93"/>
      <c r="C908" s="92"/>
      <c r="D908" s="92"/>
      <c r="E908" s="92"/>
      <c r="F908" s="92"/>
      <c r="G908" s="92"/>
      <c r="H908" s="91"/>
      <c r="I908" s="91"/>
      <c r="J908" s="91"/>
      <c r="K908" s="91"/>
      <c r="L908" s="91"/>
      <c r="M908" s="91"/>
      <c r="N908" s="91"/>
      <c r="O908" s="91"/>
      <c r="P908" s="91"/>
      <c r="Q908" s="91"/>
      <c r="R908" s="91"/>
      <c r="S908" s="91"/>
    </row>
    <row r="909" spans="1:19" ht="15.75" customHeight="1" x14ac:dyDescent="0.25">
      <c r="A909" s="92"/>
      <c r="B909" s="93"/>
      <c r="C909" s="92"/>
      <c r="D909" s="92"/>
      <c r="E909" s="92"/>
      <c r="F909" s="92"/>
      <c r="G909" s="92"/>
      <c r="H909" s="91"/>
      <c r="I909" s="91"/>
      <c r="J909" s="91"/>
      <c r="K909" s="91"/>
      <c r="L909" s="91"/>
      <c r="M909" s="91"/>
      <c r="N909" s="91"/>
      <c r="O909" s="91"/>
      <c r="P909" s="91"/>
      <c r="Q909" s="91"/>
      <c r="R909" s="91"/>
      <c r="S909" s="91"/>
    </row>
    <row r="910" spans="1:19" ht="15.75" customHeight="1" x14ac:dyDescent="0.25">
      <c r="A910" s="92"/>
      <c r="B910" s="93"/>
      <c r="C910" s="92"/>
      <c r="D910" s="92"/>
      <c r="E910" s="92"/>
      <c r="F910" s="92"/>
      <c r="G910" s="92"/>
      <c r="H910" s="91"/>
      <c r="I910" s="91"/>
      <c r="J910" s="91"/>
      <c r="K910" s="91"/>
      <c r="L910" s="91"/>
      <c r="M910" s="91"/>
      <c r="N910" s="91"/>
      <c r="O910" s="91"/>
      <c r="P910" s="91"/>
      <c r="Q910" s="91"/>
      <c r="R910" s="91"/>
      <c r="S910" s="91"/>
    </row>
    <row r="911" spans="1:19" ht="15.75" customHeight="1" x14ac:dyDescent="0.25">
      <c r="A911" s="92"/>
      <c r="B911" s="93"/>
      <c r="C911" s="92"/>
      <c r="D911" s="92"/>
      <c r="E911" s="92"/>
      <c r="F911" s="92"/>
      <c r="G911" s="92"/>
      <c r="H911" s="91"/>
      <c r="I911" s="91"/>
      <c r="J911" s="91"/>
      <c r="K911" s="91"/>
      <c r="L911" s="91"/>
      <c r="M911" s="91"/>
      <c r="N911" s="91"/>
      <c r="O911" s="91"/>
      <c r="P911" s="91"/>
      <c r="Q911" s="91"/>
      <c r="R911" s="91"/>
      <c r="S911" s="91"/>
    </row>
    <row r="912" spans="1:19" ht="15.75" customHeight="1" x14ac:dyDescent="0.25">
      <c r="A912" s="92"/>
      <c r="B912" s="93"/>
      <c r="C912" s="92"/>
      <c r="D912" s="92"/>
      <c r="E912" s="92"/>
      <c r="F912" s="92"/>
      <c r="G912" s="92"/>
      <c r="H912" s="91"/>
      <c r="I912" s="91"/>
      <c r="J912" s="91"/>
      <c r="K912" s="91"/>
      <c r="L912" s="91"/>
      <c r="M912" s="91"/>
      <c r="N912" s="91"/>
      <c r="O912" s="91"/>
      <c r="P912" s="91"/>
      <c r="Q912" s="91"/>
      <c r="R912" s="91"/>
      <c r="S912" s="91"/>
    </row>
    <row r="913" spans="1:19" ht="15.75" customHeight="1" x14ac:dyDescent="0.25">
      <c r="A913" s="92"/>
      <c r="B913" s="93"/>
      <c r="C913" s="92"/>
      <c r="D913" s="92"/>
      <c r="E913" s="92"/>
      <c r="F913" s="92"/>
      <c r="G913" s="92"/>
      <c r="H913" s="91"/>
      <c r="I913" s="91"/>
      <c r="J913" s="91"/>
      <c r="K913" s="91"/>
      <c r="L913" s="91"/>
      <c r="M913" s="91"/>
      <c r="N913" s="91"/>
      <c r="O913" s="91"/>
      <c r="P913" s="91"/>
      <c r="Q913" s="91"/>
      <c r="R913" s="91"/>
      <c r="S913" s="91"/>
    </row>
    <row r="914" spans="1:19" ht="15.75" customHeight="1" x14ac:dyDescent="0.25">
      <c r="A914" s="92"/>
      <c r="B914" s="93"/>
      <c r="C914" s="92"/>
      <c r="D914" s="92"/>
      <c r="E914" s="92"/>
      <c r="F914" s="92"/>
      <c r="G914" s="92"/>
      <c r="H914" s="91"/>
      <c r="I914" s="91"/>
      <c r="J914" s="91"/>
      <c r="K914" s="91"/>
      <c r="L914" s="91"/>
      <c r="M914" s="91"/>
      <c r="N914" s="91"/>
      <c r="O914" s="91"/>
      <c r="P914" s="91"/>
      <c r="Q914" s="91"/>
      <c r="R914" s="91"/>
      <c r="S914" s="91"/>
    </row>
    <row r="915" spans="1:19" ht="15.75" customHeight="1" x14ac:dyDescent="0.25">
      <c r="A915" s="92"/>
      <c r="B915" s="93"/>
      <c r="C915" s="92"/>
      <c r="D915" s="92"/>
      <c r="E915" s="92"/>
      <c r="F915" s="92"/>
      <c r="G915" s="92"/>
      <c r="H915" s="91"/>
      <c r="I915" s="91"/>
      <c r="J915" s="91"/>
      <c r="K915" s="91"/>
      <c r="L915" s="91"/>
      <c r="M915" s="91"/>
      <c r="N915" s="91"/>
      <c r="O915" s="91"/>
      <c r="P915" s="91"/>
      <c r="Q915" s="91"/>
      <c r="R915" s="91"/>
      <c r="S915" s="91"/>
    </row>
    <row r="916" spans="1:19" ht="15.75" customHeight="1" x14ac:dyDescent="0.25">
      <c r="A916" s="92"/>
      <c r="B916" s="93"/>
      <c r="C916" s="92"/>
      <c r="D916" s="92"/>
      <c r="E916" s="92"/>
      <c r="F916" s="92"/>
      <c r="G916" s="92"/>
      <c r="H916" s="91"/>
      <c r="I916" s="91"/>
      <c r="J916" s="91"/>
      <c r="K916" s="91"/>
      <c r="L916" s="91"/>
      <c r="M916" s="91"/>
      <c r="N916" s="91"/>
      <c r="O916" s="91"/>
      <c r="P916" s="91"/>
      <c r="Q916" s="91"/>
      <c r="R916" s="91"/>
      <c r="S916" s="91"/>
    </row>
    <row r="917" spans="1:19" ht="15.75" customHeight="1" x14ac:dyDescent="0.25">
      <c r="A917" s="92"/>
      <c r="B917" s="93"/>
      <c r="C917" s="92"/>
      <c r="D917" s="92"/>
      <c r="E917" s="92"/>
      <c r="F917" s="92"/>
      <c r="G917" s="92"/>
      <c r="H917" s="91"/>
      <c r="I917" s="91"/>
      <c r="J917" s="91"/>
      <c r="K917" s="91"/>
      <c r="L917" s="91"/>
      <c r="M917" s="91"/>
      <c r="N917" s="91"/>
      <c r="O917" s="91"/>
      <c r="P917" s="91"/>
      <c r="Q917" s="91"/>
      <c r="R917" s="91"/>
      <c r="S917" s="91"/>
    </row>
    <row r="918" spans="1:19" ht="15.75" customHeight="1" x14ac:dyDescent="0.25">
      <c r="A918" s="92"/>
      <c r="B918" s="93"/>
      <c r="C918" s="92"/>
      <c r="D918" s="92"/>
      <c r="E918" s="92"/>
      <c r="F918" s="92"/>
      <c r="G918" s="92"/>
      <c r="H918" s="91"/>
      <c r="I918" s="91"/>
      <c r="J918" s="91"/>
      <c r="K918" s="91"/>
      <c r="L918" s="91"/>
      <c r="M918" s="91"/>
      <c r="N918" s="91"/>
      <c r="O918" s="91"/>
      <c r="P918" s="91"/>
      <c r="Q918" s="91"/>
      <c r="R918" s="91"/>
      <c r="S918" s="91"/>
    </row>
    <row r="919" spans="1:19" ht="15.75" customHeight="1" x14ac:dyDescent="0.25">
      <c r="A919" s="92"/>
      <c r="B919" s="93"/>
      <c r="C919" s="92"/>
      <c r="D919" s="92"/>
      <c r="E919" s="92"/>
      <c r="F919" s="92"/>
      <c r="G919" s="92"/>
      <c r="H919" s="91"/>
      <c r="I919" s="91"/>
      <c r="J919" s="91"/>
      <c r="K919" s="91"/>
      <c r="L919" s="91"/>
      <c r="M919" s="91"/>
      <c r="N919" s="91"/>
      <c r="O919" s="91"/>
      <c r="P919" s="91"/>
      <c r="Q919" s="91"/>
      <c r="R919" s="91"/>
      <c r="S919" s="91"/>
    </row>
    <row r="920" spans="1:19" ht="15.75" customHeight="1" x14ac:dyDescent="0.25">
      <c r="A920" s="92"/>
      <c r="B920" s="93"/>
      <c r="C920" s="92"/>
      <c r="D920" s="92"/>
      <c r="E920" s="92"/>
      <c r="F920" s="92"/>
      <c r="G920" s="92"/>
      <c r="H920" s="91"/>
      <c r="I920" s="91"/>
      <c r="J920" s="91"/>
      <c r="K920" s="91"/>
      <c r="L920" s="91"/>
      <c r="M920" s="91"/>
      <c r="N920" s="91"/>
      <c r="O920" s="91"/>
      <c r="P920" s="91"/>
      <c r="Q920" s="91"/>
      <c r="R920" s="91"/>
      <c r="S920" s="91"/>
    </row>
    <row r="921" spans="1:19" ht="15.75" customHeight="1" x14ac:dyDescent="0.25">
      <c r="A921" s="92"/>
      <c r="B921" s="93"/>
      <c r="C921" s="92"/>
      <c r="D921" s="92"/>
      <c r="E921" s="92"/>
      <c r="F921" s="92"/>
      <c r="G921" s="92"/>
      <c r="H921" s="91"/>
      <c r="I921" s="91"/>
      <c r="J921" s="91"/>
      <c r="K921" s="91"/>
      <c r="L921" s="91"/>
      <c r="M921" s="91"/>
      <c r="N921" s="91"/>
      <c r="O921" s="91"/>
      <c r="P921" s="91"/>
      <c r="Q921" s="91"/>
      <c r="R921" s="91"/>
      <c r="S921" s="91"/>
    </row>
    <row r="922" spans="1:19" ht="15.75" customHeight="1" x14ac:dyDescent="0.25">
      <c r="A922" s="92"/>
      <c r="B922" s="93"/>
      <c r="C922" s="92"/>
      <c r="D922" s="92"/>
      <c r="E922" s="92"/>
      <c r="F922" s="92"/>
      <c r="G922" s="92"/>
      <c r="H922" s="91"/>
      <c r="I922" s="91"/>
      <c r="J922" s="91"/>
      <c r="K922" s="91"/>
      <c r="L922" s="91"/>
      <c r="M922" s="91"/>
      <c r="N922" s="91"/>
      <c r="O922" s="91"/>
      <c r="P922" s="91"/>
      <c r="Q922" s="91"/>
      <c r="R922" s="91"/>
      <c r="S922" s="91"/>
    </row>
    <row r="923" spans="1:19" ht="15.75" customHeight="1" x14ac:dyDescent="0.25">
      <c r="A923" s="92"/>
      <c r="B923" s="93"/>
      <c r="C923" s="92"/>
      <c r="D923" s="92"/>
      <c r="E923" s="92"/>
      <c r="F923" s="92"/>
      <c r="G923" s="92"/>
      <c r="H923" s="91"/>
      <c r="I923" s="91"/>
      <c r="J923" s="91"/>
      <c r="K923" s="91"/>
      <c r="L923" s="91"/>
      <c r="M923" s="91"/>
      <c r="N923" s="91"/>
      <c r="O923" s="91"/>
      <c r="P923" s="91"/>
      <c r="Q923" s="91"/>
      <c r="R923" s="91"/>
      <c r="S923" s="91"/>
    </row>
    <row r="924" spans="1:19" ht="15.75" customHeight="1" x14ac:dyDescent="0.25">
      <c r="A924" s="92"/>
      <c r="B924" s="93"/>
      <c r="C924" s="92"/>
      <c r="D924" s="92"/>
      <c r="E924" s="92"/>
      <c r="F924" s="92"/>
      <c r="G924" s="92"/>
      <c r="H924" s="91"/>
      <c r="I924" s="91"/>
      <c r="J924" s="91"/>
      <c r="K924" s="91"/>
      <c r="L924" s="91"/>
      <c r="M924" s="91"/>
      <c r="N924" s="91"/>
      <c r="O924" s="91"/>
      <c r="P924" s="91"/>
      <c r="Q924" s="91"/>
      <c r="R924" s="91"/>
      <c r="S924" s="91"/>
    </row>
    <row r="925" spans="1:19" ht="15.75" customHeight="1" x14ac:dyDescent="0.25">
      <c r="A925" s="92"/>
      <c r="B925" s="93"/>
      <c r="C925" s="92"/>
      <c r="D925" s="92"/>
      <c r="E925" s="92"/>
      <c r="F925" s="92"/>
      <c r="G925" s="92"/>
      <c r="H925" s="91"/>
      <c r="I925" s="91"/>
      <c r="J925" s="91"/>
      <c r="K925" s="91"/>
      <c r="L925" s="91"/>
      <c r="M925" s="91"/>
      <c r="N925" s="91"/>
      <c r="O925" s="91"/>
      <c r="P925" s="91"/>
      <c r="Q925" s="91"/>
      <c r="R925" s="91"/>
      <c r="S925" s="91"/>
    </row>
    <row r="926" spans="1:19" ht="15.75" customHeight="1" x14ac:dyDescent="0.25">
      <c r="A926" s="92"/>
      <c r="B926" s="93"/>
      <c r="C926" s="92"/>
      <c r="D926" s="92"/>
      <c r="E926" s="92"/>
      <c r="F926" s="92"/>
      <c r="G926" s="92"/>
      <c r="H926" s="91"/>
      <c r="I926" s="91"/>
      <c r="J926" s="91"/>
      <c r="K926" s="91"/>
      <c r="L926" s="91"/>
      <c r="M926" s="91"/>
      <c r="N926" s="91"/>
      <c r="O926" s="91"/>
      <c r="P926" s="91"/>
      <c r="Q926" s="91"/>
      <c r="R926" s="91"/>
      <c r="S926" s="91"/>
    </row>
    <row r="927" spans="1:19" ht="15.75" customHeight="1" x14ac:dyDescent="0.25">
      <c r="A927" s="92"/>
      <c r="B927" s="93"/>
      <c r="C927" s="92"/>
      <c r="D927" s="92"/>
      <c r="E927" s="92"/>
      <c r="F927" s="92"/>
      <c r="G927" s="92"/>
      <c r="H927" s="91"/>
      <c r="I927" s="91"/>
      <c r="J927" s="91"/>
      <c r="K927" s="91"/>
      <c r="L927" s="91"/>
      <c r="M927" s="91"/>
      <c r="N927" s="91"/>
      <c r="O927" s="91"/>
      <c r="P927" s="91"/>
      <c r="Q927" s="91"/>
      <c r="R927" s="91"/>
      <c r="S927" s="91"/>
    </row>
    <row r="928" spans="1:19" ht="15.75" customHeight="1" x14ac:dyDescent="0.25">
      <c r="A928" s="92"/>
      <c r="B928" s="93"/>
      <c r="C928" s="92"/>
      <c r="D928" s="92"/>
      <c r="E928" s="92"/>
      <c r="F928" s="92"/>
      <c r="G928" s="92"/>
      <c r="H928" s="91"/>
      <c r="I928" s="91"/>
      <c r="J928" s="91"/>
      <c r="K928" s="91"/>
      <c r="L928" s="91"/>
      <c r="M928" s="91"/>
      <c r="N928" s="91"/>
      <c r="O928" s="91"/>
      <c r="P928" s="91"/>
      <c r="Q928" s="91"/>
      <c r="R928" s="91"/>
      <c r="S928" s="91"/>
    </row>
    <row r="929" spans="1:19" ht="15.75" customHeight="1" x14ac:dyDescent="0.25">
      <c r="A929" s="92"/>
      <c r="B929" s="93"/>
      <c r="C929" s="92"/>
      <c r="D929" s="92"/>
      <c r="E929" s="92"/>
      <c r="F929" s="92"/>
      <c r="G929" s="92"/>
      <c r="H929" s="91"/>
      <c r="I929" s="91"/>
      <c r="J929" s="91"/>
      <c r="K929" s="91"/>
      <c r="L929" s="91"/>
      <c r="M929" s="91"/>
      <c r="N929" s="91"/>
      <c r="O929" s="91"/>
      <c r="P929" s="91"/>
      <c r="Q929" s="91"/>
      <c r="R929" s="91"/>
      <c r="S929" s="91"/>
    </row>
    <row r="930" spans="1:19" ht="15.75" customHeight="1" x14ac:dyDescent="0.25">
      <c r="A930" s="92"/>
      <c r="B930" s="93"/>
      <c r="C930" s="92"/>
      <c r="D930" s="92"/>
      <c r="E930" s="92"/>
      <c r="F930" s="92"/>
      <c r="G930" s="92"/>
      <c r="H930" s="91"/>
      <c r="I930" s="91"/>
      <c r="J930" s="91"/>
      <c r="K930" s="91"/>
      <c r="L930" s="91"/>
      <c r="M930" s="91"/>
      <c r="N930" s="91"/>
      <c r="O930" s="91"/>
      <c r="P930" s="91"/>
      <c r="Q930" s="91"/>
      <c r="R930" s="91"/>
      <c r="S930" s="91"/>
    </row>
    <row r="931" spans="1:19" ht="15.75" customHeight="1" x14ac:dyDescent="0.25">
      <c r="A931" s="92"/>
      <c r="B931" s="93"/>
      <c r="C931" s="92"/>
      <c r="D931" s="92"/>
      <c r="E931" s="92"/>
      <c r="F931" s="92"/>
      <c r="G931" s="92"/>
      <c r="H931" s="91"/>
      <c r="I931" s="91"/>
      <c r="J931" s="91"/>
      <c r="K931" s="91"/>
      <c r="L931" s="91"/>
      <c r="M931" s="91"/>
      <c r="N931" s="91"/>
      <c r="O931" s="91"/>
      <c r="P931" s="91"/>
      <c r="Q931" s="91"/>
      <c r="R931" s="91"/>
      <c r="S931" s="91"/>
    </row>
    <row r="932" spans="1:19" ht="15.75" customHeight="1" x14ac:dyDescent="0.25">
      <c r="A932" s="92"/>
      <c r="B932" s="93"/>
      <c r="C932" s="92"/>
      <c r="D932" s="92"/>
      <c r="E932" s="92"/>
      <c r="F932" s="92"/>
      <c r="G932" s="92"/>
      <c r="H932" s="91"/>
      <c r="I932" s="91"/>
      <c r="J932" s="91"/>
      <c r="K932" s="91"/>
      <c r="L932" s="91"/>
      <c r="M932" s="91"/>
      <c r="N932" s="91"/>
      <c r="O932" s="91"/>
      <c r="P932" s="91"/>
      <c r="Q932" s="91"/>
      <c r="R932" s="91"/>
      <c r="S932" s="91"/>
    </row>
    <row r="933" spans="1:19" ht="15.75" customHeight="1" x14ac:dyDescent="0.25">
      <c r="A933" s="92"/>
      <c r="B933" s="93"/>
      <c r="C933" s="92"/>
      <c r="D933" s="92"/>
      <c r="E933" s="92"/>
      <c r="F933" s="92"/>
      <c r="G933" s="92"/>
      <c r="H933" s="91"/>
      <c r="I933" s="91"/>
      <c r="J933" s="91"/>
      <c r="K933" s="91"/>
      <c r="L933" s="91"/>
      <c r="M933" s="91"/>
      <c r="N933" s="91"/>
      <c r="O933" s="91"/>
      <c r="P933" s="91"/>
      <c r="Q933" s="91"/>
      <c r="R933" s="91"/>
      <c r="S933" s="91"/>
    </row>
    <row r="934" spans="1:19" ht="15.75" customHeight="1" x14ac:dyDescent="0.25">
      <c r="A934" s="92"/>
      <c r="B934" s="93"/>
      <c r="C934" s="92"/>
      <c r="D934" s="92"/>
      <c r="E934" s="92"/>
      <c r="F934" s="92"/>
      <c r="G934" s="92"/>
      <c r="H934" s="91"/>
      <c r="I934" s="91"/>
      <c r="J934" s="91"/>
      <c r="K934" s="91"/>
      <c r="L934" s="91"/>
      <c r="M934" s="91"/>
      <c r="N934" s="91"/>
      <c r="O934" s="91"/>
      <c r="P934" s="91"/>
      <c r="Q934" s="91"/>
      <c r="R934" s="91"/>
      <c r="S934" s="91"/>
    </row>
    <row r="935" spans="1:19" ht="15.75" customHeight="1" x14ac:dyDescent="0.25">
      <c r="A935" s="92"/>
      <c r="B935" s="93"/>
      <c r="C935" s="92"/>
      <c r="D935" s="92"/>
      <c r="E935" s="92"/>
      <c r="F935" s="92"/>
      <c r="G935" s="92"/>
      <c r="H935" s="91"/>
      <c r="I935" s="91"/>
      <c r="J935" s="91"/>
      <c r="K935" s="91"/>
      <c r="L935" s="91"/>
      <c r="M935" s="91"/>
      <c r="N935" s="91"/>
      <c r="O935" s="91"/>
      <c r="P935" s="91"/>
      <c r="Q935" s="91"/>
      <c r="R935" s="91"/>
      <c r="S935" s="91"/>
    </row>
    <row r="936" spans="1:19" ht="15.75" customHeight="1" x14ac:dyDescent="0.25">
      <c r="A936" s="92"/>
      <c r="B936" s="93"/>
      <c r="C936" s="92"/>
      <c r="D936" s="92"/>
      <c r="E936" s="92"/>
      <c r="F936" s="92"/>
      <c r="G936" s="92"/>
      <c r="H936" s="91"/>
      <c r="I936" s="91"/>
      <c r="J936" s="91"/>
      <c r="K936" s="91"/>
      <c r="L936" s="91"/>
      <c r="M936" s="91"/>
      <c r="N936" s="91"/>
      <c r="O936" s="91"/>
      <c r="P936" s="91"/>
      <c r="Q936" s="91"/>
      <c r="R936" s="91"/>
      <c r="S936" s="91"/>
    </row>
    <row r="937" spans="1:19" ht="15.75" customHeight="1" x14ac:dyDescent="0.25">
      <c r="A937" s="92"/>
      <c r="B937" s="93"/>
      <c r="C937" s="92"/>
      <c r="D937" s="92"/>
      <c r="E937" s="92"/>
      <c r="F937" s="92"/>
      <c r="G937" s="92"/>
      <c r="H937" s="91"/>
      <c r="I937" s="91"/>
      <c r="J937" s="91"/>
      <c r="K937" s="91"/>
      <c r="L937" s="91"/>
      <c r="M937" s="91"/>
      <c r="N937" s="91"/>
      <c r="O937" s="91"/>
      <c r="P937" s="91"/>
      <c r="Q937" s="91"/>
      <c r="R937" s="91"/>
      <c r="S937" s="91"/>
    </row>
    <row r="938" spans="1:19" ht="15.75" customHeight="1" x14ac:dyDescent="0.25">
      <c r="A938" s="92"/>
      <c r="B938" s="93"/>
      <c r="C938" s="92"/>
      <c r="D938" s="92"/>
      <c r="E938" s="92"/>
      <c r="F938" s="92"/>
      <c r="G938" s="92"/>
      <c r="H938" s="91"/>
      <c r="I938" s="91"/>
      <c r="J938" s="91"/>
      <c r="K938" s="91"/>
      <c r="L938" s="91"/>
      <c r="M938" s="91"/>
      <c r="N938" s="91"/>
      <c r="O938" s="91"/>
      <c r="P938" s="91"/>
      <c r="Q938" s="91"/>
      <c r="R938" s="91"/>
      <c r="S938" s="91"/>
    </row>
    <row r="939" spans="1:19" ht="15.75" customHeight="1" x14ac:dyDescent="0.25">
      <c r="A939" s="92"/>
      <c r="B939" s="93"/>
      <c r="C939" s="92"/>
      <c r="D939" s="92"/>
      <c r="E939" s="92"/>
      <c r="F939" s="92"/>
      <c r="G939" s="92"/>
      <c r="H939" s="91"/>
      <c r="I939" s="91"/>
      <c r="J939" s="91"/>
      <c r="K939" s="91"/>
      <c r="L939" s="91"/>
      <c r="M939" s="91"/>
      <c r="N939" s="91"/>
      <c r="O939" s="91"/>
      <c r="P939" s="91"/>
      <c r="Q939" s="91"/>
      <c r="R939" s="91"/>
      <c r="S939" s="91"/>
    </row>
    <row r="940" spans="1:19" ht="15.75" customHeight="1" x14ac:dyDescent="0.25">
      <c r="A940" s="92"/>
      <c r="B940" s="93"/>
      <c r="C940" s="92"/>
      <c r="D940" s="92"/>
      <c r="E940" s="92"/>
      <c r="F940" s="92"/>
      <c r="G940" s="92"/>
      <c r="H940" s="91"/>
      <c r="I940" s="91"/>
      <c r="J940" s="91"/>
      <c r="K940" s="91"/>
      <c r="L940" s="91"/>
      <c r="M940" s="91"/>
      <c r="N940" s="91"/>
      <c r="O940" s="91"/>
      <c r="P940" s="91"/>
      <c r="Q940" s="91"/>
      <c r="R940" s="91"/>
      <c r="S940" s="91"/>
    </row>
    <row r="941" spans="1:19" ht="15.75" customHeight="1" x14ac:dyDescent="0.25">
      <c r="A941" s="92"/>
      <c r="B941" s="93"/>
      <c r="C941" s="92"/>
      <c r="D941" s="92"/>
      <c r="E941" s="92"/>
      <c r="F941" s="92"/>
      <c r="G941" s="92"/>
      <c r="H941" s="91"/>
      <c r="I941" s="91"/>
      <c r="J941" s="91"/>
      <c r="K941" s="91"/>
      <c r="L941" s="91"/>
      <c r="M941" s="91"/>
      <c r="N941" s="91"/>
      <c r="O941" s="91"/>
      <c r="P941" s="91"/>
      <c r="Q941" s="91"/>
      <c r="R941" s="91"/>
      <c r="S941" s="91"/>
    </row>
    <row r="942" spans="1:19" ht="15.75" customHeight="1" x14ac:dyDescent="0.25">
      <c r="A942" s="92"/>
      <c r="B942" s="93"/>
      <c r="C942" s="92"/>
      <c r="D942" s="92"/>
      <c r="E942" s="92"/>
      <c r="F942" s="92"/>
      <c r="G942" s="92"/>
      <c r="H942" s="91"/>
      <c r="I942" s="91"/>
      <c r="J942" s="91"/>
      <c r="K942" s="91"/>
      <c r="L942" s="91"/>
      <c r="M942" s="91"/>
      <c r="N942" s="91"/>
      <c r="O942" s="91"/>
      <c r="P942" s="91"/>
      <c r="Q942" s="91"/>
      <c r="R942" s="91"/>
      <c r="S942" s="91"/>
    </row>
    <row r="943" spans="1:19" ht="15.75" customHeight="1" x14ac:dyDescent="0.25">
      <c r="A943" s="92"/>
      <c r="B943" s="93"/>
      <c r="C943" s="92"/>
      <c r="D943" s="92"/>
      <c r="E943" s="92"/>
      <c r="F943" s="92"/>
      <c r="G943" s="92"/>
      <c r="H943" s="91"/>
      <c r="I943" s="91"/>
      <c r="J943" s="91"/>
      <c r="K943" s="91"/>
      <c r="L943" s="91"/>
      <c r="M943" s="91"/>
      <c r="N943" s="91"/>
      <c r="O943" s="91"/>
      <c r="P943" s="91"/>
      <c r="Q943" s="91"/>
      <c r="R943" s="91"/>
      <c r="S943" s="91"/>
    </row>
    <row r="944" spans="1:19" ht="15.75" customHeight="1" x14ac:dyDescent="0.25">
      <c r="A944" s="92"/>
      <c r="B944" s="93"/>
      <c r="C944" s="92"/>
      <c r="D944" s="92"/>
      <c r="E944" s="92"/>
      <c r="F944" s="92"/>
      <c r="G944" s="92"/>
      <c r="H944" s="91"/>
      <c r="I944" s="91"/>
      <c r="J944" s="91"/>
      <c r="K944" s="91"/>
      <c r="L944" s="91"/>
      <c r="M944" s="91"/>
      <c r="N944" s="91"/>
      <c r="O944" s="91"/>
      <c r="P944" s="91"/>
      <c r="Q944" s="91"/>
      <c r="R944" s="91"/>
      <c r="S944" s="91"/>
    </row>
    <row r="945" spans="1:19" ht="15.75" customHeight="1" x14ac:dyDescent="0.25">
      <c r="A945" s="92"/>
      <c r="B945" s="93"/>
      <c r="C945" s="92"/>
      <c r="D945" s="92"/>
      <c r="E945" s="92"/>
      <c r="F945" s="92"/>
      <c r="G945" s="92"/>
      <c r="H945" s="91"/>
      <c r="I945" s="91"/>
      <c r="J945" s="91"/>
      <c r="K945" s="91"/>
      <c r="L945" s="91"/>
      <c r="M945" s="91"/>
      <c r="N945" s="91"/>
      <c r="O945" s="91"/>
      <c r="P945" s="91"/>
      <c r="Q945" s="91"/>
      <c r="R945" s="91"/>
      <c r="S945" s="91"/>
    </row>
    <row r="946" spans="1:19" ht="15.75" customHeight="1" x14ac:dyDescent="0.25">
      <c r="A946" s="92"/>
      <c r="B946" s="93"/>
      <c r="C946" s="92"/>
      <c r="D946" s="92"/>
      <c r="E946" s="92"/>
      <c r="F946" s="92"/>
      <c r="G946" s="92"/>
      <c r="H946" s="91"/>
      <c r="I946" s="91"/>
      <c r="J946" s="91"/>
      <c r="K946" s="91"/>
      <c r="L946" s="91"/>
      <c r="M946" s="91"/>
      <c r="N946" s="91"/>
      <c r="O946" s="91"/>
      <c r="P946" s="91"/>
      <c r="Q946" s="91"/>
      <c r="R946" s="91"/>
      <c r="S946" s="91"/>
    </row>
    <row r="947" spans="1:19" ht="15.75" customHeight="1" x14ac:dyDescent="0.25">
      <c r="A947" s="92"/>
      <c r="B947" s="93"/>
      <c r="C947" s="92"/>
      <c r="D947" s="92"/>
      <c r="E947" s="92"/>
      <c r="F947" s="92"/>
      <c r="G947" s="92"/>
      <c r="H947" s="91"/>
      <c r="I947" s="91"/>
      <c r="J947" s="91"/>
      <c r="K947" s="91"/>
      <c r="L947" s="91"/>
      <c r="M947" s="91"/>
      <c r="N947" s="91"/>
      <c r="O947" s="91"/>
      <c r="P947" s="91"/>
      <c r="Q947" s="91"/>
      <c r="R947" s="91"/>
      <c r="S947" s="91"/>
    </row>
    <row r="948" spans="1:19" ht="15.75" customHeight="1" x14ac:dyDescent="0.25">
      <c r="A948" s="92"/>
      <c r="B948" s="93"/>
      <c r="C948" s="92"/>
      <c r="D948" s="92"/>
      <c r="E948" s="92"/>
      <c r="F948" s="92"/>
      <c r="G948" s="92"/>
      <c r="H948" s="91"/>
      <c r="I948" s="91"/>
      <c r="J948" s="91"/>
      <c r="K948" s="91"/>
      <c r="L948" s="91"/>
      <c r="M948" s="91"/>
      <c r="N948" s="91"/>
      <c r="O948" s="91"/>
      <c r="P948" s="91"/>
      <c r="Q948" s="91"/>
      <c r="R948" s="91"/>
      <c r="S948" s="91"/>
    </row>
    <row r="949" spans="1:19" ht="15.75" customHeight="1" x14ac:dyDescent="0.25">
      <c r="A949" s="92"/>
      <c r="B949" s="93"/>
      <c r="C949" s="92"/>
      <c r="D949" s="92"/>
      <c r="E949" s="92"/>
      <c r="F949" s="92"/>
      <c r="G949" s="92"/>
      <c r="H949" s="91"/>
      <c r="I949" s="91"/>
      <c r="J949" s="91"/>
      <c r="K949" s="91"/>
      <c r="L949" s="91"/>
      <c r="M949" s="91"/>
      <c r="N949" s="91"/>
      <c r="O949" s="91"/>
      <c r="P949" s="91"/>
      <c r="Q949" s="91"/>
      <c r="R949" s="91"/>
      <c r="S949" s="91"/>
    </row>
    <row r="950" spans="1:19" ht="15.75" customHeight="1" x14ac:dyDescent="0.25">
      <c r="A950" s="92"/>
      <c r="B950" s="93"/>
      <c r="C950" s="92"/>
      <c r="D950" s="92"/>
      <c r="E950" s="92"/>
      <c r="F950" s="92"/>
      <c r="G950" s="92"/>
      <c r="H950" s="91"/>
      <c r="I950" s="91"/>
      <c r="J950" s="91"/>
      <c r="K950" s="91"/>
      <c r="L950" s="91"/>
      <c r="M950" s="91"/>
      <c r="N950" s="91"/>
      <c r="O950" s="91"/>
      <c r="P950" s="91"/>
      <c r="Q950" s="91"/>
      <c r="R950" s="91"/>
      <c r="S950" s="91"/>
    </row>
    <row r="951" spans="1:19" ht="15.75" customHeight="1" x14ac:dyDescent="0.25">
      <c r="A951" s="92"/>
      <c r="B951" s="93"/>
      <c r="C951" s="92"/>
      <c r="D951" s="92"/>
      <c r="E951" s="92"/>
      <c r="F951" s="92"/>
      <c r="G951" s="92"/>
      <c r="H951" s="91"/>
      <c r="I951" s="91"/>
      <c r="J951" s="91"/>
      <c r="K951" s="91"/>
      <c r="L951" s="91"/>
      <c r="M951" s="91"/>
      <c r="N951" s="91"/>
      <c r="O951" s="91"/>
      <c r="P951" s="91"/>
      <c r="Q951" s="91"/>
      <c r="R951" s="91"/>
      <c r="S951" s="91"/>
    </row>
    <row r="952" spans="1:19" ht="15.75" customHeight="1" x14ac:dyDescent="0.25">
      <c r="A952" s="92"/>
      <c r="B952" s="93"/>
      <c r="C952" s="92"/>
      <c r="D952" s="92"/>
      <c r="E952" s="92"/>
      <c r="F952" s="92"/>
      <c r="G952" s="92"/>
      <c r="H952" s="91"/>
      <c r="I952" s="91"/>
      <c r="J952" s="91"/>
      <c r="K952" s="91"/>
      <c r="L952" s="91"/>
      <c r="M952" s="91"/>
      <c r="N952" s="91"/>
      <c r="O952" s="91"/>
      <c r="P952" s="91"/>
      <c r="Q952" s="91"/>
      <c r="R952" s="91"/>
      <c r="S952" s="91"/>
    </row>
    <row r="953" spans="1:19" ht="15.75" customHeight="1" x14ac:dyDescent="0.25">
      <c r="A953" s="92"/>
      <c r="B953" s="93"/>
      <c r="C953" s="92"/>
      <c r="D953" s="92"/>
      <c r="E953" s="92"/>
      <c r="F953" s="92"/>
      <c r="G953" s="92"/>
      <c r="H953" s="91"/>
      <c r="I953" s="91"/>
      <c r="J953" s="91"/>
      <c r="K953" s="91"/>
      <c r="L953" s="91"/>
      <c r="M953" s="91"/>
      <c r="N953" s="91"/>
      <c r="O953" s="91"/>
      <c r="P953" s="91"/>
      <c r="Q953" s="91"/>
      <c r="R953" s="91"/>
      <c r="S953" s="91"/>
    </row>
    <row r="954" spans="1:19" ht="15.75" customHeight="1" x14ac:dyDescent="0.25">
      <c r="A954" s="92"/>
      <c r="B954" s="93"/>
      <c r="C954" s="92"/>
      <c r="D954" s="92"/>
      <c r="E954" s="92"/>
      <c r="F954" s="92"/>
      <c r="G954" s="92"/>
      <c r="H954" s="91"/>
      <c r="I954" s="91"/>
      <c r="J954" s="91"/>
      <c r="K954" s="91"/>
      <c r="L954" s="91"/>
      <c r="M954" s="91"/>
      <c r="N954" s="91"/>
      <c r="O954" s="91"/>
      <c r="P954" s="91"/>
      <c r="Q954" s="91"/>
      <c r="R954" s="91"/>
      <c r="S954" s="91"/>
    </row>
    <row r="955" spans="1:19" ht="15.75" customHeight="1" x14ac:dyDescent="0.25">
      <c r="A955" s="92"/>
      <c r="B955" s="93"/>
      <c r="C955" s="92"/>
      <c r="D955" s="92"/>
      <c r="E955" s="92"/>
      <c r="F955" s="92"/>
      <c r="G955" s="92"/>
      <c r="H955" s="91"/>
      <c r="I955" s="91"/>
      <c r="J955" s="91"/>
      <c r="K955" s="91"/>
      <c r="L955" s="91"/>
      <c r="M955" s="91"/>
      <c r="N955" s="91"/>
      <c r="O955" s="91"/>
      <c r="P955" s="91"/>
      <c r="Q955" s="91"/>
      <c r="R955" s="91"/>
      <c r="S955" s="91"/>
    </row>
    <row r="956" spans="1:19" ht="15.75" customHeight="1" x14ac:dyDescent="0.25">
      <c r="A956" s="92"/>
      <c r="B956" s="93"/>
      <c r="C956" s="92"/>
      <c r="D956" s="92"/>
      <c r="E956" s="92"/>
      <c r="F956" s="92"/>
      <c r="G956" s="92"/>
      <c r="H956" s="91"/>
      <c r="I956" s="91"/>
      <c r="J956" s="91"/>
      <c r="K956" s="91"/>
      <c r="L956" s="91"/>
      <c r="M956" s="91"/>
      <c r="N956" s="91"/>
      <c r="O956" s="91"/>
      <c r="P956" s="91"/>
      <c r="Q956" s="91"/>
      <c r="R956" s="91"/>
      <c r="S956" s="91"/>
    </row>
    <row r="957" spans="1:19" ht="15.75" customHeight="1" x14ac:dyDescent="0.25">
      <c r="A957" s="92"/>
      <c r="B957" s="93"/>
      <c r="C957" s="92"/>
      <c r="D957" s="92"/>
      <c r="E957" s="92"/>
      <c r="F957" s="92"/>
      <c r="G957" s="92"/>
      <c r="H957" s="91"/>
      <c r="I957" s="91"/>
      <c r="J957" s="91"/>
      <c r="K957" s="91"/>
      <c r="L957" s="91"/>
      <c r="M957" s="91"/>
      <c r="N957" s="91"/>
      <c r="O957" s="91"/>
      <c r="P957" s="91"/>
      <c r="Q957" s="91"/>
      <c r="R957" s="91"/>
      <c r="S957" s="91"/>
    </row>
    <row r="958" spans="1:19" ht="15.75" customHeight="1" x14ac:dyDescent="0.25">
      <c r="A958" s="92"/>
      <c r="B958" s="93"/>
      <c r="C958" s="92"/>
      <c r="D958" s="92"/>
      <c r="E958" s="92"/>
      <c r="F958" s="92"/>
      <c r="G958" s="92"/>
      <c r="H958" s="91"/>
      <c r="I958" s="91"/>
      <c r="J958" s="91"/>
      <c r="K958" s="91"/>
      <c r="L958" s="91"/>
      <c r="M958" s="91"/>
      <c r="N958" s="91"/>
      <c r="O958" s="91"/>
      <c r="P958" s="91"/>
      <c r="Q958" s="91"/>
      <c r="R958" s="91"/>
      <c r="S958" s="91"/>
    </row>
    <row r="959" spans="1:19" ht="15.75" customHeight="1" x14ac:dyDescent="0.25">
      <c r="A959" s="92"/>
      <c r="B959" s="93"/>
      <c r="C959" s="92"/>
      <c r="D959" s="92"/>
      <c r="E959" s="92"/>
      <c r="F959" s="92"/>
      <c r="G959" s="92"/>
      <c r="H959" s="91"/>
      <c r="I959" s="91"/>
      <c r="J959" s="91"/>
      <c r="K959" s="91"/>
      <c r="L959" s="91"/>
      <c r="M959" s="91"/>
      <c r="N959" s="91"/>
      <c r="O959" s="91"/>
      <c r="P959" s="91"/>
      <c r="Q959" s="91"/>
      <c r="R959" s="91"/>
      <c r="S959" s="91"/>
    </row>
    <row r="960" spans="1:19" ht="15.75" customHeight="1" x14ac:dyDescent="0.25">
      <c r="A960" s="92"/>
      <c r="B960" s="93"/>
      <c r="C960" s="92"/>
      <c r="D960" s="92"/>
      <c r="E960" s="92"/>
      <c r="F960" s="92"/>
      <c r="G960" s="92"/>
      <c r="H960" s="91"/>
      <c r="I960" s="91"/>
      <c r="J960" s="91"/>
      <c r="K960" s="91"/>
      <c r="L960" s="91"/>
      <c r="M960" s="91"/>
      <c r="N960" s="91"/>
      <c r="O960" s="91"/>
      <c r="P960" s="91"/>
      <c r="Q960" s="91"/>
      <c r="R960" s="91"/>
      <c r="S960" s="91"/>
    </row>
    <row r="961" spans="1:19" ht="15.75" customHeight="1" x14ac:dyDescent="0.25">
      <c r="A961" s="92"/>
      <c r="B961" s="93"/>
      <c r="C961" s="92"/>
      <c r="D961" s="92"/>
      <c r="E961" s="92"/>
      <c r="F961" s="92"/>
      <c r="G961" s="92"/>
      <c r="H961" s="91"/>
      <c r="I961" s="91"/>
      <c r="J961" s="91"/>
      <c r="K961" s="91"/>
      <c r="L961" s="91"/>
      <c r="M961" s="91"/>
      <c r="N961" s="91"/>
      <c r="O961" s="91"/>
      <c r="P961" s="91"/>
      <c r="Q961" s="91"/>
      <c r="R961" s="91"/>
      <c r="S961" s="91"/>
    </row>
    <row r="962" spans="1:19" ht="15.75" customHeight="1" x14ac:dyDescent="0.25">
      <c r="A962" s="92"/>
      <c r="B962" s="93"/>
      <c r="C962" s="92"/>
      <c r="D962" s="92"/>
      <c r="E962" s="92"/>
      <c r="F962" s="92"/>
      <c r="G962" s="92"/>
      <c r="H962" s="91"/>
      <c r="I962" s="91"/>
      <c r="J962" s="91"/>
      <c r="K962" s="91"/>
      <c r="L962" s="91"/>
      <c r="M962" s="91"/>
      <c r="N962" s="91"/>
      <c r="O962" s="91"/>
      <c r="P962" s="91"/>
      <c r="Q962" s="91"/>
      <c r="R962" s="91"/>
      <c r="S962" s="91"/>
    </row>
    <row r="963" spans="1:19" ht="15.75" customHeight="1" x14ac:dyDescent="0.25">
      <c r="A963" s="92"/>
      <c r="B963" s="93"/>
      <c r="C963" s="92"/>
      <c r="D963" s="92"/>
      <c r="E963" s="92"/>
      <c r="F963" s="92"/>
      <c r="G963" s="92"/>
      <c r="H963" s="91"/>
      <c r="I963" s="91"/>
      <c r="J963" s="91"/>
      <c r="K963" s="91"/>
      <c r="L963" s="91"/>
      <c r="M963" s="91"/>
      <c r="N963" s="91"/>
      <c r="O963" s="91"/>
      <c r="P963" s="91"/>
      <c r="Q963" s="91"/>
      <c r="R963" s="91"/>
      <c r="S963" s="91"/>
    </row>
    <row r="964" spans="1:19" ht="15.75" customHeight="1" x14ac:dyDescent="0.25">
      <c r="A964" s="92"/>
      <c r="B964" s="93"/>
      <c r="C964" s="92"/>
      <c r="D964" s="92"/>
      <c r="E964" s="92"/>
      <c r="F964" s="92"/>
      <c r="G964" s="92"/>
      <c r="H964" s="91"/>
      <c r="I964" s="91"/>
      <c r="J964" s="91"/>
      <c r="K964" s="91"/>
      <c r="L964" s="91"/>
      <c r="M964" s="91"/>
      <c r="N964" s="91"/>
      <c r="O964" s="91"/>
      <c r="P964" s="91"/>
      <c r="Q964" s="91"/>
      <c r="R964" s="91"/>
      <c r="S964" s="91"/>
    </row>
    <row r="965" spans="1:19" ht="15.75" customHeight="1" x14ac:dyDescent="0.25">
      <c r="A965" s="92"/>
      <c r="B965" s="93"/>
      <c r="C965" s="92"/>
      <c r="D965" s="92"/>
      <c r="E965" s="92"/>
      <c r="F965" s="92"/>
      <c r="G965" s="92"/>
      <c r="H965" s="91"/>
      <c r="I965" s="91"/>
      <c r="J965" s="91"/>
      <c r="K965" s="91"/>
      <c r="L965" s="91"/>
      <c r="M965" s="91"/>
      <c r="N965" s="91"/>
      <c r="O965" s="91"/>
      <c r="P965" s="91"/>
      <c r="Q965" s="91"/>
      <c r="R965" s="91"/>
      <c r="S965" s="91"/>
    </row>
    <row r="966" spans="1:19" ht="15.75" customHeight="1" x14ac:dyDescent="0.25">
      <c r="A966" s="92"/>
      <c r="B966" s="93"/>
      <c r="C966" s="92"/>
      <c r="D966" s="92"/>
      <c r="E966" s="92"/>
      <c r="F966" s="92"/>
      <c r="G966" s="92"/>
      <c r="H966" s="91"/>
      <c r="I966" s="91"/>
      <c r="J966" s="91"/>
      <c r="K966" s="91"/>
      <c r="L966" s="91"/>
      <c r="M966" s="91"/>
      <c r="N966" s="91"/>
      <c r="O966" s="91"/>
      <c r="P966" s="91"/>
      <c r="Q966" s="91"/>
      <c r="R966" s="91"/>
      <c r="S966" s="91"/>
    </row>
    <row r="967" spans="1:19" ht="15.75" customHeight="1" x14ac:dyDescent="0.25">
      <c r="A967" s="92"/>
      <c r="B967" s="93"/>
      <c r="C967" s="92"/>
      <c r="D967" s="92"/>
      <c r="E967" s="92"/>
      <c r="F967" s="92"/>
      <c r="G967" s="92"/>
      <c r="H967" s="91"/>
      <c r="I967" s="91"/>
      <c r="J967" s="91"/>
      <c r="K967" s="91"/>
      <c r="L967" s="91"/>
      <c r="M967" s="91"/>
      <c r="N967" s="91"/>
      <c r="O967" s="91"/>
      <c r="P967" s="91"/>
      <c r="Q967" s="91"/>
      <c r="R967" s="91"/>
      <c r="S967" s="91"/>
    </row>
    <row r="968" spans="1:19" ht="15.75" customHeight="1" x14ac:dyDescent="0.25">
      <c r="A968" s="92"/>
      <c r="B968" s="93"/>
      <c r="C968" s="92"/>
      <c r="D968" s="92"/>
      <c r="E968" s="92"/>
      <c r="F968" s="92"/>
      <c r="G968" s="92"/>
      <c r="H968" s="91"/>
      <c r="I968" s="91"/>
      <c r="J968" s="91"/>
      <c r="K968" s="91"/>
      <c r="L968" s="91"/>
      <c r="M968" s="91"/>
      <c r="N968" s="91"/>
      <c r="O968" s="91"/>
      <c r="P968" s="91"/>
      <c r="Q968" s="91"/>
      <c r="R968" s="91"/>
      <c r="S968" s="91"/>
    </row>
    <row r="969" spans="1:19" ht="15.75" customHeight="1" x14ac:dyDescent="0.25">
      <c r="A969" s="92"/>
      <c r="B969" s="93"/>
      <c r="C969" s="92"/>
      <c r="D969" s="92"/>
      <c r="E969" s="92"/>
      <c r="F969" s="92"/>
      <c r="G969" s="92"/>
      <c r="H969" s="91"/>
      <c r="I969" s="91"/>
      <c r="J969" s="91"/>
      <c r="K969" s="91"/>
      <c r="L969" s="91"/>
      <c r="M969" s="91"/>
      <c r="N969" s="91"/>
      <c r="O969" s="91"/>
      <c r="P969" s="91"/>
      <c r="Q969" s="91"/>
      <c r="R969" s="91"/>
      <c r="S969" s="91"/>
    </row>
    <row r="970" spans="1:19" ht="15.75" customHeight="1" x14ac:dyDescent="0.25">
      <c r="A970" s="92"/>
      <c r="B970" s="93"/>
      <c r="C970" s="92"/>
      <c r="D970" s="92"/>
      <c r="E970" s="92"/>
      <c r="F970" s="92"/>
      <c r="G970" s="92"/>
      <c r="H970" s="91"/>
      <c r="I970" s="91"/>
      <c r="J970" s="91"/>
      <c r="K970" s="91"/>
      <c r="L970" s="91"/>
      <c r="M970" s="91"/>
      <c r="N970" s="91"/>
      <c r="O970" s="91"/>
      <c r="P970" s="91"/>
      <c r="Q970" s="91"/>
      <c r="R970" s="91"/>
      <c r="S970" s="91"/>
    </row>
    <row r="971" spans="1:19" ht="15.75" customHeight="1" x14ac:dyDescent="0.25">
      <c r="A971" s="92"/>
      <c r="B971" s="93"/>
      <c r="C971" s="92"/>
      <c r="D971" s="92"/>
      <c r="E971" s="92"/>
      <c r="F971" s="92"/>
      <c r="G971" s="92"/>
      <c r="H971" s="91"/>
      <c r="I971" s="91"/>
      <c r="J971" s="91"/>
      <c r="K971" s="91"/>
      <c r="L971" s="91"/>
      <c r="M971" s="91"/>
      <c r="N971" s="91"/>
      <c r="O971" s="91"/>
      <c r="P971" s="91"/>
      <c r="Q971" s="91"/>
      <c r="R971" s="91"/>
      <c r="S971" s="91"/>
    </row>
    <row r="972" spans="1:19" ht="15.75" customHeight="1" x14ac:dyDescent="0.25">
      <c r="A972" s="92"/>
      <c r="B972" s="93"/>
      <c r="C972" s="92"/>
      <c r="D972" s="92"/>
      <c r="E972" s="92"/>
      <c r="F972" s="92"/>
      <c r="G972" s="92"/>
      <c r="H972" s="91"/>
      <c r="I972" s="91"/>
      <c r="J972" s="91"/>
      <c r="K972" s="91"/>
      <c r="L972" s="91"/>
      <c r="M972" s="91"/>
      <c r="N972" s="91"/>
      <c r="O972" s="91"/>
      <c r="P972" s="91"/>
      <c r="Q972" s="91"/>
      <c r="R972" s="91"/>
      <c r="S972" s="91"/>
    </row>
    <row r="973" spans="1:19" ht="15.75" customHeight="1" x14ac:dyDescent="0.25">
      <c r="A973" s="92"/>
      <c r="B973" s="93"/>
      <c r="C973" s="92"/>
      <c r="D973" s="92"/>
      <c r="E973" s="92"/>
      <c r="F973" s="92"/>
      <c r="G973" s="92"/>
      <c r="H973" s="91"/>
      <c r="I973" s="91"/>
      <c r="J973" s="91"/>
      <c r="K973" s="91"/>
      <c r="L973" s="91"/>
      <c r="M973" s="91"/>
      <c r="N973" s="91"/>
      <c r="O973" s="91"/>
      <c r="P973" s="91"/>
      <c r="Q973" s="91"/>
      <c r="R973" s="91"/>
      <c r="S973" s="91"/>
    </row>
    <row r="974" spans="1:19" ht="15.75" customHeight="1" x14ac:dyDescent="0.25">
      <c r="A974" s="92"/>
      <c r="B974" s="93"/>
      <c r="C974" s="92"/>
      <c r="D974" s="92"/>
      <c r="E974" s="92"/>
      <c r="F974" s="92"/>
      <c r="G974" s="92"/>
      <c r="H974" s="91"/>
      <c r="I974" s="91"/>
      <c r="J974" s="91"/>
      <c r="K974" s="91"/>
      <c r="L974" s="91"/>
      <c r="M974" s="91"/>
      <c r="N974" s="91"/>
      <c r="O974" s="91"/>
      <c r="P974" s="91"/>
      <c r="Q974" s="91"/>
      <c r="R974" s="91"/>
      <c r="S974" s="91"/>
    </row>
    <row r="975" spans="1:19" ht="15.75" customHeight="1" x14ac:dyDescent="0.25">
      <c r="A975" s="92"/>
      <c r="B975" s="93"/>
      <c r="C975" s="92"/>
      <c r="D975" s="92"/>
      <c r="E975" s="92"/>
      <c r="F975" s="92"/>
      <c r="G975" s="92"/>
      <c r="H975" s="91"/>
      <c r="I975" s="91"/>
      <c r="J975" s="91"/>
      <c r="K975" s="91"/>
      <c r="L975" s="91"/>
      <c r="M975" s="91"/>
      <c r="N975" s="91"/>
      <c r="O975" s="91"/>
      <c r="P975" s="91"/>
      <c r="Q975" s="91"/>
      <c r="R975" s="91"/>
      <c r="S975" s="91"/>
    </row>
    <row r="976" spans="1:19" ht="15.75" customHeight="1" x14ac:dyDescent="0.25">
      <c r="A976" s="92"/>
      <c r="B976" s="93"/>
      <c r="C976" s="92"/>
      <c r="D976" s="92"/>
      <c r="E976" s="92"/>
      <c r="F976" s="92"/>
      <c r="G976" s="92"/>
      <c r="H976" s="91"/>
      <c r="I976" s="91"/>
      <c r="J976" s="91"/>
      <c r="K976" s="91"/>
      <c r="L976" s="91"/>
      <c r="M976" s="91"/>
      <c r="N976" s="91"/>
      <c r="O976" s="91"/>
      <c r="P976" s="91"/>
      <c r="Q976" s="91"/>
      <c r="R976" s="91"/>
      <c r="S976" s="91"/>
    </row>
    <row r="977" spans="1:19" ht="15.75" customHeight="1" x14ac:dyDescent="0.25">
      <c r="A977" s="92"/>
      <c r="B977" s="93"/>
      <c r="C977" s="92"/>
      <c r="D977" s="92"/>
      <c r="E977" s="92"/>
      <c r="F977" s="92"/>
      <c r="G977" s="92"/>
      <c r="H977" s="91"/>
      <c r="I977" s="91"/>
      <c r="J977" s="91"/>
      <c r="K977" s="91"/>
      <c r="L977" s="91"/>
      <c r="M977" s="91"/>
      <c r="N977" s="91"/>
      <c r="O977" s="91"/>
      <c r="P977" s="91"/>
      <c r="Q977" s="91"/>
      <c r="R977" s="91"/>
      <c r="S977" s="91"/>
    </row>
    <row r="978" spans="1:19" ht="15.75" customHeight="1" x14ac:dyDescent="0.25">
      <c r="A978" s="92"/>
      <c r="B978" s="93"/>
      <c r="C978" s="92"/>
      <c r="D978" s="92"/>
      <c r="E978" s="92"/>
      <c r="F978" s="92"/>
      <c r="G978" s="92"/>
      <c r="H978" s="91"/>
      <c r="I978" s="91"/>
      <c r="J978" s="91"/>
      <c r="K978" s="91"/>
      <c r="L978" s="91"/>
      <c r="M978" s="91"/>
      <c r="N978" s="91"/>
      <c r="O978" s="91"/>
      <c r="P978" s="91"/>
      <c r="Q978" s="91"/>
      <c r="R978" s="91"/>
      <c r="S978" s="91"/>
    </row>
    <row r="979" spans="1:19" ht="15.75" customHeight="1" x14ac:dyDescent="0.25">
      <c r="A979" s="92"/>
      <c r="B979" s="93"/>
      <c r="C979" s="92"/>
      <c r="D979" s="92"/>
      <c r="E979" s="92"/>
      <c r="F979" s="92"/>
      <c r="G979" s="92"/>
      <c r="H979" s="91"/>
      <c r="I979" s="91"/>
      <c r="J979" s="91"/>
      <c r="K979" s="91"/>
      <c r="L979" s="91"/>
      <c r="M979" s="91"/>
      <c r="N979" s="91"/>
      <c r="O979" s="91"/>
      <c r="P979" s="91"/>
      <c r="Q979" s="91"/>
      <c r="R979" s="91"/>
      <c r="S979" s="91"/>
    </row>
    <row r="980" spans="1:19" ht="15.75" customHeight="1" x14ac:dyDescent="0.25">
      <c r="A980" s="92"/>
      <c r="B980" s="93"/>
      <c r="C980" s="92"/>
      <c r="D980" s="92"/>
      <c r="E980" s="92"/>
      <c r="F980" s="92"/>
      <c r="G980" s="92"/>
      <c r="H980" s="91"/>
      <c r="I980" s="91"/>
      <c r="J980" s="91"/>
      <c r="K980" s="91"/>
      <c r="L980" s="91"/>
      <c r="M980" s="91"/>
      <c r="N980" s="91"/>
      <c r="O980" s="91"/>
      <c r="P980" s="91"/>
      <c r="Q980" s="91"/>
      <c r="R980" s="91"/>
      <c r="S980" s="91"/>
    </row>
    <row r="981" spans="1:19" ht="15.75" customHeight="1" x14ac:dyDescent="0.25">
      <c r="A981" s="92"/>
      <c r="B981" s="93"/>
      <c r="C981" s="92"/>
      <c r="D981" s="92"/>
      <c r="E981" s="92"/>
      <c r="F981" s="92"/>
      <c r="G981" s="92"/>
      <c r="H981" s="91"/>
      <c r="I981" s="91"/>
      <c r="J981" s="91"/>
      <c r="K981" s="91"/>
      <c r="L981" s="91"/>
      <c r="M981" s="91"/>
      <c r="N981" s="91"/>
      <c r="O981" s="91"/>
      <c r="P981" s="91"/>
      <c r="Q981" s="91"/>
      <c r="R981" s="91"/>
      <c r="S981" s="91"/>
    </row>
    <row r="982" spans="1:19" ht="15.75" customHeight="1" x14ac:dyDescent="0.25">
      <c r="A982" s="92"/>
      <c r="B982" s="93"/>
      <c r="C982" s="92"/>
      <c r="D982" s="92"/>
      <c r="E982" s="92"/>
      <c r="F982" s="92"/>
      <c r="G982" s="92"/>
      <c r="H982" s="91"/>
      <c r="I982" s="91"/>
      <c r="J982" s="91"/>
      <c r="K982" s="91"/>
      <c r="L982" s="91"/>
      <c r="M982" s="91"/>
      <c r="N982" s="91"/>
      <c r="O982" s="91"/>
      <c r="P982" s="91"/>
      <c r="Q982" s="91"/>
      <c r="R982" s="91"/>
      <c r="S982" s="91"/>
    </row>
    <row r="983" spans="1:19" ht="15.75" customHeight="1" x14ac:dyDescent="0.25">
      <c r="A983" s="92"/>
      <c r="B983" s="93"/>
      <c r="C983" s="92"/>
      <c r="D983" s="92"/>
      <c r="E983" s="92"/>
      <c r="F983" s="92"/>
      <c r="G983" s="92"/>
      <c r="H983" s="91"/>
      <c r="I983" s="91"/>
      <c r="J983" s="91"/>
      <c r="K983" s="91"/>
      <c r="L983" s="91"/>
      <c r="M983" s="91"/>
      <c r="N983" s="91"/>
      <c r="O983" s="91"/>
      <c r="P983" s="91"/>
      <c r="Q983" s="91"/>
      <c r="R983" s="91"/>
      <c r="S983" s="91"/>
    </row>
    <row r="984" spans="1:19" ht="15.75" customHeight="1" x14ac:dyDescent="0.25">
      <c r="A984" s="92"/>
      <c r="B984" s="93"/>
      <c r="C984" s="92"/>
      <c r="D984" s="92"/>
      <c r="E984" s="92"/>
      <c r="F984" s="92"/>
      <c r="G984" s="92"/>
      <c r="H984" s="91"/>
      <c r="I984" s="91"/>
      <c r="J984" s="91"/>
      <c r="K984" s="91"/>
      <c r="L984" s="91"/>
      <c r="M984" s="91"/>
      <c r="N984" s="91"/>
      <c r="O984" s="91"/>
      <c r="P984" s="91"/>
      <c r="Q984" s="91"/>
      <c r="R984" s="91"/>
      <c r="S984" s="91"/>
    </row>
    <row r="985" spans="1:19" ht="15.75" customHeight="1" x14ac:dyDescent="0.25">
      <c r="A985" s="92"/>
      <c r="B985" s="93"/>
      <c r="C985" s="92"/>
      <c r="D985" s="92"/>
      <c r="E985" s="92"/>
      <c r="F985" s="92"/>
      <c r="G985" s="92"/>
      <c r="H985" s="91"/>
      <c r="I985" s="91"/>
      <c r="J985" s="91"/>
      <c r="K985" s="91"/>
      <c r="L985" s="91"/>
      <c r="M985" s="91"/>
      <c r="N985" s="91"/>
      <c r="O985" s="91"/>
      <c r="P985" s="91"/>
      <c r="Q985" s="91"/>
      <c r="R985" s="91"/>
      <c r="S985" s="91"/>
    </row>
    <row r="986" spans="1:19" ht="15.75" customHeight="1" x14ac:dyDescent="0.25">
      <c r="A986" s="92"/>
      <c r="B986" s="93"/>
      <c r="C986" s="92"/>
      <c r="D986" s="92"/>
      <c r="E986" s="92"/>
      <c r="F986" s="92"/>
      <c r="G986" s="92"/>
      <c r="H986" s="91"/>
      <c r="I986" s="91"/>
      <c r="J986" s="91"/>
      <c r="K986" s="91"/>
      <c r="L986" s="91"/>
      <c r="M986" s="91"/>
      <c r="N986" s="91"/>
      <c r="O986" s="91"/>
      <c r="P986" s="91"/>
      <c r="Q986" s="91"/>
      <c r="R986" s="91"/>
      <c r="S986" s="91"/>
    </row>
    <row r="987" spans="1:19" ht="15.75" customHeight="1" x14ac:dyDescent="0.25">
      <c r="A987" s="92"/>
      <c r="B987" s="93"/>
      <c r="C987" s="92"/>
      <c r="D987" s="92"/>
      <c r="E987" s="92"/>
      <c r="F987" s="92"/>
      <c r="G987" s="92"/>
      <c r="H987" s="91"/>
      <c r="I987" s="91"/>
      <c r="J987" s="91"/>
      <c r="K987" s="91"/>
      <c r="L987" s="91"/>
      <c r="M987" s="91"/>
      <c r="N987" s="91"/>
      <c r="O987" s="91"/>
      <c r="P987" s="91"/>
      <c r="Q987" s="91"/>
      <c r="R987" s="91"/>
      <c r="S987" s="91"/>
    </row>
    <row r="988" spans="1:19" ht="15.75" customHeight="1" x14ac:dyDescent="0.25">
      <c r="A988" s="92"/>
      <c r="B988" s="93"/>
      <c r="C988" s="92"/>
      <c r="D988" s="92"/>
      <c r="E988" s="92"/>
      <c r="F988" s="92"/>
      <c r="G988" s="92"/>
      <c r="H988" s="91"/>
      <c r="I988" s="91"/>
      <c r="J988" s="91"/>
      <c r="K988" s="91"/>
      <c r="L988" s="91"/>
      <c r="M988" s="91"/>
      <c r="N988" s="91"/>
      <c r="O988" s="91"/>
      <c r="P988" s="91"/>
      <c r="Q988" s="91"/>
      <c r="R988" s="91"/>
      <c r="S988" s="91"/>
    </row>
    <row r="989" spans="1:19" ht="15.75" customHeight="1" x14ac:dyDescent="0.25">
      <c r="A989" s="92"/>
      <c r="B989" s="93"/>
      <c r="C989" s="92"/>
      <c r="D989" s="92"/>
      <c r="E989" s="92"/>
      <c r="F989" s="92"/>
      <c r="G989" s="92"/>
      <c r="H989" s="91"/>
      <c r="I989" s="91"/>
      <c r="J989" s="91"/>
      <c r="K989" s="91"/>
      <c r="L989" s="91"/>
      <c r="M989" s="91"/>
      <c r="N989" s="91"/>
      <c r="O989" s="91"/>
      <c r="P989" s="91"/>
      <c r="Q989" s="91"/>
      <c r="R989" s="91"/>
      <c r="S989" s="91"/>
    </row>
    <row r="990" spans="1:19" ht="15.75" customHeight="1" x14ac:dyDescent="0.25">
      <c r="A990" s="92"/>
      <c r="B990" s="93"/>
      <c r="C990" s="92"/>
      <c r="D990" s="92"/>
      <c r="E990" s="92"/>
      <c r="F990" s="92"/>
      <c r="G990" s="92"/>
      <c r="H990" s="91"/>
      <c r="I990" s="91"/>
      <c r="J990" s="91"/>
      <c r="K990" s="91"/>
      <c r="L990" s="91"/>
      <c r="M990" s="91"/>
      <c r="N990" s="91"/>
      <c r="O990" s="91"/>
      <c r="P990" s="91"/>
      <c r="Q990" s="91"/>
      <c r="R990" s="91"/>
      <c r="S990" s="91"/>
    </row>
    <row r="991" spans="1:19" ht="15.75" customHeight="1" x14ac:dyDescent="0.25">
      <c r="A991" s="92"/>
      <c r="B991" s="93"/>
      <c r="C991" s="92"/>
      <c r="D991" s="92"/>
      <c r="E991" s="92"/>
      <c r="F991" s="92"/>
      <c r="G991" s="92"/>
      <c r="H991" s="91"/>
      <c r="I991" s="91"/>
      <c r="J991" s="91"/>
      <c r="K991" s="91"/>
      <c r="L991" s="91"/>
      <c r="M991" s="91"/>
      <c r="N991" s="91"/>
      <c r="O991" s="91"/>
      <c r="P991" s="91"/>
      <c r="Q991" s="91"/>
      <c r="R991" s="91"/>
      <c r="S991" s="91"/>
    </row>
    <row r="992" spans="1:19" ht="15.75" customHeight="1" x14ac:dyDescent="0.25">
      <c r="A992" s="92"/>
      <c r="B992" s="93"/>
      <c r="C992" s="92"/>
      <c r="D992" s="92"/>
      <c r="E992" s="92"/>
      <c r="F992" s="92"/>
      <c r="G992" s="92"/>
      <c r="H992" s="91"/>
      <c r="I992" s="91"/>
      <c r="J992" s="91"/>
      <c r="K992" s="91"/>
      <c r="L992" s="91"/>
      <c r="M992" s="91"/>
      <c r="N992" s="91"/>
      <c r="O992" s="91"/>
      <c r="P992" s="91"/>
      <c r="Q992" s="91"/>
      <c r="R992" s="91"/>
      <c r="S992" s="91"/>
    </row>
    <row r="993" spans="1:19" ht="15.75" customHeight="1" x14ac:dyDescent="0.25">
      <c r="A993" s="92"/>
      <c r="B993" s="93"/>
      <c r="C993" s="92"/>
      <c r="D993" s="92"/>
      <c r="E993" s="92"/>
      <c r="F993" s="92"/>
      <c r="G993" s="92"/>
      <c r="H993" s="91"/>
      <c r="I993" s="91"/>
      <c r="J993" s="91"/>
      <c r="K993" s="91"/>
      <c r="L993" s="91"/>
      <c r="M993" s="91"/>
      <c r="N993" s="91"/>
      <c r="O993" s="91"/>
      <c r="P993" s="91"/>
      <c r="Q993" s="91"/>
      <c r="R993" s="91"/>
      <c r="S993" s="91"/>
    </row>
    <row r="994" spans="1:19" ht="15.75" customHeight="1" x14ac:dyDescent="0.25">
      <c r="A994" s="92"/>
      <c r="B994" s="93"/>
      <c r="C994" s="92"/>
      <c r="D994" s="92"/>
      <c r="E994" s="92"/>
      <c r="F994" s="92"/>
      <c r="G994" s="92"/>
      <c r="H994" s="91"/>
      <c r="I994" s="91"/>
      <c r="J994" s="91"/>
      <c r="K994" s="91"/>
      <c r="L994" s="91"/>
      <c r="M994" s="91"/>
      <c r="N994" s="91"/>
      <c r="O994" s="91"/>
      <c r="P994" s="91"/>
      <c r="Q994" s="91"/>
      <c r="R994" s="91"/>
      <c r="S994" s="91"/>
    </row>
  </sheetData>
  <printOptions horizontalCentered="1"/>
  <pageMargins left="0.23622047244094491" right="0.23622047244094491" top="0.74803149606299213" bottom="0.74803149606299213" header="0" footer="0"/>
  <pageSetup paperSize="8"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13972-C067-499B-96FD-3F332E2D5048}">
  <dimension ref="A1:J35"/>
  <sheetViews>
    <sheetView topLeftCell="A7" workbookViewId="0">
      <selection activeCell="H41" sqref="H41:H42"/>
    </sheetView>
  </sheetViews>
  <sheetFormatPr defaultRowHeight="15" x14ac:dyDescent="0.25"/>
  <cols>
    <col min="1" max="1" width="13.7109375" style="149" customWidth="1"/>
    <col min="2" max="2" width="11.28515625" style="149" customWidth="1"/>
    <col min="3" max="3" width="11.42578125" style="149" customWidth="1"/>
    <col min="4" max="4" width="11.85546875" style="149" customWidth="1"/>
    <col min="5" max="6" width="11.140625" style="149" customWidth="1"/>
    <col min="7" max="7" width="34.5703125" style="149" customWidth="1"/>
    <col min="8" max="8" width="39" style="149" customWidth="1"/>
    <col min="9" max="9" width="26.5703125" style="149" customWidth="1"/>
    <col min="10" max="10" width="32.140625" style="149" customWidth="1"/>
    <col min="11" max="16384" width="9.140625" style="149"/>
  </cols>
  <sheetData>
    <row r="1" spans="1:10" ht="45" customHeight="1" x14ac:dyDescent="0.25">
      <c r="A1" s="147" t="s">
        <v>92</v>
      </c>
      <c r="B1" s="148" t="s">
        <v>167</v>
      </c>
      <c r="C1" s="148"/>
      <c r="D1" s="148"/>
      <c r="E1" s="148"/>
      <c r="F1" s="148"/>
      <c r="G1" s="147" t="s">
        <v>168</v>
      </c>
      <c r="H1" s="147" t="s">
        <v>169</v>
      </c>
      <c r="I1" s="147" t="s">
        <v>170</v>
      </c>
      <c r="J1" s="147" t="s">
        <v>171</v>
      </c>
    </row>
    <row r="2" spans="1:10" ht="165.75" customHeight="1" x14ac:dyDescent="0.25">
      <c r="A2" s="150">
        <v>1</v>
      </c>
      <c r="B2" s="151"/>
      <c r="C2" s="151"/>
      <c r="D2" s="151"/>
      <c r="E2" s="151"/>
      <c r="F2" s="151"/>
      <c r="G2" s="152" t="s">
        <v>172</v>
      </c>
      <c r="H2" s="153" t="s">
        <v>173</v>
      </c>
      <c r="I2" s="154">
        <v>0.5</v>
      </c>
      <c r="J2" s="155"/>
    </row>
    <row r="3" spans="1:10" ht="98.25" customHeight="1" x14ac:dyDescent="0.25">
      <c r="A3" s="150">
        <v>2</v>
      </c>
      <c r="B3" s="151"/>
      <c r="C3" s="151"/>
      <c r="D3" s="151"/>
      <c r="E3" s="151"/>
      <c r="F3" s="151"/>
      <c r="G3" s="156" t="s">
        <v>174</v>
      </c>
      <c r="H3" s="153" t="s">
        <v>173</v>
      </c>
      <c r="I3" s="154">
        <v>0.5</v>
      </c>
      <c r="J3" s="155"/>
    </row>
    <row r="4" spans="1:10" ht="15" customHeight="1" x14ac:dyDescent="0.25">
      <c r="A4" s="157">
        <v>3</v>
      </c>
      <c r="B4" s="151"/>
      <c r="C4" s="151"/>
      <c r="D4" s="151"/>
      <c r="E4" s="151"/>
      <c r="F4" s="151"/>
      <c r="G4" s="158" t="s">
        <v>175</v>
      </c>
      <c r="H4" s="159" t="s">
        <v>176</v>
      </c>
      <c r="I4" s="160">
        <v>0.5</v>
      </c>
      <c r="J4" s="155"/>
    </row>
    <row r="5" spans="1:10" ht="15.75" x14ac:dyDescent="0.25">
      <c r="A5" s="161"/>
      <c r="B5" s="151"/>
      <c r="C5" s="151"/>
      <c r="D5" s="151"/>
      <c r="E5" s="151"/>
      <c r="F5" s="151"/>
      <c r="G5" s="158"/>
      <c r="H5" s="159" t="s">
        <v>177</v>
      </c>
      <c r="I5" s="160"/>
      <c r="J5" s="155"/>
    </row>
    <row r="6" spans="1:10" ht="15.75" x14ac:dyDescent="0.25">
      <c r="A6" s="161"/>
      <c r="B6" s="151"/>
      <c r="C6" s="151"/>
      <c r="D6" s="151"/>
      <c r="E6" s="151"/>
      <c r="F6" s="151"/>
      <c r="G6" s="158"/>
      <c r="H6" s="159" t="s">
        <v>178</v>
      </c>
      <c r="I6" s="160"/>
      <c r="J6" s="155"/>
    </row>
    <row r="7" spans="1:10" ht="21.75" customHeight="1" x14ac:dyDescent="0.25">
      <c r="A7" s="161"/>
      <c r="B7" s="151"/>
      <c r="C7" s="151"/>
      <c r="D7" s="151"/>
      <c r="E7" s="151"/>
      <c r="F7" s="151"/>
      <c r="G7" s="158"/>
      <c r="H7" s="159" t="s">
        <v>179</v>
      </c>
      <c r="I7" s="160"/>
      <c r="J7" s="155"/>
    </row>
    <row r="8" spans="1:10" ht="23.25" customHeight="1" x14ac:dyDescent="0.25">
      <c r="A8" s="162"/>
      <c r="B8" s="151"/>
      <c r="C8" s="151"/>
      <c r="D8" s="151"/>
      <c r="E8" s="151"/>
      <c r="F8" s="151"/>
      <c r="G8" s="158"/>
      <c r="H8" s="159" t="s">
        <v>180</v>
      </c>
      <c r="I8" s="160"/>
      <c r="J8" s="155"/>
    </row>
    <row r="9" spans="1:10" ht="45" customHeight="1" x14ac:dyDescent="0.25">
      <c r="A9" s="157">
        <v>4</v>
      </c>
      <c r="B9" s="151"/>
      <c r="C9" s="151"/>
      <c r="D9" s="151"/>
      <c r="E9" s="151"/>
      <c r="F9" s="151"/>
      <c r="G9" s="158" t="s">
        <v>181</v>
      </c>
      <c r="H9" s="159" t="s">
        <v>176</v>
      </c>
      <c r="I9" s="163" t="s">
        <v>182</v>
      </c>
      <c r="J9" s="155"/>
    </row>
    <row r="10" spans="1:10" ht="35.25" customHeight="1" x14ac:dyDescent="0.25">
      <c r="A10" s="161"/>
      <c r="B10" s="151"/>
      <c r="C10" s="151"/>
      <c r="D10" s="151"/>
      <c r="E10" s="151"/>
      <c r="F10" s="151"/>
      <c r="G10" s="164"/>
      <c r="H10" s="159" t="s">
        <v>183</v>
      </c>
      <c r="I10" s="165"/>
      <c r="J10" s="155"/>
    </row>
    <row r="11" spans="1:10" ht="30" customHeight="1" x14ac:dyDescent="0.25">
      <c r="A11" s="161"/>
      <c r="B11" s="151"/>
      <c r="C11" s="151"/>
      <c r="D11" s="151"/>
      <c r="E11" s="151"/>
      <c r="F11" s="151"/>
      <c r="G11" s="164"/>
      <c r="H11" s="159" t="s">
        <v>184</v>
      </c>
      <c r="I11" s="165"/>
      <c r="J11" s="155"/>
    </row>
    <row r="12" spans="1:10" ht="24.75" customHeight="1" x14ac:dyDescent="0.25">
      <c r="A12" s="161"/>
      <c r="B12" s="151"/>
      <c r="C12" s="151"/>
      <c r="D12" s="151"/>
      <c r="E12" s="151"/>
      <c r="F12" s="151"/>
      <c r="G12" s="164"/>
      <c r="H12" s="159" t="s">
        <v>179</v>
      </c>
      <c r="I12" s="165"/>
      <c r="J12" s="155"/>
    </row>
    <row r="13" spans="1:10" ht="22.5" customHeight="1" x14ac:dyDescent="0.25">
      <c r="A13" s="162"/>
      <c r="B13" s="151"/>
      <c r="C13" s="151"/>
      <c r="D13" s="151"/>
      <c r="E13" s="151"/>
      <c r="F13" s="151"/>
      <c r="G13" s="164"/>
      <c r="H13" s="159" t="s">
        <v>180</v>
      </c>
      <c r="I13" s="166"/>
      <c r="J13" s="155"/>
    </row>
    <row r="14" spans="1:10" ht="36" customHeight="1" x14ac:dyDescent="0.25">
      <c r="A14" s="157">
        <v>5</v>
      </c>
      <c r="B14" s="151"/>
      <c r="C14" s="151"/>
      <c r="D14" s="151"/>
      <c r="E14" s="151"/>
      <c r="F14" s="151"/>
      <c r="G14" s="158" t="s">
        <v>185</v>
      </c>
      <c r="H14" s="159" t="s">
        <v>186</v>
      </c>
      <c r="I14" s="160">
        <v>0.5</v>
      </c>
      <c r="J14" s="155"/>
    </row>
    <row r="15" spans="1:10" ht="31.5" customHeight="1" x14ac:dyDescent="0.25">
      <c r="A15" s="161"/>
      <c r="B15" s="151"/>
      <c r="C15" s="151"/>
      <c r="D15" s="151"/>
      <c r="E15" s="151"/>
      <c r="F15" s="151"/>
      <c r="G15" s="167"/>
      <c r="H15" s="159" t="s">
        <v>187</v>
      </c>
      <c r="I15" s="160"/>
      <c r="J15" s="155"/>
    </row>
    <row r="16" spans="1:10" ht="39" customHeight="1" x14ac:dyDescent="0.25">
      <c r="A16" s="162"/>
      <c r="B16" s="151"/>
      <c r="C16" s="151"/>
      <c r="D16" s="151"/>
      <c r="E16" s="151"/>
      <c r="F16" s="151"/>
      <c r="G16" s="167"/>
      <c r="H16" s="159" t="s">
        <v>188</v>
      </c>
      <c r="I16" s="160"/>
      <c r="J16" s="155"/>
    </row>
    <row r="17" spans="1:10" ht="15" customHeight="1" x14ac:dyDescent="0.25">
      <c r="A17" s="157">
        <v>6</v>
      </c>
      <c r="B17" s="151"/>
      <c r="C17" s="151"/>
      <c r="D17" s="151"/>
      <c r="E17" s="151"/>
      <c r="F17" s="151"/>
      <c r="G17" s="158" t="s">
        <v>189</v>
      </c>
      <c r="H17" s="164" t="s">
        <v>173</v>
      </c>
      <c r="I17" s="160">
        <v>1</v>
      </c>
      <c r="J17" s="155"/>
    </row>
    <row r="18" spans="1:10" ht="15.75" x14ac:dyDescent="0.25">
      <c r="A18" s="161"/>
      <c r="B18" s="151"/>
      <c r="C18" s="151"/>
      <c r="D18" s="151"/>
      <c r="E18" s="151"/>
      <c r="F18" s="151"/>
      <c r="G18" s="158"/>
      <c r="H18" s="168"/>
      <c r="I18" s="160"/>
      <c r="J18" s="155"/>
    </row>
    <row r="19" spans="1:10" ht="15.75" x14ac:dyDescent="0.25">
      <c r="A19" s="161"/>
      <c r="B19" s="151"/>
      <c r="C19" s="151"/>
      <c r="D19" s="151"/>
      <c r="E19" s="151"/>
      <c r="F19" s="151"/>
      <c r="G19" s="158"/>
      <c r="H19" s="168"/>
      <c r="I19" s="160"/>
      <c r="J19" s="155"/>
    </row>
    <row r="20" spans="1:10" ht="15.75" x14ac:dyDescent="0.25">
      <c r="A20" s="161"/>
      <c r="B20" s="151"/>
      <c r="C20" s="151"/>
      <c r="D20" s="151"/>
      <c r="E20" s="151"/>
      <c r="F20" s="151"/>
      <c r="G20" s="158"/>
      <c r="H20" s="168"/>
      <c r="I20" s="160"/>
      <c r="J20" s="155"/>
    </row>
    <row r="21" spans="1:10" ht="15.75" x14ac:dyDescent="0.25">
      <c r="A21" s="161"/>
      <c r="B21" s="151"/>
      <c r="C21" s="151"/>
      <c r="D21" s="151"/>
      <c r="E21" s="151"/>
      <c r="F21" s="151"/>
      <c r="G21" s="158"/>
      <c r="H21" s="168"/>
      <c r="I21" s="160"/>
      <c r="J21" s="155"/>
    </row>
    <row r="22" spans="1:10" ht="15.75" x14ac:dyDescent="0.25">
      <c r="A22" s="161"/>
      <c r="B22" s="151"/>
      <c r="C22" s="151"/>
      <c r="D22" s="151"/>
      <c r="E22" s="151"/>
      <c r="F22" s="151"/>
      <c r="G22" s="158"/>
      <c r="H22" s="168"/>
      <c r="I22" s="160"/>
      <c r="J22" s="155"/>
    </row>
    <row r="23" spans="1:10" ht="15.75" x14ac:dyDescent="0.25">
      <c r="A23" s="161"/>
      <c r="B23" s="151"/>
      <c r="C23" s="151"/>
      <c r="D23" s="151"/>
      <c r="E23" s="151"/>
      <c r="F23" s="151"/>
      <c r="G23" s="158"/>
      <c r="H23" s="168"/>
      <c r="I23" s="160"/>
      <c r="J23" s="155"/>
    </row>
    <row r="24" spans="1:10" ht="15.75" x14ac:dyDescent="0.25">
      <c r="A24" s="161"/>
      <c r="B24" s="151"/>
      <c r="C24" s="151"/>
      <c r="D24" s="151"/>
      <c r="E24" s="151"/>
      <c r="F24" s="151"/>
      <c r="G24" s="158"/>
      <c r="H24" s="168"/>
      <c r="I24" s="160"/>
      <c r="J24" s="155"/>
    </row>
    <row r="25" spans="1:10" ht="15.75" x14ac:dyDescent="0.25">
      <c r="A25" s="161"/>
      <c r="B25" s="151"/>
      <c r="C25" s="151"/>
      <c r="D25" s="151"/>
      <c r="E25" s="151"/>
      <c r="F25" s="151"/>
      <c r="G25" s="158"/>
      <c r="H25" s="168"/>
      <c r="I25" s="160"/>
      <c r="J25" s="155"/>
    </row>
    <row r="26" spans="1:10" ht="15.75" x14ac:dyDescent="0.25">
      <c r="A26" s="162"/>
      <c r="B26" s="151"/>
      <c r="C26" s="151"/>
      <c r="D26" s="151"/>
      <c r="E26" s="151"/>
      <c r="F26" s="151"/>
      <c r="G26" s="158"/>
      <c r="H26" s="168"/>
      <c r="I26" s="160"/>
      <c r="J26" s="155"/>
    </row>
    <row r="27" spans="1:10" ht="15" customHeight="1" x14ac:dyDescent="0.25">
      <c r="A27" s="157">
        <v>7</v>
      </c>
      <c r="B27" s="151"/>
      <c r="C27" s="151"/>
      <c r="D27" s="151"/>
      <c r="E27" s="151"/>
      <c r="F27" s="151"/>
      <c r="G27" s="158" t="s">
        <v>190</v>
      </c>
      <c r="H27" s="164" t="s">
        <v>173</v>
      </c>
      <c r="I27" s="160">
        <v>0.1</v>
      </c>
      <c r="J27" s="155"/>
    </row>
    <row r="28" spans="1:10" ht="15.75" x14ac:dyDescent="0.25">
      <c r="A28" s="161"/>
      <c r="B28" s="151"/>
      <c r="C28" s="151"/>
      <c r="D28" s="151"/>
      <c r="E28" s="151"/>
      <c r="F28" s="151"/>
      <c r="G28" s="158"/>
      <c r="H28" s="164"/>
      <c r="I28" s="160"/>
      <c r="J28" s="155"/>
    </row>
    <row r="29" spans="1:10" ht="15.75" x14ac:dyDescent="0.25">
      <c r="A29" s="161"/>
      <c r="B29" s="151"/>
      <c r="C29" s="151"/>
      <c r="D29" s="151"/>
      <c r="E29" s="151"/>
      <c r="F29" s="151"/>
      <c r="G29" s="158"/>
      <c r="H29" s="164"/>
      <c r="I29" s="160"/>
      <c r="J29" s="155"/>
    </row>
    <row r="30" spans="1:10" ht="15.75" x14ac:dyDescent="0.25">
      <c r="A30" s="161"/>
      <c r="B30" s="151"/>
      <c r="C30" s="151"/>
      <c r="D30" s="151"/>
      <c r="E30" s="151"/>
      <c r="F30" s="151"/>
      <c r="G30" s="158"/>
      <c r="H30" s="164"/>
      <c r="I30" s="160"/>
      <c r="J30" s="155"/>
    </row>
    <row r="31" spans="1:10" ht="15.75" x14ac:dyDescent="0.25">
      <c r="A31" s="161"/>
      <c r="B31" s="151"/>
      <c r="C31" s="151"/>
      <c r="D31" s="151"/>
      <c r="E31" s="151"/>
      <c r="F31" s="151"/>
      <c r="G31" s="158"/>
      <c r="H31" s="164"/>
      <c r="I31" s="160"/>
      <c r="J31" s="155"/>
    </row>
    <row r="32" spans="1:10" ht="15.75" x14ac:dyDescent="0.25">
      <c r="A32" s="161"/>
      <c r="B32" s="151"/>
      <c r="C32" s="151"/>
      <c r="D32" s="151"/>
      <c r="E32" s="151"/>
      <c r="F32" s="151"/>
      <c r="G32" s="158"/>
      <c r="H32" s="164"/>
      <c r="I32" s="160"/>
      <c r="J32" s="155"/>
    </row>
    <row r="33" spans="1:10" ht="15.75" x14ac:dyDescent="0.25">
      <c r="A33" s="161"/>
      <c r="B33" s="151"/>
      <c r="C33" s="151"/>
      <c r="D33" s="151"/>
      <c r="E33" s="151"/>
      <c r="F33" s="151"/>
      <c r="G33" s="158"/>
      <c r="H33" s="164"/>
      <c r="I33" s="160"/>
      <c r="J33" s="155"/>
    </row>
    <row r="34" spans="1:10" ht="15.75" x14ac:dyDescent="0.25">
      <c r="A34" s="161"/>
      <c r="B34" s="151"/>
      <c r="C34" s="151"/>
      <c r="D34" s="151"/>
      <c r="E34" s="151"/>
      <c r="F34" s="151"/>
      <c r="G34" s="158"/>
      <c r="H34" s="164"/>
      <c r="I34" s="160"/>
      <c r="J34" s="155"/>
    </row>
    <row r="35" spans="1:10" ht="15.75" x14ac:dyDescent="0.25">
      <c r="A35" s="162"/>
      <c r="B35" s="151"/>
      <c r="C35" s="151"/>
      <c r="D35" s="151"/>
      <c r="E35" s="151"/>
      <c r="F35" s="151"/>
      <c r="G35" s="158"/>
      <c r="H35" s="164"/>
      <c r="I35" s="160"/>
      <c r="J35" s="155"/>
    </row>
  </sheetData>
  <mergeCells count="19">
    <mergeCell ref="I14:I16"/>
    <mergeCell ref="A17:A26"/>
    <mergeCell ref="G17:G26"/>
    <mergeCell ref="H17:H26"/>
    <mergeCell ref="I17:I26"/>
    <mergeCell ref="A27:A35"/>
    <mergeCell ref="G27:G35"/>
    <mergeCell ref="H27:H35"/>
    <mergeCell ref="I27:I35"/>
    <mergeCell ref="B1:F1"/>
    <mergeCell ref="B2:F35"/>
    <mergeCell ref="A4:A8"/>
    <mergeCell ref="G4:G8"/>
    <mergeCell ref="I4:I8"/>
    <mergeCell ref="A9:A13"/>
    <mergeCell ref="G9:G13"/>
    <mergeCell ref="I9:I13"/>
    <mergeCell ref="A14:A16"/>
    <mergeCell ref="G14:G1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9415F-7714-41CB-8453-DBD754A4DE11}">
  <dimension ref="A1:J35"/>
  <sheetViews>
    <sheetView workbookViewId="0">
      <selection activeCell="A36" sqref="A36"/>
    </sheetView>
  </sheetViews>
  <sheetFormatPr defaultRowHeight="15" x14ac:dyDescent="0.25"/>
  <cols>
    <col min="1" max="1" width="13.7109375" style="149" customWidth="1"/>
    <col min="2" max="2" width="11.28515625" style="149" customWidth="1"/>
    <col min="3" max="3" width="11.42578125" style="149" customWidth="1"/>
    <col min="4" max="4" width="11.85546875" style="149" customWidth="1"/>
    <col min="5" max="6" width="11.140625" style="149" customWidth="1"/>
    <col min="7" max="7" width="34.5703125" style="149" customWidth="1"/>
    <col min="8" max="8" width="39" style="149" customWidth="1"/>
    <col min="9" max="9" width="26.5703125" style="149" customWidth="1"/>
    <col min="10" max="10" width="32.140625" style="149" customWidth="1"/>
    <col min="11" max="16384" width="9.140625" style="149"/>
  </cols>
  <sheetData>
    <row r="1" spans="1:10" ht="45" customHeight="1" x14ac:dyDescent="0.25">
      <c r="A1" s="147" t="s">
        <v>92</v>
      </c>
      <c r="B1" s="148" t="s">
        <v>167</v>
      </c>
      <c r="C1" s="148"/>
      <c r="D1" s="148"/>
      <c r="E1" s="148"/>
      <c r="F1" s="148"/>
      <c r="G1" s="147" t="s">
        <v>168</v>
      </c>
      <c r="H1" s="147" t="s">
        <v>169</v>
      </c>
      <c r="I1" s="147" t="s">
        <v>170</v>
      </c>
      <c r="J1" s="147" t="s">
        <v>171</v>
      </c>
    </row>
    <row r="2" spans="1:10" ht="145.5" customHeight="1" x14ac:dyDescent="0.25">
      <c r="A2" s="150">
        <v>1</v>
      </c>
      <c r="B2" s="151"/>
      <c r="C2" s="151"/>
      <c r="D2" s="151"/>
      <c r="E2" s="151"/>
      <c r="F2" s="151"/>
      <c r="G2" s="156" t="s">
        <v>191</v>
      </c>
      <c r="H2" s="159" t="s">
        <v>192</v>
      </c>
      <c r="I2" s="154">
        <v>0.5</v>
      </c>
      <c r="J2" s="155"/>
    </row>
    <row r="3" spans="1:10" ht="126.75" customHeight="1" x14ac:dyDescent="0.25">
      <c r="A3" s="150">
        <v>2</v>
      </c>
      <c r="B3" s="151"/>
      <c r="C3" s="151"/>
      <c r="D3" s="151"/>
      <c r="E3" s="151"/>
      <c r="F3" s="151"/>
      <c r="G3" s="156" t="s">
        <v>193</v>
      </c>
      <c r="H3" s="159" t="s">
        <v>194</v>
      </c>
      <c r="I3" s="154">
        <v>0.5</v>
      </c>
      <c r="J3" s="155"/>
    </row>
    <row r="4" spans="1:10" ht="15" customHeight="1" x14ac:dyDescent="0.25">
      <c r="A4" s="157">
        <v>3</v>
      </c>
      <c r="B4" s="151"/>
      <c r="C4" s="151"/>
      <c r="D4" s="151"/>
      <c r="E4" s="151"/>
      <c r="F4" s="151"/>
      <c r="G4" s="158" t="s">
        <v>195</v>
      </c>
      <c r="H4" s="169" t="s">
        <v>192</v>
      </c>
      <c r="I4" s="160">
        <v>0.5</v>
      </c>
      <c r="J4" s="155"/>
    </row>
    <row r="5" spans="1:10" ht="15.75" x14ac:dyDescent="0.25">
      <c r="A5" s="161"/>
      <c r="B5" s="151"/>
      <c r="C5" s="151"/>
      <c r="D5" s="151"/>
      <c r="E5" s="151"/>
      <c r="F5" s="151"/>
      <c r="G5" s="158"/>
      <c r="H5" s="170"/>
      <c r="I5" s="160"/>
      <c r="J5" s="155"/>
    </row>
    <row r="6" spans="1:10" ht="15.75" x14ac:dyDescent="0.25">
      <c r="A6" s="161"/>
      <c r="B6" s="151"/>
      <c r="C6" s="151"/>
      <c r="D6" s="151"/>
      <c r="E6" s="151"/>
      <c r="F6" s="151"/>
      <c r="G6" s="158"/>
      <c r="H6" s="170"/>
      <c r="I6" s="160"/>
      <c r="J6" s="155"/>
    </row>
    <row r="7" spans="1:10" ht="21.75" customHeight="1" x14ac:dyDescent="0.25">
      <c r="A7" s="161"/>
      <c r="B7" s="151"/>
      <c r="C7" s="151"/>
      <c r="D7" s="151"/>
      <c r="E7" s="151"/>
      <c r="F7" s="151"/>
      <c r="G7" s="158"/>
      <c r="H7" s="170"/>
      <c r="I7" s="160"/>
      <c r="J7" s="155"/>
    </row>
    <row r="8" spans="1:10" ht="23.25" customHeight="1" x14ac:dyDescent="0.25">
      <c r="A8" s="162"/>
      <c r="B8" s="151"/>
      <c r="C8" s="151"/>
      <c r="D8" s="151"/>
      <c r="E8" s="151"/>
      <c r="F8" s="151"/>
      <c r="G8" s="158"/>
      <c r="H8" s="171"/>
      <c r="I8" s="160"/>
      <c r="J8" s="155"/>
    </row>
    <row r="9" spans="1:10" ht="45" customHeight="1" x14ac:dyDescent="0.25">
      <c r="A9" s="157">
        <v>4</v>
      </c>
      <c r="B9" s="151"/>
      <c r="C9" s="151"/>
      <c r="D9" s="151"/>
      <c r="E9" s="151"/>
      <c r="F9" s="151"/>
      <c r="G9" s="158" t="s">
        <v>196</v>
      </c>
      <c r="H9" s="169" t="s">
        <v>192</v>
      </c>
      <c r="I9" s="163" t="s">
        <v>197</v>
      </c>
      <c r="J9" s="155"/>
    </row>
    <row r="10" spans="1:10" ht="35.25" customHeight="1" x14ac:dyDescent="0.25">
      <c r="A10" s="161"/>
      <c r="B10" s="151"/>
      <c r="C10" s="151"/>
      <c r="D10" s="151"/>
      <c r="E10" s="151"/>
      <c r="F10" s="151"/>
      <c r="G10" s="164"/>
      <c r="H10" s="170"/>
      <c r="I10" s="165"/>
      <c r="J10" s="155"/>
    </row>
    <row r="11" spans="1:10" ht="30" customHeight="1" x14ac:dyDescent="0.25">
      <c r="A11" s="161"/>
      <c r="B11" s="151"/>
      <c r="C11" s="151"/>
      <c r="D11" s="151"/>
      <c r="E11" s="151"/>
      <c r="F11" s="151"/>
      <c r="G11" s="164"/>
      <c r="H11" s="170"/>
      <c r="I11" s="165"/>
      <c r="J11" s="155"/>
    </row>
    <row r="12" spans="1:10" ht="24.75" customHeight="1" x14ac:dyDescent="0.25">
      <c r="A12" s="161"/>
      <c r="B12" s="151"/>
      <c r="C12" s="151"/>
      <c r="D12" s="151"/>
      <c r="E12" s="151"/>
      <c r="F12" s="151"/>
      <c r="G12" s="164"/>
      <c r="H12" s="170"/>
      <c r="I12" s="165"/>
      <c r="J12" s="155"/>
    </row>
    <row r="13" spans="1:10" ht="22.5" customHeight="1" x14ac:dyDescent="0.25">
      <c r="A13" s="162"/>
      <c r="B13" s="151"/>
      <c r="C13" s="151"/>
      <c r="D13" s="151"/>
      <c r="E13" s="151"/>
      <c r="F13" s="151"/>
      <c r="G13" s="164"/>
      <c r="H13" s="171"/>
      <c r="I13" s="166"/>
      <c r="J13" s="155"/>
    </row>
    <row r="14" spans="1:10" ht="36" customHeight="1" x14ac:dyDescent="0.25">
      <c r="A14" s="157">
        <v>5</v>
      </c>
      <c r="B14" s="151"/>
      <c r="C14" s="151"/>
      <c r="D14" s="151"/>
      <c r="E14" s="151"/>
      <c r="F14" s="151"/>
      <c r="G14" s="158" t="s">
        <v>198</v>
      </c>
      <c r="H14" s="169" t="s">
        <v>192</v>
      </c>
      <c r="I14" s="160">
        <v>0.5</v>
      </c>
      <c r="J14" s="155"/>
    </row>
    <row r="15" spans="1:10" ht="31.5" customHeight="1" x14ac:dyDescent="0.25">
      <c r="A15" s="161"/>
      <c r="B15" s="151"/>
      <c r="C15" s="151"/>
      <c r="D15" s="151"/>
      <c r="E15" s="151"/>
      <c r="F15" s="151"/>
      <c r="G15" s="167"/>
      <c r="H15" s="170"/>
      <c r="I15" s="160"/>
      <c r="J15" s="155"/>
    </row>
    <row r="16" spans="1:10" ht="39" customHeight="1" x14ac:dyDescent="0.25">
      <c r="A16" s="162"/>
      <c r="B16" s="151"/>
      <c r="C16" s="151"/>
      <c r="D16" s="151"/>
      <c r="E16" s="151"/>
      <c r="F16" s="151"/>
      <c r="G16" s="167"/>
      <c r="H16" s="171"/>
      <c r="I16" s="160"/>
      <c r="J16" s="155"/>
    </row>
    <row r="17" spans="1:10" ht="15" customHeight="1" x14ac:dyDescent="0.25">
      <c r="A17" s="157">
        <v>6</v>
      </c>
      <c r="B17" s="151"/>
      <c r="C17" s="151"/>
      <c r="D17" s="151"/>
      <c r="E17" s="151"/>
      <c r="F17" s="151"/>
      <c r="G17" s="158" t="s">
        <v>199</v>
      </c>
      <c r="H17" s="168" t="s">
        <v>192</v>
      </c>
      <c r="I17" s="160">
        <v>3</v>
      </c>
      <c r="J17" s="155"/>
    </row>
    <row r="18" spans="1:10" ht="15.75" x14ac:dyDescent="0.25">
      <c r="A18" s="161"/>
      <c r="B18" s="151"/>
      <c r="C18" s="151"/>
      <c r="D18" s="151"/>
      <c r="E18" s="151"/>
      <c r="F18" s="151"/>
      <c r="G18" s="158"/>
      <c r="H18" s="168"/>
      <c r="I18" s="160"/>
      <c r="J18" s="155"/>
    </row>
    <row r="19" spans="1:10" ht="15.75" x14ac:dyDescent="0.25">
      <c r="A19" s="161"/>
      <c r="B19" s="151"/>
      <c r="C19" s="151"/>
      <c r="D19" s="151"/>
      <c r="E19" s="151"/>
      <c r="F19" s="151"/>
      <c r="G19" s="158"/>
      <c r="H19" s="168"/>
      <c r="I19" s="160"/>
      <c r="J19" s="155"/>
    </row>
    <row r="20" spans="1:10" ht="15.75" x14ac:dyDescent="0.25">
      <c r="A20" s="161"/>
      <c r="B20" s="151"/>
      <c r="C20" s="151"/>
      <c r="D20" s="151"/>
      <c r="E20" s="151"/>
      <c r="F20" s="151"/>
      <c r="G20" s="158"/>
      <c r="H20" s="168"/>
      <c r="I20" s="160"/>
      <c r="J20" s="155"/>
    </row>
    <row r="21" spans="1:10" ht="15.75" x14ac:dyDescent="0.25">
      <c r="A21" s="161"/>
      <c r="B21" s="151"/>
      <c r="C21" s="151"/>
      <c r="D21" s="151"/>
      <c r="E21" s="151"/>
      <c r="F21" s="151"/>
      <c r="G21" s="158"/>
      <c r="H21" s="168"/>
      <c r="I21" s="160"/>
      <c r="J21" s="155"/>
    </row>
    <row r="22" spans="1:10" ht="15.75" x14ac:dyDescent="0.25">
      <c r="A22" s="161"/>
      <c r="B22" s="151"/>
      <c r="C22" s="151"/>
      <c r="D22" s="151"/>
      <c r="E22" s="151"/>
      <c r="F22" s="151"/>
      <c r="G22" s="158"/>
      <c r="H22" s="168"/>
      <c r="I22" s="160"/>
      <c r="J22" s="155"/>
    </row>
    <row r="23" spans="1:10" ht="15.75" x14ac:dyDescent="0.25">
      <c r="A23" s="161"/>
      <c r="B23" s="151"/>
      <c r="C23" s="151"/>
      <c r="D23" s="151"/>
      <c r="E23" s="151"/>
      <c r="F23" s="151"/>
      <c r="G23" s="158"/>
      <c r="H23" s="168"/>
      <c r="I23" s="160"/>
      <c r="J23" s="155"/>
    </row>
    <row r="24" spans="1:10" ht="15.75" x14ac:dyDescent="0.25">
      <c r="A24" s="161"/>
      <c r="B24" s="151"/>
      <c r="C24" s="151"/>
      <c r="D24" s="151"/>
      <c r="E24" s="151"/>
      <c r="F24" s="151"/>
      <c r="G24" s="158"/>
      <c r="H24" s="168"/>
      <c r="I24" s="160"/>
      <c r="J24" s="155"/>
    </row>
    <row r="25" spans="1:10" ht="15.75" x14ac:dyDescent="0.25">
      <c r="A25" s="161"/>
      <c r="B25" s="151"/>
      <c r="C25" s="151"/>
      <c r="D25" s="151"/>
      <c r="E25" s="151"/>
      <c r="F25" s="151"/>
      <c r="G25" s="158"/>
      <c r="H25" s="168"/>
      <c r="I25" s="160"/>
      <c r="J25" s="155"/>
    </row>
    <row r="26" spans="1:10" ht="45" customHeight="1" x14ac:dyDescent="0.25">
      <c r="A26" s="162"/>
      <c r="B26" s="151"/>
      <c r="C26" s="151"/>
      <c r="D26" s="151"/>
      <c r="E26" s="151"/>
      <c r="F26" s="151"/>
      <c r="G26" s="158"/>
      <c r="H26" s="168"/>
      <c r="I26" s="160"/>
      <c r="J26" s="155"/>
    </row>
    <row r="27" spans="1:10" ht="15" customHeight="1" x14ac:dyDescent="0.25">
      <c r="A27" s="157">
        <v>7</v>
      </c>
      <c r="B27" s="151"/>
      <c r="C27" s="151"/>
      <c r="D27" s="151"/>
      <c r="E27" s="151"/>
      <c r="F27" s="151"/>
      <c r="G27" s="158" t="s">
        <v>200</v>
      </c>
      <c r="H27" s="164" t="s">
        <v>192</v>
      </c>
      <c r="I27" s="160">
        <v>0.1</v>
      </c>
      <c r="J27" s="155"/>
    </row>
    <row r="28" spans="1:10" ht="15.75" x14ac:dyDescent="0.25">
      <c r="A28" s="161"/>
      <c r="B28" s="151"/>
      <c r="C28" s="151"/>
      <c r="D28" s="151"/>
      <c r="E28" s="151"/>
      <c r="F28" s="151"/>
      <c r="G28" s="158"/>
      <c r="H28" s="164"/>
      <c r="I28" s="160"/>
      <c r="J28" s="155"/>
    </row>
    <row r="29" spans="1:10" ht="15.75" x14ac:dyDescent="0.25">
      <c r="A29" s="161"/>
      <c r="B29" s="151"/>
      <c r="C29" s="151"/>
      <c r="D29" s="151"/>
      <c r="E29" s="151"/>
      <c r="F29" s="151"/>
      <c r="G29" s="158"/>
      <c r="H29" s="164"/>
      <c r="I29" s="160"/>
      <c r="J29" s="155"/>
    </row>
    <row r="30" spans="1:10" ht="15.75" x14ac:dyDescent="0.25">
      <c r="A30" s="161"/>
      <c r="B30" s="151"/>
      <c r="C30" s="151"/>
      <c r="D30" s="151"/>
      <c r="E30" s="151"/>
      <c r="F30" s="151"/>
      <c r="G30" s="158"/>
      <c r="H30" s="164"/>
      <c r="I30" s="160"/>
      <c r="J30" s="155"/>
    </row>
    <row r="31" spans="1:10" ht="15.75" x14ac:dyDescent="0.25">
      <c r="A31" s="161"/>
      <c r="B31" s="151"/>
      <c r="C31" s="151"/>
      <c r="D31" s="151"/>
      <c r="E31" s="151"/>
      <c r="F31" s="151"/>
      <c r="G31" s="158"/>
      <c r="H31" s="164"/>
      <c r="I31" s="160"/>
      <c r="J31" s="155"/>
    </row>
    <row r="32" spans="1:10" ht="15.75" x14ac:dyDescent="0.25">
      <c r="A32" s="161"/>
      <c r="B32" s="151"/>
      <c r="C32" s="151"/>
      <c r="D32" s="151"/>
      <c r="E32" s="151"/>
      <c r="F32" s="151"/>
      <c r="G32" s="158"/>
      <c r="H32" s="164"/>
      <c r="I32" s="160"/>
      <c r="J32" s="155"/>
    </row>
    <row r="33" spans="1:10" ht="15.75" x14ac:dyDescent="0.25">
      <c r="A33" s="161"/>
      <c r="B33" s="151"/>
      <c r="C33" s="151"/>
      <c r="D33" s="151"/>
      <c r="E33" s="151"/>
      <c r="F33" s="151"/>
      <c r="G33" s="158"/>
      <c r="H33" s="164"/>
      <c r="I33" s="160"/>
      <c r="J33" s="155"/>
    </row>
    <row r="34" spans="1:10" ht="15.75" x14ac:dyDescent="0.25">
      <c r="A34" s="161"/>
      <c r="B34" s="151"/>
      <c r="C34" s="151"/>
      <c r="D34" s="151"/>
      <c r="E34" s="151"/>
      <c r="F34" s="151"/>
      <c r="G34" s="158"/>
      <c r="H34" s="164"/>
      <c r="I34" s="160"/>
      <c r="J34" s="155"/>
    </row>
    <row r="35" spans="1:10" ht="15.75" x14ac:dyDescent="0.25">
      <c r="A35" s="162"/>
      <c r="B35" s="151"/>
      <c r="C35" s="151"/>
      <c r="D35" s="151"/>
      <c r="E35" s="151"/>
      <c r="F35" s="151"/>
      <c r="G35" s="158"/>
      <c r="H35" s="164"/>
      <c r="I35" s="160"/>
      <c r="J35" s="155"/>
    </row>
  </sheetData>
  <mergeCells count="22">
    <mergeCell ref="A27:A35"/>
    <mergeCell ref="G27:G35"/>
    <mergeCell ref="H27:H35"/>
    <mergeCell ref="I27:I35"/>
    <mergeCell ref="A14:A16"/>
    <mergeCell ref="G14:G16"/>
    <mergeCell ref="H14:H16"/>
    <mergeCell ref="I14:I16"/>
    <mergeCell ref="A17:A26"/>
    <mergeCell ref="G17:G26"/>
    <mergeCell ref="H17:H26"/>
    <mergeCell ref="I17:I26"/>
    <mergeCell ref="B1:F1"/>
    <mergeCell ref="B2:F35"/>
    <mergeCell ref="A4:A8"/>
    <mergeCell ref="G4:G8"/>
    <mergeCell ref="H4:H8"/>
    <mergeCell ref="I4:I8"/>
    <mergeCell ref="A9:A13"/>
    <mergeCell ref="G9:G13"/>
    <mergeCell ref="H9:H13"/>
    <mergeCell ref="I9:I1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99FDD-3F56-4E1D-BEEE-9CD7A9EEB582}">
  <dimension ref="A1:J37"/>
  <sheetViews>
    <sheetView workbookViewId="0">
      <selection activeCell="I9" sqref="I9:I13"/>
    </sheetView>
  </sheetViews>
  <sheetFormatPr defaultRowHeight="15" x14ac:dyDescent="0.25"/>
  <cols>
    <col min="1" max="1" width="13.7109375" style="149" customWidth="1"/>
    <col min="2" max="2" width="11.28515625" style="149" customWidth="1"/>
    <col min="3" max="3" width="11.42578125" style="149" customWidth="1"/>
    <col min="4" max="4" width="11.85546875" style="149" customWidth="1"/>
    <col min="5" max="6" width="11.140625" style="149" customWidth="1"/>
    <col min="7" max="7" width="34.5703125" style="149" customWidth="1"/>
    <col min="8" max="8" width="39" style="149" customWidth="1"/>
    <col min="9" max="9" width="26.5703125" style="149" customWidth="1"/>
    <col min="10" max="10" width="32.140625" style="149" customWidth="1"/>
    <col min="11" max="16384" width="9.140625" style="149"/>
  </cols>
  <sheetData>
    <row r="1" spans="1:10" ht="45" customHeight="1" x14ac:dyDescent="0.25">
      <c r="A1" s="147" t="s">
        <v>92</v>
      </c>
      <c r="B1" s="148" t="s">
        <v>167</v>
      </c>
      <c r="C1" s="148"/>
      <c r="D1" s="148"/>
      <c r="E1" s="148"/>
      <c r="F1" s="148"/>
      <c r="G1" s="147" t="s">
        <v>168</v>
      </c>
      <c r="H1" s="147" t="s">
        <v>169</v>
      </c>
      <c r="I1" s="147" t="s">
        <v>170</v>
      </c>
      <c r="J1" s="147" t="s">
        <v>171</v>
      </c>
    </row>
    <row r="2" spans="1:10" ht="165.75" customHeight="1" x14ac:dyDescent="0.25">
      <c r="A2" s="150">
        <v>1</v>
      </c>
      <c r="B2" s="151"/>
      <c r="C2" s="151"/>
      <c r="D2" s="151"/>
      <c r="E2" s="151"/>
      <c r="F2" s="151"/>
      <c r="G2" s="152" t="s">
        <v>201</v>
      </c>
      <c r="H2" s="153" t="s">
        <v>202</v>
      </c>
      <c r="I2" s="154">
        <v>0.5</v>
      </c>
      <c r="J2" s="155"/>
    </row>
    <row r="3" spans="1:10" ht="113.25" customHeight="1" x14ac:dyDescent="0.25">
      <c r="A3" s="150">
        <v>2</v>
      </c>
      <c r="B3" s="151"/>
      <c r="C3" s="151"/>
      <c r="D3" s="151"/>
      <c r="E3" s="151"/>
      <c r="F3" s="151"/>
      <c r="G3" s="156" t="s">
        <v>203</v>
      </c>
      <c r="H3" s="153" t="s">
        <v>202</v>
      </c>
      <c r="I3" s="154">
        <v>0.5</v>
      </c>
      <c r="J3" s="155"/>
    </row>
    <row r="4" spans="1:10" ht="15" customHeight="1" x14ac:dyDescent="0.25">
      <c r="A4" s="157">
        <v>3</v>
      </c>
      <c r="B4" s="151"/>
      <c r="C4" s="151"/>
      <c r="D4" s="151"/>
      <c r="E4" s="151"/>
      <c r="F4" s="151"/>
      <c r="G4" s="158" t="s">
        <v>204</v>
      </c>
      <c r="H4" s="159" t="s">
        <v>205</v>
      </c>
      <c r="I4" s="160">
        <v>0.5</v>
      </c>
      <c r="J4" s="155"/>
    </row>
    <row r="5" spans="1:10" ht="15.75" x14ac:dyDescent="0.25">
      <c r="A5" s="161"/>
      <c r="B5" s="151"/>
      <c r="C5" s="151"/>
      <c r="D5" s="151"/>
      <c r="E5" s="151"/>
      <c r="F5" s="151"/>
      <c r="G5" s="158"/>
      <c r="H5" s="159" t="s">
        <v>206</v>
      </c>
      <c r="I5" s="160"/>
      <c r="J5" s="155"/>
    </row>
    <row r="6" spans="1:10" ht="15.75" x14ac:dyDescent="0.25">
      <c r="A6" s="161"/>
      <c r="B6" s="151"/>
      <c r="C6" s="151"/>
      <c r="D6" s="151"/>
      <c r="E6" s="151"/>
      <c r="F6" s="151"/>
      <c r="G6" s="158"/>
      <c r="H6" s="159" t="s">
        <v>207</v>
      </c>
      <c r="I6" s="160"/>
      <c r="J6" s="155"/>
    </row>
    <row r="7" spans="1:10" ht="21.75" customHeight="1" x14ac:dyDescent="0.25">
      <c r="A7" s="161"/>
      <c r="B7" s="151"/>
      <c r="C7" s="151"/>
      <c r="D7" s="151"/>
      <c r="E7" s="151"/>
      <c r="F7" s="151"/>
      <c r="G7" s="158"/>
      <c r="H7" s="159" t="s">
        <v>208</v>
      </c>
      <c r="I7" s="160"/>
      <c r="J7" s="155"/>
    </row>
    <row r="8" spans="1:10" ht="23.25" customHeight="1" x14ac:dyDescent="0.25">
      <c r="A8" s="162"/>
      <c r="B8" s="151"/>
      <c r="C8" s="151"/>
      <c r="D8" s="151"/>
      <c r="E8" s="151"/>
      <c r="F8" s="151"/>
      <c r="G8" s="158"/>
      <c r="H8" s="159" t="s">
        <v>209</v>
      </c>
      <c r="I8" s="160"/>
      <c r="J8" s="155"/>
    </row>
    <row r="9" spans="1:10" ht="45" customHeight="1" x14ac:dyDescent="0.25">
      <c r="A9" s="157">
        <v>4</v>
      </c>
      <c r="B9" s="151"/>
      <c r="C9" s="151"/>
      <c r="D9" s="151"/>
      <c r="E9" s="151"/>
      <c r="F9" s="151"/>
      <c r="G9" s="158" t="s">
        <v>210</v>
      </c>
      <c r="H9" s="159" t="s">
        <v>205</v>
      </c>
      <c r="I9" s="163" t="s">
        <v>211</v>
      </c>
      <c r="J9" s="155"/>
    </row>
    <row r="10" spans="1:10" ht="35.25" customHeight="1" x14ac:dyDescent="0.25">
      <c r="A10" s="161"/>
      <c r="B10" s="151"/>
      <c r="C10" s="151"/>
      <c r="D10" s="151"/>
      <c r="E10" s="151"/>
      <c r="F10" s="151"/>
      <c r="G10" s="164"/>
      <c r="H10" s="159" t="s">
        <v>206</v>
      </c>
      <c r="I10" s="165"/>
      <c r="J10" s="155"/>
    </row>
    <row r="11" spans="1:10" ht="30" customHeight="1" x14ac:dyDescent="0.25">
      <c r="A11" s="161"/>
      <c r="B11" s="151"/>
      <c r="C11" s="151"/>
      <c r="D11" s="151"/>
      <c r="E11" s="151"/>
      <c r="F11" s="151"/>
      <c r="G11" s="164"/>
      <c r="H11" s="159" t="s">
        <v>212</v>
      </c>
      <c r="I11" s="165"/>
      <c r="J11" s="155"/>
    </row>
    <row r="12" spans="1:10" ht="24.75" customHeight="1" x14ac:dyDescent="0.25">
      <c r="A12" s="161"/>
      <c r="B12" s="151"/>
      <c r="C12" s="151"/>
      <c r="D12" s="151"/>
      <c r="E12" s="151"/>
      <c r="F12" s="151"/>
      <c r="G12" s="164"/>
      <c r="H12" s="159" t="s">
        <v>208</v>
      </c>
      <c r="I12" s="165"/>
      <c r="J12" s="155"/>
    </row>
    <row r="13" spans="1:10" ht="22.5" customHeight="1" x14ac:dyDescent="0.25">
      <c r="A13" s="162"/>
      <c r="B13" s="151"/>
      <c r="C13" s="151"/>
      <c r="D13" s="151"/>
      <c r="E13" s="151"/>
      <c r="F13" s="151"/>
      <c r="G13" s="164"/>
      <c r="H13" s="159" t="s">
        <v>213</v>
      </c>
      <c r="I13" s="166"/>
      <c r="J13" s="155"/>
    </row>
    <row r="14" spans="1:10" ht="36" customHeight="1" x14ac:dyDescent="0.25">
      <c r="A14" s="157">
        <v>5</v>
      </c>
      <c r="B14" s="151"/>
      <c r="C14" s="151"/>
      <c r="D14" s="151"/>
      <c r="E14" s="151"/>
      <c r="F14" s="151"/>
      <c r="G14" s="158" t="s">
        <v>214</v>
      </c>
      <c r="H14" s="172" t="s">
        <v>215</v>
      </c>
      <c r="I14" s="160">
        <v>0.5</v>
      </c>
      <c r="J14" s="155"/>
    </row>
    <row r="15" spans="1:10" ht="31.5" customHeight="1" x14ac:dyDescent="0.25">
      <c r="A15" s="161"/>
      <c r="B15" s="151"/>
      <c r="C15" s="151"/>
      <c r="D15" s="151"/>
      <c r="E15" s="151"/>
      <c r="F15" s="151"/>
      <c r="G15" s="167"/>
      <c r="H15" s="173" t="s">
        <v>216</v>
      </c>
      <c r="I15" s="160"/>
      <c r="J15" s="155"/>
    </row>
    <row r="16" spans="1:10" ht="39" customHeight="1" x14ac:dyDescent="0.25">
      <c r="A16" s="162"/>
      <c r="B16" s="151"/>
      <c r="C16" s="151"/>
      <c r="D16" s="151"/>
      <c r="E16" s="151"/>
      <c r="F16" s="151"/>
      <c r="G16" s="167"/>
      <c r="H16" s="174"/>
      <c r="I16" s="160"/>
      <c r="J16" s="155"/>
    </row>
    <row r="17" spans="1:10" ht="15" customHeight="1" x14ac:dyDescent="0.25">
      <c r="A17" s="157">
        <v>6</v>
      </c>
      <c r="B17" s="151"/>
      <c r="C17" s="151"/>
      <c r="D17" s="151"/>
      <c r="E17" s="151"/>
      <c r="F17" s="151"/>
      <c r="G17" s="158" t="s">
        <v>217</v>
      </c>
      <c r="H17" s="175" t="s">
        <v>218</v>
      </c>
      <c r="I17" s="160">
        <v>1</v>
      </c>
      <c r="J17" s="155"/>
    </row>
    <row r="18" spans="1:10" ht="15.75" x14ac:dyDescent="0.25">
      <c r="A18" s="161"/>
      <c r="B18" s="151"/>
      <c r="C18" s="151"/>
      <c r="D18" s="151"/>
      <c r="E18" s="151"/>
      <c r="F18" s="151"/>
      <c r="G18" s="158"/>
      <c r="H18" s="176"/>
      <c r="I18" s="160"/>
      <c r="J18" s="155"/>
    </row>
    <row r="19" spans="1:10" ht="15.75" x14ac:dyDescent="0.25">
      <c r="A19" s="161"/>
      <c r="B19" s="151"/>
      <c r="C19" s="151"/>
      <c r="D19" s="151"/>
      <c r="E19" s="151"/>
      <c r="F19" s="151"/>
      <c r="G19" s="158"/>
      <c r="H19" s="176"/>
      <c r="I19" s="160"/>
      <c r="J19" s="155"/>
    </row>
    <row r="20" spans="1:10" ht="15.75" x14ac:dyDescent="0.25">
      <c r="A20" s="161"/>
      <c r="B20" s="151"/>
      <c r="C20" s="151"/>
      <c r="D20" s="151"/>
      <c r="E20" s="151"/>
      <c r="F20" s="151"/>
      <c r="G20" s="158"/>
      <c r="H20" s="176"/>
      <c r="I20" s="160"/>
      <c r="J20" s="155"/>
    </row>
    <row r="21" spans="1:10" ht="15.75" x14ac:dyDescent="0.25">
      <c r="A21" s="161"/>
      <c r="B21" s="151"/>
      <c r="C21" s="151"/>
      <c r="D21" s="151"/>
      <c r="E21" s="151"/>
      <c r="F21" s="151"/>
      <c r="G21" s="158"/>
      <c r="H21" s="177"/>
      <c r="I21" s="160"/>
      <c r="J21" s="155"/>
    </row>
    <row r="22" spans="1:10" ht="15.75" x14ac:dyDescent="0.25">
      <c r="A22" s="161"/>
      <c r="B22" s="151"/>
      <c r="C22" s="151"/>
      <c r="D22" s="151"/>
      <c r="E22" s="151"/>
      <c r="F22" s="151"/>
      <c r="G22" s="158"/>
      <c r="H22" s="169" t="s">
        <v>216</v>
      </c>
      <c r="I22" s="160"/>
      <c r="J22" s="155"/>
    </row>
    <row r="23" spans="1:10" ht="15.75" x14ac:dyDescent="0.25">
      <c r="A23" s="161"/>
      <c r="B23" s="151"/>
      <c r="C23" s="151"/>
      <c r="D23" s="151"/>
      <c r="E23" s="151"/>
      <c r="F23" s="151"/>
      <c r="G23" s="158"/>
      <c r="H23" s="170"/>
      <c r="I23" s="160"/>
      <c r="J23" s="155"/>
    </row>
    <row r="24" spans="1:10" ht="15.75" x14ac:dyDescent="0.25">
      <c r="A24" s="161"/>
      <c r="B24" s="151"/>
      <c r="C24" s="151"/>
      <c r="D24" s="151"/>
      <c r="E24" s="151"/>
      <c r="F24" s="151"/>
      <c r="G24" s="158"/>
      <c r="H24" s="170"/>
      <c r="I24" s="160"/>
      <c r="J24" s="155"/>
    </row>
    <row r="25" spans="1:10" ht="15.75" x14ac:dyDescent="0.25">
      <c r="A25" s="161"/>
      <c r="B25" s="151"/>
      <c r="C25" s="151"/>
      <c r="D25" s="151"/>
      <c r="E25" s="151"/>
      <c r="F25" s="151"/>
      <c r="G25" s="158"/>
      <c r="H25" s="170"/>
      <c r="I25" s="160"/>
      <c r="J25" s="155"/>
    </row>
    <row r="26" spans="1:10" ht="15.75" x14ac:dyDescent="0.25">
      <c r="A26" s="162"/>
      <c r="B26" s="151"/>
      <c r="C26" s="151"/>
      <c r="D26" s="151"/>
      <c r="E26" s="151"/>
      <c r="F26" s="151"/>
      <c r="G26" s="158"/>
      <c r="H26" s="171"/>
      <c r="I26" s="160"/>
      <c r="J26" s="155"/>
    </row>
    <row r="27" spans="1:10" ht="15" customHeight="1" x14ac:dyDescent="0.25">
      <c r="A27" s="157">
        <v>7</v>
      </c>
      <c r="B27" s="151"/>
      <c r="C27" s="151"/>
      <c r="D27" s="151"/>
      <c r="E27" s="151"/>
      <c r="F27" s="151"/>
      <c r="G27" s="158" t="s">
        <v>219</v>
      </c>
      <c r="H27" s="175" t="s">
        <v>220</v>
      </c>
      <c r="I27" s="160">
        <v>0.1</v>
      </c>
      <c r="J27" s="155"/>
    </row>
    <row r="28" spans="1:10" ht="15.75" x14ac:dyDescent="0.25">
      <c r="A28" s="161"/>
      <c r="B28" s="151"/>
      <c r="C28" s="151"/>
      <c r="D28" s="151"/>
      <c r="E28" s="151"/>
      <c r="F28" s="151"/>
      <c r="G28" s="158"/>
      <c r="H28" s="176"/>
      <c r="I28" s="160"/>
      <c r="J28" s="155"/>
    </row>
    <row r="29" spans="1:10" ht="15.75" x14ac:dyDescent="0.25">
      <c r="A29" s="161"/>
      <c r="B29" s="151"/>
      <c r="C29" s="151"/>
      <c r="D29" s="151"/>
      <c r="E29" s="151"/>
      <c r="F29" s="151"/>
      <c r="G29" s="158"/>
      <c r="H29" s="176"/>
      <c r="I29" s="160"/>
      <c r="J29" s="155"/>
    </row>
    <row r="30" spans="1:10" ht="15.75" x14ac:dyDescent="0.25">
      <c r="A30" s="161"/>
      <c r="B30" s="151"/>
      <c r="C30" s="151"/>
      <c r="D30" s="151"/>
      <c r="E30" s="151"/>
      <c r="F30" s="151"/>
      <c r="G30" s="158"/>
      <c r="H30" s="176"/>
      <c r="I30" s="160"/>
      <c r="J30" s="155"/>
    </row>
    <row r="31" spans="1:10" ht="15.75" x14ac:dyDescent="0.25">
      <c r="A31" s="161"/>
      <c r="B31" s="151"/>
      <c r="C31" s="151"/>
      <c r="D31" s="151"/>
      <c r="E31" s="151"/>
      <c r="F31" s="151"/>
      <c r="G31" s="158"/>
      <c r="H31" s="177"/>
      <c r="I31" s="160"/>
      <c r="J31" s="155"/>
    </row>
    <row r="32" spans="1:10" ht="15.75" x14ac:dyDescent="0.25">
      <c r="A32" s="161"/>
      <c r="B32" s="151"/>
      <c r="C32" s="151"/>
      <c r="D32" s="151"/>
      <c r="E32" s="151"/>
      <c r="F32" s="151"/>
      <c r="G32" s="158"/>
      <c r="H32" s="175" t="s">
        <v>216</v>
      </c>
      <c r="I32" s="160"/>
      <c r="J32" s="155"/>
    </row>
    <row r="33" spans="1:10" ht="15.75" x14ac:dyDescent="0.25">
      <c r="A33" s="161"/>
      <c r="B33" s="151"/>
      <c r="C33" s="151"/>
      <c r="D33" s="151"/>
      <c r="E33" s="151"/>
      <c r="F33" s="151"/>
      <c r="G33" s="158"/>
      <c r="H33" s="176"/>
      <c r="I33" s="160"/>
      <c r="J33" s="155"/>
    </row>
    <row r="34" spans="1:10" ht="15.75" x14ac:dyDescent="0.25">
      <c r="A34" s="161"/>
      <c r="B34" s="151"/>
      <c r="C34" s="151"/>
      <c r="D34" s="151"/>
      <c r="E34" s="151"/>
      <c r="F34" s="151"/>
      <c r="G34" s="158"/>
      <c r="H34" s="176"/>
      <c r="I34" s="160"/>
      <c r="J34" s="155"/>
    </row>
    <row r="35" spans="1:10" ht="15.75" x14ac:dyDescent="0.25">
      <c r="A35" s="162"/>
      <c r="B35" s="151"/>
      <c r="C35" s="151"/>
      <c r="D35" s="151"/>
      <c r="E35" s="151"/>
      <c r="F35" s="151"/>
      <c r="G35" s="158"/>
      <c r="H35" s="177"/>
      <c r="I35" s="160"/>
      <c r="J35" s="155"/>
    </row>
    <row r="37" spans="1:10" ht="18" x14ac:dyDescent="0.25">
      <c r="A37" s="178" t="s">
        <v>221</v>
      </c>
    </row>
  </sheetData>
  <mergeCells count="21">
    <mergeCell ref="A27:A35"/>
    <mergeCell ref="G27:G35"/>
    <mergeCell ref="H27:H31"/>
    <mergeCell ref="I27:I35"/>
    <mergeCell ref="H32:H35"/>
    <mergeCell ref="I14:I16"/>
    <mergeCell ref="A17:A26"/>
    <mergeCell ref="G17:G26"/>
    <mergeCell ref="H17:H21"/>
    <mergeCell ref="I17:I26"/>
    <mergeCell ref="H22:H26"/>
    <mergeCell ref="B1:F1"/>
    <mergeCell ref="B2:F35"/>
    <mergeCell ref="A4:A8"/>
    <mergeCell ref="G4:G8"/>
    <mergeCell ref="I4:I8"/>
    <mergeCell ref="A9:A13"/>
    <mergeCell ref="G9:G13"/>
    <mergeCell ref="I9:I13"/>
    <mergeCell ref="A14:A16"/>
    <mergeCell ref="G14:G1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4FC61-9EC4-4D56-A6A1-F4158DC55EA8}">
  <dimension ref="A2:I17"/>
  <sheetViews>
    <sheetView workbookViewId="0">
      <selection activeCell="O8" sqref="O8"/>
    </sheetView>
  </sheetViews>
  <sheetFormatPr defaultRowHeight="15" x14ac:dyDescent="0.25"/>
  <cols>
    <col min="1" max="1" width="9.140625" style="179"/>
    <col min="2" max="16384" width="9.140625" style="149"/>
  </cols>
  <sheetData>
    <row r="2" spans="1:9" ht="36" customHeight="1" x14ac:dyDescent="0.25">
      <c r="A2" s="185" t="s">
        <v>237</v>
      </c>
      <c r="B2" s="184"/>
      <c r="C2" s="184"/>
      <c r="D2" s="184"/>
      <c r="E2" s="184"/>
      <c r="F2" s="184"/>
      <c r="G2" s="184"/>
      <c r="H2" s="184"/>
      <c r="I2" s="183"/>
    </row>
    <row r="3" spans="1:9" ht="48.75" customHeight="1" x14ac:dyDescent="0.25">
      <c r="A3" s="181">
        <v>1</v>
      </c>
      <c r="B3" s="180" t="s">
        <v>236</v>
      </c>
      <c r="C3" s="180"/>
      <c r="D3" s="180"/>
      <c r="E3" s="180"/>
      <c r="F3" s="180"/>
      <c r="G3" s="180"/>
      <c r="H3" s="180"/>
      <c r="I3" s="180"/>
    </row>
    <row r="4" spans="1:9" ht="42.75" customHeight="1" x14ac:dyDescent="0.25">
      <c r="A4" s="181">
        <v>2</v>
      </c>
      <c r="B4" s="180" t="s">
        <v>235</v>
      </c>
      <c r="C4" s="180"/>
      <c r="D4" s="180"/>
      <c r="E4" s="180"/>
      <c r="F4" s="180"/>
      <c r="G4" s="180"/>
      <c r="H4" s="180"/>
      <c r="I4" s="180"/>
    </row>
    <row r="5" spans="1:9" ht="46.5" customHeight="1" x14ac:dyDescent="0.25">
      <c r="A5" s="181">
        <v>3</v>
      </c>
      <c r="B5" s="180" t="s">
        <v>234</v>
      </c>
      <c r="C5" s="180"/>
      <c r="D5" s="180"/>
      <c r="E5" s="180"/>
      <c r="F5" s="180"/>
      <c r="G5" s="180"/>
      <c r="H5" s="180"/>
      <c r="I5" s="180"/>
    </row>
    <row r="6" spans="1:9" ht="34.5" customHeight="1" x14ac:dyDescent="0.25">
      <c r="A6" s="188" t="s">
        <v>233</v>
      </c>
      <c r="B6" s="187"/>
      <c r="C6" s="187"/>
      <c r="D6" s="187"/>
      <c r="E6" s="187"/>
      <c r="F6" s="187"/>
      <c r="G6" s="187"/>
      <c r="H6" s="187"/>
      <c r="I6" s="186"/>
    </row>
    <row r="7" spans="1:9" ht="50.1" customHeight="1" x14ac:dyDescent="0.25">
      <c r="A7" s="181">
        <v>1</v>
      </c>
      <c r="B7" s="180" t="s">
        <v>232</v>
      </c>
      <c r="C7" s="180"/>
      <c r="D7" s="180"/>
      <c r="E7" s="180"/>
      <c r="F7" s="180"/>
      <c r="G7" s="180"/>
      <c r="H7" s="180"/>
      <c r="I7" s="180"/>
    </row>
    <row r="8" spans="1:9" ht="50.1" customHeight="1" x14ac:dyDescent="0.25">
      <c r="A8" s="181">
        <v>2</v>
      </c>
      <c r="B8" s="180" t="s">
        <v>231</v>
      </c>
      <c r="C8" s="180"/>
      <c r="D8" s="180"/>
      <c r="E8" s="180"/>
      <c r="F8" s="180"/>
      <c r="G8" s="180"/>
      <c r="H8" s="180"/>
      <c r="I8" s="180"/>
    </row>
    <row r="9" spans="1:9" ht="50.1" customHeight="1" x14ac:dyDescent="0.25">
      <c r="A9" s="181">
        <v>3</v>
      </c>
      <c r="B9" s="180" t="s">
        <v>230</v>
      </c>
      <c r="C9" s="180"/>
      <c r="D9" s="180"/>
      <c r="E9" s="180"/>
      <c r="F9" s="180"/>
      <c r="G9" s="180"/>
      <c r="H9" s="180"/>
      <c r="I9" s="180"/>
    </row>
    <row r="10" spans="1:9" ht="36" customHeight="1" x14ac:dyDescent="0.25">
      <c r="A10" s="185" t="s">
        <v>229</v>
      </c>
      <c r="B10" s="184"/>
      <c r="C10" s="184"/>
      <c r="D10" s="184"/>
      <c r="E10" s="184"/>
      <c r="F10" s="184"/>
      <c r="G10" s="184"/>
      <c r="H10" s="184"/>
      <c r="I10" s="183"/>
    </row>
    <row r="11" spans="1:9" ht="45.75" customHeight="1" x14ac:dyDescent="0.25">
      <c r="A11" s="181">
        <v>1</v>
      </c>
      <c r="B11" s="182" t="s">
        <v>228</v>
      </c>
      <c r="C11" s="182"/>
      <c r="D11" s="182"/>
      <c r="E11" s="182"/>
      <c r="F11" s="182"/>
      <c r="G11" s="182"/>
      <c r="H11" s="182"/>
      <c r="I11" s="182"/>
    </row>
    <row r="12" spans="1:9" ht="50.1" customHeight="1" x14ac:dyDescent="0.25">
      <c r="A12" s="181">
        <v>2</v>
      </c>
      <c r="B12" s="182" t="s">
        <v>227</v>
      </c>
      <c r="C12" s="182"/>
      <c r="D12" s="182"/>
      <c r="E12" s="182"/>
      <c r="F12" s="182"/>
      <c r="G12" s="182"/>
      <c r="H12" s="182"/>
      <c r="I12" s="182"/>
    </row>
    <row r="13" spans="1:9" ht="57" customHeight="1" x14ac:dyDescent="0.25">
      <c r="A13" s="181">
        <v>3</v>
      </c>
      <c r="B13" s="182" t="s">
        <v>226</v>
      </c>
      <c r="C13" s="182"/>
      <c r="D13" s="182"/>
      <c r="E13" s="182"/>
      <c r="F13" s="182"/>
      <c r="G13" s="182"/>
      <c r="H13" s="182"/>
      <c r="I13" s="182"/>
    </row>
    <row r="14" spans="1:9" ht="63" customHeight="1" x14ac:dyDescent="0.25">
      <c r="A14" s="181">
        <v>4</v>
      </c>
      <c r="B14" s="182" t="s">
        <v>225</v>
      </c>
      <c r="C14" s="182"/>
      <c r="D14" s="182"/>
      <c r="E14" s="182"/>
      <c r="F14" s="182"/>
      <c r="G14" s="182"/>
      <c r="H14" s="182"/>
      <c r="I14" s="182"/>
    </row>
    <row r="15" spans="1:9" ht="50.1" customHeight="1" x14ac:dyDescent="0.25">
      <c r="A15" s="181">
        <v>5</v>
      </c>
      <c r="B15" s="182" t="s">
        <v>224</v>
      </c>
      <c r="C15" s="182"/>
      <c r="D15" s="182"/>
      <c r="E15" s="182"/>
      <c r="F15" s="182"/>
      <c r="G15" s="182"/>
      <c r="H15" s="182"/>
      <c r="I15" s="182"/>
    </row>
    <row r="16" spans="1:9" ht="66" customHeight="1" x14ac:dyDescent="0.25">
      <c r="A16" s="181">
        <v>6</v>
      </c>
      <c r="B16" s="182" t="s">
        <v>223</v>
      </c>
      <c r="C16" s="182"/>
      <c r="D16" s="182"/>
      <c r="E16" s="182"/>
      <c r="F16" s="182"/>
      <c r="G16" s="182"/>
      <c r="H16" s="182"/>
      <c r="I16" s="182"/>
    </row>
    <row r="17" spans="1:9" ht="50.1" customHeight="1" x14ac:dyDescent="0.25">
      <c r="A17" s="181">
        <v>7</v>
      </c>
      <c r="B17" s="180" t="s">
        <v>222</v>
      </c>
      <c r="C17" s="180"/>
      <c r="D17" s="180"/>
      <c r="E17" s="180"/>
      <c r="F17" s="180"/>
      <c r="G17" s="180"/>
      <c r="H17" s="180"/>
      <c r="I17" s="180"/>
    </row>
  </sheetData>
  <mergeCells count="16">
    <mergeCell ref="B7:I7"/>
    <mergeCell ref="B8:I8"/>
    <mergeCell ref="B9:I9"/>
    <mergeCell ref="B3:I3"/>
    <mergeCell ref="B4:I4"/>
    <mergeCell ref="B5:I5"/>
    <mergeCell ref="B16:I16"/>
    <mergeCell ref="B17:I17"/>
    <mergeCell ref="A2:I2"/>
    <mergeCell ref="A6:I6"/>
    <mergeCell ref="A10:I10"/>
    <mergeCell ref="B11:I11"/>
    <mergeCell ref="B12:I12"/>
    <mergeCell ref="B13:I13"/>
    <mergeCell ref="B14:I14"/>
    <mergeCell ref="B15:I15"/>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D4486-3770-4837-A2BB-467844CC370B}">
  <dimension ref="A1:S26"/>
  <sheetViews>
    <sheetView workbookViewId="0">
      <selection activeCell="D8" sqref="D8"/>
    </sheetView>
  </sheetViews>
  <sheetFormatPr defaultRowHeight="15" x14ac:dyDescent="0.25"/>
  <cols>
    <col min="1" max="1" width="10.85546875" style="194" customWidth="1"/>
    <col min="2" max="2" width="64.85546875" style="149" customWidth="1"/>
    <col min="3" max="4" width="73.7109375" style="149" customWidth="1"/>
    <col min="5" max="16384" width="9.140625" style="149"/>
  </cols>
  <sheetData>
    <row r="1" spans="1:4" ht="32.25" customHeight="1" x14ac:dyDescent="0.25">
      <c r="A1" s="189" t="str">
        <f>[2]DanhMucKT!A1</f>
        <v>STT</v>
      </c>
      <c r="B1" s="189" t="str">
        <f>[2]DanhMucKT!B1</f>
        <v>Tài liệu</v>
      </c>
      <c r="C1" s="189" t="str">
        <f>[2]DanhMucKT!C1</f>
        <v>Mô tả yêu cầu</v>
      </c>
      <c r="D1" s="189" t="str">
        <f>[2]DanhMucKT!D1</f>
        <v>Mục đích</v>
      </c>
    </row>
    <row r="2" spans="1:4" ht="28.5" x14ac:dyDescent="0.25">
      <c r="A2" s="181">
        <v>1</v>
      </c>
      <c r="B2" s="190" t="s">
        <v>238</v>
      </c>
      <c r="C2" s="191"/>
      <c r="D2" s="192" t="s">
        <v>239</v>
      </c>
    </row>
    <row r="3" spans="1:4" ht="61.5" customHeight="1" x14ac:dyDescent="0.25">
      <c r="A3" s="181">
        <v>2</v>
      </c>
      <c r="B3" s="190" t="s">
        <v>240</v>
      </c>
      <c r="C3" s="191" t="s">
        <v>241</v>
      </c>
      <c r="D3" s="192" t="s">
        <v>242</v>
      </c>
    </row>
    <row r="4" spans="1:4" ht="42.75" customHeight="1" x14ac:dyDescent="0.25">
      <c r="A4" s="181">
        <v>3</v>
      </c>
      <c r="B4" s="190" t="s">
        <v>243</v>
      </c>
      <c r="C4" s="191" t="s">
        <v>244</v>
      </c>
      <c r="D4" s="192" t="str">
        <f>[2]DanhMucKT!D4</f>
        <v>Phải thống nhất để phục vụ quá trình tìm kiếm thông tin nhanh, hiệu quả, sử dụng thông tin cho các mục đích như chuyển giao, lấy khối lượng, tự động hoá, quản lý hệ thống….</v>
      </c>
    </row>
    <row r="5" spans="1:4" ht="42.75" x14ac:dyDescent="0.25">
      <c r="A5" s="181">
        <v>4</v>
      </c>
      <c r="B5" s="190" t="s">
        <v>245</v>
      </c>
      <c r="C5" s="191" t="s">
        <v>246</v>
      </c>
      <c r="D5" s="192" t="s">
        <v>247</v>
      </c>
    </row>
    <row r="6" spans="1:4" ht="30" x14ac:dyDescent="0.25">
      <c r="A6" s="181">
        <v>5</v>
      </c>
      <c r="B6" s="190" t="s">
        <v>248</v>
      </c>
      <c r="C6" s="191" t="s">
        <v>249</v>
      </c>
      <c r="D6" s="192" t="s">
        <v>250</v>
      </c>
    </row>
    <row r="7" spans="1:4" ht="42.75" x14ac:dyDescent="0.25">
      <c r="A7" s="181">
        <v>6</v>
      </c>
      <c r="B7" s="190" t="s">
        <v>251</v>
      </c>
      <c r="C7" s="191" t="s">
        <v>252</v>
      </c>
      <c r="D7" s="192" t="str">
        <f>[2]DanhMucKT!D6</f>
        <v>Nhằm chuẩn bị nhanh chóng trước khi làm việc với khách hàng, giảm thời gian làm rõ thông tin, tránh hiểu nhầm dẫn đến điều chỉnh thiết kế nhiều, thiết kê sai ý đồ khách hàng</v>
      </c>
    </row>
    <row r="8" spans="1:4" ht="42.75" x14ac:dyDescent="0.25">
      <c r="A8" s="181">
        <v>7</v>
      </c>
      <c r="B8" s="190" t="s">
        <v>253</v>
      </c>
      <c r="C8" s="191" t="s">
        <v>254</v>
      </c>
      <c r="D8" s="192" t="str">
        <f>[2]DanhMucKT!D7</f>
        <v>Nhằm kiểm soát nhanh các tài liệu đầu vào để kịp thời bổ sung trong quá trình làm việc với khách hàng, tránh thiết kế ở trạng thái thiếu thông tin dẫn đến điều chỉnh nhiều</v>
      </c>
    </row>
    <row r="9" spans="1:4" ht="63.75" customHeight="1" x14ac:dyDescent="0.25">
      <c r="A9" s="181">
        <v>8</v>
      </c>
      <c r="B9" s="190" t="s">
        <v>255</v>
      </c>
      <c r="C9" s="192" t="s">
        <v>256</v>
      </c>
      <c r="D9" s="192" t="str">
        <f>[2]DanhMucKT!D8</f>
        <v>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BSV có lợi thế đối tác chiến lượng hoặc liên quan đến BPTC, hồ sơ chất lượng QAQC...</v>
      </c>
    </row>
    <row r="10" spans="1:4" ht="78.75" customHeight="1" x14ac:dyDescent="0.25">
      <c r="A10" s="181">
        <v>9</v>
      </c>
      <c r="B10" s="190" t="s">
        <v>257</v>
      </c>
      <c r="C10" s="192" t="s">
        <v>258</v>
      </c>
      <c r="D10" s="192" t="str">
        <f>[2]DanhMucKT!D9</f>
        <v>Đồng bộ toàn bộ bản vẽ, hồ sơ, cách thể hiện thông tin trên tât cả các dự án, là cơ sở triển khai hàng loạt công cụ tự động hoá trên toàn hệ thống, giúp tăng hiệu suất triển khai trên toàn hệ thống</v>
      </c>
    </row>
    <row r="11" spans="1:4" ht="42.75" x14ac:dyDescent="0.25">
      <c r="A11" s="181">
        <v>10</v>
      </c>
      <c r="B11" s="190" t="s">
        <v>259</v>
      </c>
      <c r="C11" s="191" t="s">
        <v>260</v>
      </c>
      <c r="D11" s="192" t="str">
        <f>[2]DanhMucKT!D10</f>
        <v>Triển khai nhanh tiến độ thiết kế khi làm việc với khách hàng, căn cứ kiểm soát kết qủa công việc khi triển khai, căn cứ phối hợp các bộ môn khác khi triển khai</v>
      </c>
    </row>
    <row r="12" spans="1:4" ht="42.75" customHeight="1" x14ac:dyDescent="0.25">
      <c r="A12" s="181">
        <v>11</v>
      </c>
      <c r="B12" s="190" t="s">
        <v>261</v>
      </c>
      <c r="C12" s="192" t="s">
        <v>262</v>
      </c>
      <c r="D12" s="192" t="str">
        <f>[2]DanhMucKT!D11</f>
        <v>Triển khai nhanh kế hoạch triển khai bản vẽ, căn cứ để quản lý thay đổi, quản lý hồ sơ đóng gói, tự động hoá một số thao tác khi triển khai bản vẽ, đồng bộ cách đặt tên trên toàn hệ thống</v>
      </c>
    </row>
    <row r="13" spans="1:4" ht="28.5" x14ac:dyDescent="0.25">
      <c r="A13" s="181">
        <v>12</v>
      </c>
      <c r="B13" s="190" t="s">
        <v>263</v>
      </c>
      <c r="C13" s="191" t="s">
        <v>264</v>
      </c>
      <c r="D13" s="192" t="str">
        <f>[2]DanhMucKT!D12</f>
        <v>Vai trò như 1 tài liệu mô tả, hướng dẫn, giải thích cho cả khách hàng lẫn các cán bộ trẻ có nhu cầu tìm hiểu trong nội bộ, đào tạo trẻ</v>
      </c>
    </row>
    <row r="14" spans="1:4" ht="28.5" x14ac:dyDescent="0.25">
      <c r="A14" s="181">
        <v>13</v>
      </c>
      <c r="B14" s="190" t="s">
        <v>265</v>
      </c>
      <c r="C14" s="191"/>
      <c r="D14" s="192" t="str">
        <f>[2]DanhMucKT!D13</f>
        <v>Hướng dẫn quản lý thông tin thay đổi, giảm rủi ro làm lại nhiều lần, sai xót do không đồng bộ giữa các bộ môn</v>
      </c>
    </row>
    <row r="15" spans="1:4" ht="42.75" x14ac:dyDescent="0.25">
      <c r="A15" s="181">
        <v>14</v>
      </c>
      <c r="B15" s="190" t="s">
        <v>266</v>
      </c>
      <c r="C15" s="191" t="s">
        <v>267</v>
      </c>
      <c r="D15" s="192" t="s">
        <v>268</v>
      </c>
    </row>
    <row r="16" spans="1:4" ht="28.5" x14ac:dyDescent="0.25">
      <c r="A16" s="181">
        <v>15</v>
      </c>
      <c r="B16" s="190" t="s">
        <v>269</v>
      </c>
      <c r="C16" s="191" t="s">
        <v>270</v>
      </c>
      <c r="D16" s="192" t="s">
        <v>271</v>
      </c>
    </row>
    <row r="17" spans="1:19" ht="42.75" x14ac:dyDescent="0.25">
      <c r="A17" s="181">
        <v>16</v>
      </c>
      <c r="B17" s="190" t="s">
        <v>272</v>
      </c>
      <c r="C17" s="192" t="s">
        <v>273</v>
      </c>
      <c r="D17" s="192" t="str">
        <f>[2]DanhMucKT!D15</f>
        <v>Đồng bộ toàn bộ bản vẽ, hồ sơ, cách thể hiện thông tin trên tât cả các dự án, là cơ sở triển khai hàng loạt công cụ tự động hoá trên toàn hệ thống, giúp tăng hiệu suất triển khai trên toàn hệ thống</v>
      </c>
    </row>
    <row r="18" spans="1:19" ht="57" x14ac:dyDescent="0.25">
      <c r="A18" s="181">
        <v>17</v>
      </c>
      <c r="B18" s="190" t="s">
        <v>274</v>
      </c>
      <c r="C18" s="191" t="s">
        <v>275</v>
      </c>
      <c r="D18" s="192" t="str">
        <f>[2]DanhMucKT!D16</f>
        <v>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v>
      </c>
    </row>
    <row r="19" spans="1:19" ht="32.25" customHeight="1" x14ac:dyDescent="0.25">
      <c r="A19" s="181">
        <v>18</v>
      </c>
      <c r="B19" s="190" t="s">
        <v>276</v>
      </c>
      <c r="C19" s="192" t="s">
        <v>277</v>
      </c>
      <c r="D19" s="192" t="str">
        <f>[2]DanhMucKT!D17</f>
        <v>Giảm thao tác thủ công, tăng hiệu suất triển khai các sản phẩm thiết kế, hỗ trợ tự động hoá, tính đầy đủ cho các bước tiếp theo hoặc chuyển giao thông tin</v>
      </c>
    </row>
    <row r="20" spans="1:19" ht="24" customHeight="1" x14ac:dyDescent="0.25">
      <c r="A20" s="181">
        <v>19</v>
      </c>
      <c r="B20" s="190" t="s">
        <v>278</v>
      </c>
      <c r="C20" s="191" t="s">
        <v>279</v>
      </c>
      <c r="D20" s="191" t="str">
        <f>[2]DanhMucKT!D18</f>
        <v>Nhằm rút ra các bài học trọng yếu, tránh sai lầm, tối ưu thiết kế qua từng dự án</v>
      </c>
    </row>
    <row r="21" spans="1:19" ht="72" x14ac:dyDescent="0.25">
      <c r="A21" s="181">
        <v>20</v>
      </c>
      <c r="B21" s="190" t="s">
        <v>280</v>
      </c>
      <c r="C21" s="192" t="s">
        <v>281</v>
      </c>
      <c r="D21" s="193" t="s">
        <v>282</v>
      </c>
    </row>
    <row r="22" spans="1:19" ht="71.25" x14ac:dyDescent="0.25">
      <c r="A22" s="181">
        <v>21</v>
      </c>
      <c r="B22" s="190" t="s">
        <v>283</v>
      </c>
      <c r="C22" s="191" t="s">
        <v>284</v>
      </c>
      <c r="D22" s="192" t="str">
        <f>[2]DanhMucKT!D21</f>
        <v>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v>
      </c>
    </row>
    <row r="23" spans="1:19" ht="33" customHeight="1" x14ac:dyDescent="0.25">
      <c r="A23" s="181">
        <v>22</v>
      </c>
      <c r="B23" s="190" t="s">
        <v>285</v>
      </c>
      <c r="C23" s="192" t="s">
        <v>286</v>
      </c>
      <c r="D23" s="192"/>
    </row>
    <row r="24" spans="1:19" ht="37.5" customHeight="1" x14ac:dyDescent="0.25">
      <c r="A24" s="181">
        <v>23</v>
      </c>
      <c r="B24" s="190" t="str">
        <f>[2]DanhMucHVAC!B19</f>
        <v>Các biểu mẫu so sánh giữa các phương án thiết kế</v>
      </c>
      <c r="C24" s="192" t="str">
        <f>[2]DanhMucHVAC!C19</f>
        <v>Bao gồm đầy đủ các tiêu chí so sánh giữa 2 hoặc 3 phương án thiết kế, các tiêu chí như : thông số kĩ thuật, vân hành, thi công, chi phí, tiến độ, thẩm mỹ, an toàn…</v>
      </c>
      <c r="D24" s="192" t="str">
        <f>[2]DanhMucHVAC!D19</f>
        <v>Nhằm triển khai nhanh phục vụ khách hàng hoặc lãnh đạo hoặc chính kĩ sư, chủ trì thiết kế ra quyết định trong việc lựa chon các phương án thiết kế chính</v>
      </c>
    </row>
    <row r="26" spans="1:19" x14ac:dyDescent="0.25">
      <c r="S26" s="149" t="s">
        <v>287</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E88D6-90EB-4841-B3B8-E3F85AD47ABD}">
  <dimension ref="A1:R25"/>
  <sheetViews>
    <sheetView workbookViewId="0">
      <selection activeCell="C11" sqref="C11"/>
    </sheetView>
  </sheetViews>
  <sheetFormatPr defaultRowHeight="15" x14ac:dyDescent="0.25"/>
  <cols>
    <col min="1" max="1" width="10.85546875" style="194" customWidth="1"/>
    <col min="2" max="2" width="64.28515625" style="149" customWidth="1"/>
    <col min="3" max="3" width="74.5703125" style="149" customWidth="1"/>
    <col min="4" max="4" width="79.85546875" style="149" customWidth="1"/>
    <col min="5" max="16384" width="9.140625" style="149"/>
  </cols>
  <sheetData>
    <row r="1" spans="1:4" ht="38.25" customHeight="1" x14ac:dyDescent="0.25">
      <c r="A1" s="189" t="s">
        <v>92</v>
      </c>
      <c r="B1" s="195" t="s">
        <v>288</v>
      </c>
      <c r="C1" s="195" t="s">
        <v>289</v>
      </c>
      <c r="D1" s="196" t="s">
        <v>290</v>
      </c>
    </row>
    <row r="2" spans="1:4" ht="86.25" x14ac:dyDescent="0.25">
      <c r="A2" s="181">
        <v>1</v>
      </c>
      <c r="B2" s="190" t="s">
        <v>291</v>
      </c>
      <c r="C2" s="192" t="s">
        <v>292</v>
      </c>
      <c r="D2" s="193" t="s">
        <v>293</v>
      </c>
    </row>
    <row r="3" spans="1:4" ht="57.75" x14ac:dyDescent="0.25">
      <c r="A3" s="181">
        <v>2</v>
      </c>
      <c r="B3" s="190" t="s">
        <v>294</v>
      </c>
      <c r="C3" s="191" t="s">
        <v>295</v>
      </c>
      <c r="D3" s="193" t="s">
        <v>296</v>
      </c>
    </row>
    <row r="4" spans="1:4" ht="43.5" x14ac:dyDescent="0.25">
      <c r="A4" s="181">
        <v>3</v>
      </c>
      <c r="B4" s="190" t="s">
        <v>243</v>
      </c>
      <c r="C4" s="191" t="s">
        <v>244</v>
      </c>
      <c r="D4" s="193" t="s">
        <v>297</v>
      </c>
    </row>
    <row r="5" spans="1:4" ht="43.5" x14ac:dyDescent="0.25">
      <c r="A5" s="181">
        <v>4</v>
      </c>
      <c r="B5" s="190" t="s">
        <v>298</v>
      </c>
      <c r="C5" s="191"/>
      <c r="D5" s="193" t="s">
        <v>299</v>
      </c>
    </row>
    <row r="6" spans="1:4" ht="43.5" x14ac:dyDescent="0.25">
      <c r="A6" s="181">
        <v>5</v>
      </c>
      <c r="B6" s="190" t="s">
        <v>300</v>
      </c>
      <c r="C6" s="191" t="s">
        <v>252</v>
      </c>
      <c r="D6" s="193" t="s">
        <v>301</v>
      </c>
    </row>
    <row r="7" spans="1:4" ht="43.5" x14ac:dyDescent="0.25">
      <c r="A7" s="181">
        <v>6</v>
      </c>
      <c r="B7" s="190" t="s">
        <v>302</v>
      </c>
      <c r="C7" s="191"/>
      <c r="D7" s="193" t="s">
        <v>303</v>
      </c>
    </row>
    <row r="8" spans="1:4" ht="57.75" x14ac:dyDescent="0.25">
      <c r="A8" s="181">
        <v>7</v>
      </c>
      <c r="B8" s="190" t="s">
        <v>304</v>
      </c>
      <c r="C8" s="192" t="s">
        <v>305</v>
      </c>
      <c r="D8" s="193" t="s">
        <v>306</v>
      </c>
    </row>
    <row r="9" spans="1:4" ht="43.5" x14ac:dyDescent="0.25">
      <c r="A9" s="181">
        <v>8</v>
      </c>
      <c r="B9" s="190" t="s">
        <v>307</v>
      </c>
      <c r="C9" s="192" t="s">
        <v>308</v>
      </c>
      <c r="D9" s="193" t="s">
        <v>309</v>
      </c>
    </row>
    <row r="10" spans="1:4" ht="29.25" x14ac:dyDescent="0.25">
      <c r="A10" s="181">
        <v>9</v>
      </c>
      <c r="B10" s="190" t="s">
        <v>310</v>
      </c>
      <c r="C10" s="191" t="s">
        <v>260</v>
      </c>
      <c r="D10" s="193" t="s">
        <v>311</v>
      </c>
    </row>
    <row r="11" spans="1:4" ht="43.5" x14ac:dyDescent="0.25">
      <c r="A11" s="181">
        <v>10</v>
      </c>
      <c r="B11" s="190" t="s">
        <v>261</v>
      </c>
      <c r="C11" s="191"/>
      <c r="D11" s="193" t="s">
        <v>312</v>
      </c>
    </row>
    <row r="12" spans="1:4" ht="29.25" x14ac:dyDescent="0.25">
      <c r="A12" s="181">
        <v>11</v>
      </c>
      <c r="B12" s="190" t="s">
        <v>313</v>
      </c>
      <c r="C12" s="191" t="s">
        <v>314</v>
      </c>
      <c r="D12" s="193" t="s">
        <v>315</v>
      </c>
    </row>
    <row r="13" spans="1:4" ht="29.25" x14ac:dyDescent="0.25">
      <c r="A13" s="181">
        <v>12</v>
      </c>
      <c r="B13" s="190" t="s">
        <v>265</v>
      </c>
      <c r="C13" s="192" t="s">
        <v>316</v>
      </c>
      <c r="D13" s="193" t="s">
        <v>317</v>
      </c>
    </row>
    <row r="14" spans="1:4" ht="29.25" x14ac:dyDescent="0.25">
      <c r="A14" s="181">
        <v>13</v>
      </c>
      <c r="B14" s="190" t="s">
        <v>318</v>
      </c>
      <c r="C14" s="191" t="s">
        <v>319</v>
      </c>
      <c r="D14" s="193" t="s">
        <v>320</v>
      </c>
    </row>
    <row r="15" spans="1:4" ht="43.5" x14ac:dyDescent="0.25">
      <c r="A15" s="181">
        <v>14</v>
      </c>
      <c r="B15" s="190" t="s">
        <v>321</v>
      </c>
      <c r="C15" s="192" t="s">
        <v>322</v>
      </c>
      <c r="D15" s="193" t="s">
        <v>309</v>
      </c>
    </row>
    <row r="16" spans="1:4" ht="43.5" x14ac:dyDescent="0.25">
      <c r="A16" s="181">
        <v>15</v>
      </c>
      <c r="B16" s="190" t="s">
        <v>323</v>
      </c>
      <c r="C16" s="191"/>
      <c r="D16" s="193" t="s">
        <v>324</v>
      </c>
    </row>
    <row r="17" spans="1:18" ht="29.25" x14ac:dyDescent="0.25">
      <c r="A17" s="181">
        <v>16</v>
      </c>
      <c r="B17" s="190" t="s">
        <v>276</v>
      </c>
      <c r="C17" s="192" t="s">
        <v>277</v>
      </c>
      <c r="D17" s="193" t="s">
        <v>325</v>
      </c>
    </row>
    <row r="18" spans="1:18" ht="30" x14ac:dyDescent="0.25">
      <c r="A18" s="181">
        <v>17</v>
      </c>
      <c r="B18" s="190" t="s">
        <v>326</v>
      </c>
      <c r="C18" s="191" t="s">
        <v>279</v>
      </c>
      <c r="D18" s="197" t="s">
        <v>327</v>
      </c>
    </row>
    <row r="19" spans="1:18" ht="29.25" x14ac:dyDescent="0.25">
      <c r="A19" s="181">
        <v>18</v>
      </c>
      <c r="B19" s="190" t="s">
        <v>328</v>
      </c>
      <c r="C19" s="191" t="s">
        <v>254</v>
      </c>
      <c r="D19" s="193" t="s">
        <v>329</v>
      </c>
    </row>
    <row r="20" spans="1:18" ht="71.25" x14ac:dyDescent="0.25">
      <c r="A20" s="181">
        <v>19</v>
      </c>
      <c r="B20" s="190" t="s">
        <v>330</v>
      </c>
      <c r="C20" s="192" t="s">
        <v>331</v>
      </c>
      <c r="D20" s="193" t="s">
        <v>282</v>
      </c>
    </row>
    <row r="21" spans="1:18" ht="57.75" x14ac:dyDescent="0.25">
      <c r="A21" s="181">
        <v>20</v>
      </c>
      <c r="B21" s="190" t="s">
        <v>283</v>
      </c>
      <c r="C21" s="191" t="s">
        <v>284</v>
      </c>
      <c r="D21" s="193" t="s">
        <v>332</v>
      </c>
    </row>
    <row r="25" spans="1:18" x14ac:dyDescent="0.25">
      <c r="R25" s="149" t="s">
        <v>287</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488D7-963F-426C-B245-3580DAE2FB41}">
  <dimension ref="A1:S21"/>
  <sheetViews>
    <sheetView topLeftCell="A4" workbookViewId="0">
      <selection activeCell="C11" sqref="C11"/>
    </sheetView>
  </sheetViews>
  <sheetFormatPr defaultRowHeight="15" x14ac:dyDescent="0.25"/>
  <cols>
    <col min="1" max="1" width="10.85546875" style="194" customWidth="1"/>
    <col min="2" max="2" width="64.85546875" style="149" customWidth="1"/>
    <col min="3" max="4" width="77" style="149" customWidth="1"/>
    <col min="5" max="16384" width="9.140625" style="149"/>
  </cols>
  <sheetData>
    <row r="1" spans="1:4" ht="32.25" customHeight="1" x14ac:dyDescent="0.25">
      <c r="A1" s="195" t="str">
        <f>[2]DanhMucKT!A1</f>
        <v>STT</v>
      </c>
      <c r="B1" s="195" t="str">
        <f>[2]DanhMucKT!B1</f>
        <v>Tài liệu</v>
      </c>
      <c r="C1" s="195" t="str">
        <f>[2]DanhMucKT!C1</f>
        <v>Mô tả yêu cầu</v>
      </c>
      <c r="D1" s="198" t="str">
        <f>[2]DanhMucKT!D1</f>
        <v>Mục đích</v>
      </c>
    </row>
    <row r="2" spans="1:4" ht="54.75" customHeight="1" x14ac:dyDescent="0.25">
      <c r="A2" s="181">
        <v>1</v>
      </c>
      <c r="B2" s="199" t="s">
        <v>333</v>
      </c>
      <c r="C2" s="191" t="s">
        <v>334</v>
      </c>
      <c r="D2" s="192" t="str">
        <f>[2]DanhMucHVAC!D2</f>
        <v>Có biểu mẫu triển khai theo một kiểu nhất định từ bố cục thông tin đến diễn giải chi tiết , chia thuyết minh ra theo phân loại hệ thống đã thiết kế, các dự án có thay đổi thì chỉ cần xác định chính xác các vị trí cần thay đổi thôi, phục vụ hồ sơ pháp lý, giải trình khi được yêu cầu</v>
      </c>
    </row>
    <row r="3" spans="1:4" ht="42.75" customHeight="1" x14ac:dyDescent="0.25">
      <c r="A3" s="181">
        <v>2</v>
      </c>
      <c r="B3" s="199" t="s">
        <v>243</v>
      </c>
      <c r="C3" s="191" t="s">
        <v>244</v>
      </c>
      <c r="D3" s="192" t="str">
        <f>[2]DanhMucHVAC!D3</f>
        <v>Phải thống nhất để phục vụ quá trình tìm kiếm thông tin nhanh, hiệu quả, sử dụng thông tin cho các mục đích như chuyển giao, lấy khối lượng, tự động hoá, quản lý hệ thống….</v>
      </c>
    </row>
    <row r="4" spans="1:4" ht="40.5" customHeight="1" x14ac:dyDescent="0.25">
      <c r="A4" s="181">
        <v>3</v>
      </c>
      <c r="B4" s="199" t="s">
        <v>335</v>
      </c>
      <c r="C4" s="191"/>
      <c r="D4" s="192" t="str">
        <f>[2]DanhMucHVAC!D4</f>
        <v>Nhằm cung cấp công cụ tính toán, quy định, quy chuẩn, tiêu châunr tính toán nhanh nhất cho cán bộ triển khai, phục vụ giải trình khi được các bên yêu cầu</v>
      </c>
    </row>
    <row r="5" spans="1:4" ht="40.5" customHeight="1" x14ac:dyDescent="0.25">
      <c r="A5" s="181">
        <v>4</v>
      </c>
      <c r="B5" s="199" t="s">
        <v>336</v>
      </c>
      <c r="C5" s="191" t="s">
        <v>252</v>
      </c>
      <c r="D5" s="192" t="str">
        <f>[2]DanhMucHVAC!D5</f>
        <v>Nhằm chuẩn bị nhanh chóng trước khi làm việc với khách hàng, giảm thời gian làm rõ thông tin, tránh hiểu nhầm dẫn đến điều chỉnh thiết kế nhiều, thiết kê sai ý đồ khách hàng</v>
      </c>
    </row>
    <row r="6" spans="1:4" ht="43.5" customHeight="1" x14ac:dyDescent="0.25">
      <c r="A6" s="181">
        <v>5</v>
      </c>
      <c r="B6" s="190" t="s">
        <v>337</v>
      </c>
      <c r="C6" s="191"/>
      <c r="D6" s="192" t="str">
        <f>[2]DanhMucHVAC!D6</f>
        <v>Nhằm kiểm soát nhanh các tài liệu đầu vào để kịp thời bổ sung trong quá trình làm việc với khách hàng, tránh thiết kế ở trạng thái thiếu thông tin dẫn đến điều chỉnh nhiều</v>
      </c>
    </row>
    <row r="7" spans="1:4" ht="66.75" customHeight="1" x14ac:dyDescent="0.25">
      <c r="A7" s="181">
        <v>6</v>
      </c>
      <c r="B7" s="199" t="s">
        <v>338</v>
      </c>
      <c r="C7" s="192" t="s">
        <v>305</v>
      </c>
      <c r="D7" s="192" t="str">
        <f>[2]DanhMucHVAC!D7</f>
        <v>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BSV có lợi thế đối tác chiến lượng hoặc liên quan đến BPTC, hồ sơ chất lượng QAQC...</v>
      </c>
    </row>
    <row r="8" spans="1:4" ht="71.25" x14ac:dyDescent="0.25">
      <c r="A8" s="181">
        <v>7</v>
      </c>
      <c r="B8" s="190" t="s">
        <v>339</v>
      </c>
      <c r="C8" s="192" t="s">
        <v>340</v>
      </c>
      <c r="D8" s="192" t="str">
        <f>[2]DanhMucHVAC!D8</f>
        <v>Đồng bộ toàn bộ bản vẽ, hồ sơ, cách thể hiện thông tin trên tât cả các dự án, là cơ sở triển khai hàng loạt công cụ tự động hoá trên toàn hệ thống, giúp tăng hiệu suất triển khai trên toàn hệ thống</v>
      </c>
    </row>
    <row r="9" spans="1:4" ht="39.75" customHeight="1" x14ac:dyDescent="0.25">
      <c r="A9" s="181">
        <v>8</v>
      </c>
      <c r="B9" s="199" t="s">
        <v>341</v>
      </c>
      <c r="C9" s="191" t="s">
        <v>260</v>
      </c>
      <c r="D9" s="192" t="str">
        <f>[2]DanhMucHVAC!D9</f>
        <v>Triển khai nhanh tiến độ thiết kế khi làm việc với khách hàng, căn cứ kiểm soát kết qủa công việc khi triển khai, căn cứ phối hợp các bộ môn khác khi triển khai</v>
      </c>
    </row>
    <row r="10" spans="1:4" ht="51" customHeight="1" x14ac:dyDescent="0.25">
      <c r="A10" s="181">
        <v>9</v>
      </c>
      <c r="B10" s="199" t="s">
        <v>261</v>
      </c>
      <c r="C10" s="192" t="s">
        <v>262</v>
      </c>
      <c r="D10" s="192" t="str">
        <f>[2]DanhMucHVAC!D10</f>
        <v>Triển khai nhanh kế hoạch triển khai bản vẽ, căn cứ để quản lý thay đổi, quản lý hồ sơ đóng gói, tự động hoá một số thao tác khi triển khai bản vẽ, đồng bộ cách đặt tên trên toàn hệ thống</v>
      </c>
    </row>
    <row r="11" spans="1:4" ht="39.75" customHeight="1" x14ac:dyDescent="0.25">
      <c r="A11" s="181">
        <v>10</v>
      </c>
      <c r="B11" s="199" t="s">
        <v>263</v>
      </c>
      <c r="C11" s="192" t="s">
        <v>342</v>
      </c>
      <c r="D11" s="192" t="str">
        <f>[2]DanhMucHVAC!D11</f>
        <v>Vai trò như 1 tài liệu mô tả, hướng dẫn, giải thích cho cả khách hàng lẫn các cán bộ trẻ có nhu cầu tìm hiểu trong nội bộ, đào tạo trẻ</v>
      </c>
    </row>
    <row r="12" spans="1:4" ht="42.75" x14ac:dyDescent="0.25">
      <c r="A12" s="181">
        <v>11</v>
      </c>
      <c r="B12" s="199" t="s">
        <v>343</v>
      </c>
      <c r="C12" s="192" t="s">
        <v>344</v>
      </c>
      <c r="D12" s="192" t="str">
        <f>[2]DanhMucHVAC!D12</f>
        <v>Như một định hướng thiết kế và tài liệu mẫu để điều chỉnh nhanh trong quá trình triển khai thiết kế</v>
      </c>
    </row>
    <row r="13" spans="1:4" ht="45" customHeight="1" x14ac:dyDescent="0.25">
      <c r="A13" s="181">
        <v>12</v>
      </c>
      <c r="B13" s="199" t="s">
        <v>345</v>
      </c>
      <c r="C13" s="192" t="s">
        <v>273</v>
      </c>
      <c r="D13" s="192" t="str">
        <f>[2]DanhMucHVAC!D13</f>
        <v>Đồng bộ toàn bộ bản vẽ, hồ sơ, cách thể hiện thông tin trên tât cả các dự án, là cơ sở triển khai hàng loạt công cụ tự động hoá trên toàn hệ thống, giúp tăng hiệu suất triển khai trên toàn hệ thống</v>
      </c>
    </row>
    <row r="14" spans="1:4" ht="44.25" customHeight="1" x14ac:dyDescent="0.25">
      <c r="A14" s="181">
        <v>13</v>
      </c>
      <c r="B14" s="199" t="s">
        <v>274</v>
      </c>
      <c r="C14" s="191" t="s">
        <v>275</v>
      </c>
      <c r="D14" s="192" t="str">
        <f>[2]DanhMucHVAC!D14</f>
        <v>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v>
      </c>
    </row>
    <row r="15" spans="1:4" ht="40.5" customHeight="1" x14ac:dyDescent="0.25">
      <c r="A15" s="181">
        <v>14</v>
      </c>
      <c r="B15" s="199" t="s">
        <v>346</v>
      </c>
      <c r="C15" s="192" t="s">
        <v>347</v>
      </c>
      <c r="D15" s="192" t="str">
        <f>[2]DanhMucHVAC!D15</f>
        <v>Giảm thao tác thủ công, tăng hiệu suất triển khai các sản phẩm thiết kế, hỗ trợ tự động hoá, tính đầy đủ cho các bước tiếp theo hoặc chuyển giao thông tin</v>
      </c>
    </row>
    <row r="16" spans="1:4" ht="33.75" customHeight="1" x14ac:dyDescent="0.25">
      <c r="A16" s="181">
        <v>15</v>
      </c>
      <c r="B16" s="199" t="s">
        <v>348</v>
      </c>
      <c r="C16" s="191" t="s">
        <v>349</v>
      </c>
      <c r="D16" s="192" t="str">
        <f>[2]DanhMucHVAC!D16</f>
        <v>Nhằm rút ra các bài học trọng yếu, tránh sai lầm, tối ưu thiết kế qua từng dự án</v>
      </c>
    </row>
    <row r="17" spans="1:19" ht="63.75" customHeight="1" x14ac:dyDescent="0.25">
      <c r="A17" s="181">
        <v>16</v>
      </c>
      <c r="B17" s="199" t="s">
        <v>330</v>
      </c>
      <c r="C17" s="192" t="s">
        <v>350</v>
      </c>
      <c r="D17" s="192" t="str">
        <f>[2]DanhMucHVAC!D17</f>
        <v>Nhằm điển hình hoá các hạng mục trong phân khúc công ty hay triển khai, nhờ đó giảm thời gian triển khai trên toàn hệ thống, mang lại lợi thế khi đấu thầu, thi công, là tài liệu định hướng, đề xuất cho khách hàng, từ đây có thể định hướng BPTC, giảm chi phí, đẩy nhanh tiến độ, nâng cao chất lượng khi xây dựng</v>
      </c>
    </row>
    <row r="18" spans="1:19" ht="62.25" customHeight="1" x14ac:dyDescent="0.25">
      <c r="A18" s="181">
        <v>17</v>
      </c>
      <c r="B18" s="199" t="s">
        <v>283</v>
      </c>
      <c r="C18" s="191" t="s">
        <v>284</v>
      </c>
      <c r="D18" s="192" t="str">
        <f>[2]DanhMucHVAC!D18</f>
        <v>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v>
      </c>
    </row>
    <row r="19" spans="1:19" ht="42.75" x14ac:dyDescent="0.25">
      <c r="A19" s="181">
        <v>18</v>
      </c>
      <c r="B19" s="199" t="str">
        <f>[2]DanhMucHVAC!B19</f>
        <v>Các biểu mẫu so sánh giữa các phương án thiết kế</v>
      </c>
      <c r="C19" s="192" t="str">
        <f>[2]DanhMucHVAC!C19</f>
        <v>Bao gồm đầy đủ các tiêu chí so sánh giữa 2 hoặc 3 phương án thiết kế, các tiêu chí như : thông số kĩ thuật, vân hành, thi công, chi phí, tiến độ, thẩm mỹ, an toàn…</v>
      </c>
      <c r="D19" s="192" t="str">
        <f>[2]DanhMucHVAC!D19</f>
        <v>Nhằm triển khai nhanh phục vụ khách hàng hoặc lãnh đạo hoặc chính kĩ sư, chủ trì thiết kế ra quyết định trong việc lựa chon các phương án thiết kế chính</v>
      </c>
    </row>
    <row r="21" spans="1:19" x14ac:dyDescent="0.25">
      <c r="S21" s="149" t="s">
        <v>287</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F0768-BDF1-4990-9916-CB8C2032CDCD}">
  <dimension ref="A1:S21"/>
  <sheetViews>
    <sheetView topLeftCell="A8" workbookViewId="0">
      <selection activeCell="C17" sqref="C17"/>
    </sheetView>
  </sheetViews>
  <sheetFormatPr defaultRowHeight="15" x14ac:dyDescent="0.25"/>
  <cols>
    <col min="1" max="1" width="10.85546875" style="194" customWidth="1"/>
    <col min="2" max="2" width="64.85546875" style="149" customWidth="1"/>
    <col min="3" max="4" width="77" style="149" customWidth="1"/>
    <col min="5" max="16384" width="9.140625" style="149"/>
  </cols>
  <sheetData>
    <row r="1" spans="1:4" ht="32.25" customHeight="1" x14ac:dyDescent="0.25">
      <c r="A1" s="189" t="str">
        <f>[2]DanhMucKT!A1</f>
        <v>STT</v>
      </c>
      <c r="B1" s="189" t="str">
        <f>[2]DanhMucKT!B1</f>
        <v>Tài liệu</v>
      </c>
      <c r="C1" s="189" t="str">
        <f>[2]DanhMucKT!C1</f>
        <v>Mô tả yêu cầu</v>
      </c>
      <c r="D1" s="198" t="str">
        <f>[2]DanhMucKT!D1</f>
        <v>Mục đích</v>
      </c>
    </row>
    <row r="2" spans="1:4" ht="63" customHeight="1" x14ac:dyDescent="0.25">
      <c r="A2" s="181">
        <v>1</v>
      </c>
      <c r="B2" s="190" t="s">
        <v>351</v>
      </c>
      <c r="C2" s="191" t="s">
        <v>334</v>
      </c>
      <c r="D2" s="192" t="s">
        <v>352</v>
      </c>
    </row>
    <row r="3" spans="1:4" ht="45.75" customHeight="1" x14ac:dyDescent="0.25">
      <c r="A3" s="181">
        <v>2</v>
      </c>
      <c r="B3" s="199" t="s">
        <v>243</v>
      </c>
      <c r="C3" s="191" t="s">
        <v>244</v>
      </c>
      <c r="D3" s="192" t="str">
        <f>[2]DanhMucKT!D4</f>
        <v>Phải thống nhất để phục vụ quá trình tìm kiếm thông tin nhanh, hiệu quả, sử dụng thông tin cho các mục đích như chuyển giao, lấy khối lượng, tự động hoá, quản lý hệ thống….</v>
      </c>
    </row>
    <row r="4" spans="1:4" ht="36" customHeight="1" x14ac:dyDescent="0.25">
      <c r="A4" s="181">
        <v>3</v>
      </c>
      <c r="B4" s="199" t="s">
        <v>353</v>
      </c>
      <c r="C4" s="191" t="s">
        <v>354</v>
      </c>
      <c r="D4" s="192" t="str">
        <f>[2]DanhMucKT!D14</f>
        <v>Nhằm cung cấp công cụ tính toán, quy định, quy chuẩn, tiêu châunr tính toán nhanh nhất cho cán bộ triển khai, phục vụ giải trình khi được các bên yêu cầu</v>
      </c>
    </row>
    <row r="5" spans="1:4" ht="45.75" customHeight="1" x14ac:dyDescent="0.25">
      <c r="A5" s="181">
        <v>4</v>
      </c>
      <c r="B5" s="199" t="s">
        <v>336</v>
      </c>
      <c r="C5" s="191" t="s">
        <v>252</v>
      </c>
      <c r="D5" s="192" t="str">
        <f>[2]DanhMucKT!D6</f>
        <v>Nhằm chuẩn bị nhanh chóng trước khi làm việc với khách hàng, giảm thời gian làm rõ thông tin, tránh hiểu nhầm dẫn đến điều chỉnh thiết kế nhiều, thiết kê sai ý đồ khách hàng</v>
      </c>
    </row>
    <row r="6" spans="1:4" ht="44.25" customHeight="1" x14ac:dyDescent="0.25">
      <c r="A6" s="181">
        <v>5</v>
      </c>
      <c r="B6" s="190" t="s">
        <v>355</v>
      </c>
      <c r="C6" s="191"/>
      <c r="D6" s="192" t="str">
        <f>[2]DanhMucKT!D7</f>
        <v>Nhằm kiểm soát nhanh các tài liệu đầu vào để kịp thời bổ sung trong quá trình làm việc với khách hàng, tránh thiết kế ở trạng thái thiếu thông tin dẫn đến điều chỉnh nhiều</v>
      </c>
    </row>
    <row r="7" spans="1:4" ht="59.25" customHeight="1" x14ac:dyDescent="0.25">
      <c r="A7" s="181">
        <v>6</v>
      </c>
      <c r="B7" s="199" t="s">
        <v>356</v>
      </c>
      <c r="C7" s="192" t="s">
        <v>305</v>
      </c>
      <c r="D7" s="192" t="str">
        <f>[2]DanhMucKT!D8</f>
        <v>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BSV có lợi thế đối tác chiến lượng hoặc liên quan đến BPTC, hồ sơ chất lượng QAQC...</v>
      </c>
    </row>
    <row r="8" spans="1:4" ht="57" x14ac:dyDescent="0.25">
      <c r="A8" s="181">
        <v>7</v>
      </c>
      <c r="B8" s="190" t="s">
        <v>357</v>
      </c>
      <c r="C8" s="192" t="s">
        <v>358</v>
      </c>
      <c r="D8" s="192" t="str">
        <f>[2]DanhMucKT!D9</f>
        <v>Đồng bộ toàn bộ bản vẽ, hồ sơ, cách thể hiện thông tin trên tât cả các dự án, là cơ sở triển khai hàng loạt công cụ tự động hoá trên toàn hệ thống, giúp tăng hiệu suất triển khai trên toàn hệ thống</v>
      </c>
    </row>
    <row r="9" spans="1:4" ht="28.5" customHeight="1" x14ac:dyDescent="0.25">
      <c r="A9" s="181">
        <v>8</v>
      </c>
      <c r="B9" s="199" t="s">
        <v>359</v>
      </c>
      <c r="C9" s="191" t="s">
        <v>260</v>
      </c>
      <c r="D9" s="192" t="str">
        <f>[2]DanhMucKT!D10</f>
        <v>Triển khai nhanh tiến độ thiết kế khi làm việc với khách hàng, căn cứ kiểm soát kết qủa công việc khi triển khai, căn cứ phối hợp các bộ môn khác khi triển khai</v>
      </c>
    </row>
    <row r="10" spans="1:4" ht="49.5" customHeight="1" x14ac:dyDescent="0.25">
      <c r="A10" s="181">
        <v>9</v>
      </c>
      <c r="B10" s="199" t="s">
        <v>261</v>
      </c>
      <c r="C10" s="192" t="s">
        <v>262</v>
      </c>
      <c r="D10" s="192" t="str">
        <f>[2]DanhMucKT!D11</f>
        <v>Triển khai nhanh kế hoạch triển khai bản vẽ, căn cứ để quản lý thay đổi, quản lý hồ sơ đóng gói, tự động hoá một số thao tác khi triển khai bản vẽ, đồng bộ cách đặt tên trên toàn hệ thống</v>
      </c>
    </row>
    <row r="11" spans="1:4" ht="28.5" customHeight="1" x14ac:dyDescent="0.25">
      <c r="A11" s="181">
        <v>10</v>
      </c>
      <c r="B11" s="199" t="s">
        <v>263</v>
      </c>
      <c r="C11" s="192" t="s">
        <v>360</v>
      </c>
      <c r="D11" s="192" t="str">
        <f>[2]DanhMucKT!D12</f>
        <v>Vai trò như 1 tài liệu mô tả, hướng dẫn, giải thích cho cả khách hàng lẫn các cán bộ trẻ có nhu cầu tìm hiểu trong nội bộ, đào tạo trẻ</v>
      </c>
    </row>
    <row r="12" spans="1:4" ht="28.5" x14ac:dyDescent="0.25">
      <c r="A12" s="181">
        <v>11</v>
      </c>
      <c r="B12" s="199" t="s">
        <v>343</v>
      </c>
      <c r="C12" s="192" t="s">
        <v>361</v>
      </c>
      <c r="D12" s="192" t="s">
        <v>362</v>
      </c>
    </row>
    <row r="13" spans="1:4" ht="42.75" customHeight="1" x14ac:dyDescent="0.25">
      <c r="A13" s="181">
        <v>12</v>
      </c>
      <c r="B13" s="199" t="s">
        <v>363</v>
      </c>
      <c r="C13" s="192" t="s">
        <v>273</v>
      </c>
      <c r="D13" s="192" t="str">
        <f>[2]DanhMucKT!D15</f>
        <v>Đồng bộ toàn bộ bản vẽ, hồ sơ, cách thể hiện thông tin trên tât cả các dự án, là cơ sở triển khai hàng loạt công cụ tự động hoá trên toàn hệ thống, giúp tăng hiệu suất triển khai trên toàn hệ thống</v>
      </c>
    </row>
    <row r="14" spans="1:4" ht="45" customHeight="1" x14ac:dyDescent="0.25">
      <c r="A14" s="181">
        <v>13</v>
      </c>
      <c r="B14" s="199" t="s">
        <v>274</v>
      </c>
      <c r="C14" s="191" t="s">
        <v>275</v>
      </c>
      <c r="D14" s="192" t="str">
        <f>[2]DanhMucKT!D16</f>
        <v>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v>
      </c>
    </row>
    <row r="15" spans="1:4" ht="31.5" customHeight="1" x14ac:dyDescent="0.25">
      <c r="A15" s="181">
        <v>14</v>
      </c>
      <c r="B15" s="199" t="s">
        <v>346</v>
      </c>
      <c r="C15" s="192" t="s">
        <v>347</v>
      </c>
      <c r="D15" s="192" t="str">
        <f>[2]DanhMucKT!D17</f>
        <v>Giảm thao tác thủ công, tăng hiệu suất triển khai các sản phẩm thiết kế, hỗ trợ tự động hoá, tính đầy đủ cho các bước tiếp theo hoặc chuyển giao thông tin</v>
      </c>
    </row>
    <row r="16" spans="1:4" ht="32.25" customHeight="1" x14ac:dyDescent="0.25">
      <c r="A16" s="181">
        <v>15</v>
      </c>
      <c r="B16" s="199" t="s">
        <v>278</v>
      </c>
      <c r="C16" s="191" t="s">
        <v>279</v>
      </c>
      <c r="D16" s="192" t="str">
        <f>[2]DanhMucKT!D18</f>
        <v>Nhằm rút ra các bài học trọng yếu, tránh sai lầm, tối ưu thiết kế qua từng dự án</v>
      </c>
    </row>
    <row r="17" spans="1:19" ht="57" customHeight="1" x14ac:dyDescent="0.25">
      <c r="A17" s="181">
        <v>16</v>
      </c>
      <c r="B17" s="199" t="s">
        <v>330</v>
      </c>
      <c r="C17" s="192" t="s">
        <v>364</v>
      </c>
      <c r="D17" s="192" t="str">
        <f>[2]DanhMucKT!D20</f>
        <v>Nhằm điển hình hoá các hạng mục trong phân khúc công ty hay triển khai, nhờ đó giảm thời gian triển khai trên toàn hệ thống, mang lại lợi thế khi đấu thầu, thi công, là tài liệu định hướng, đề xuất cho khách hàng, từ đây có thể định hướng BPTC, giảm chi phí, đẩy nhanh tiến độ, nâng cao chất lượng khi xây dựng</v>
      </c>
    </row>
    <row r="18" spans="1:19" ht="59.25" customHeight="1" x14ac:dyDescent="0.25">
      <c r="A18" s="181">
        <v>17</v>
      </c>
      <c r="B18" s="199" t="s">
        <v>283</v>
      </c>
      <c r="C18" s="191" t="s">
        <v>284</v>
      </c>
      <c r="D18" s="192" t="str">
        <f>[2]DanhMucKT!D21</f>
        <v>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v>
      </c>
    </row>
    <row r="19" spans="1:19" ht="42.75" x14ac:dyDescent="0.25">
      <c r="A19" s="181">
        <v>18</v>
      </c>
      <c r="B19" s="199" t="s">
        <v>365</v>
      </c>
      <c r="C19" s="192" t="s">
        <v>366</v>
      </c>
      <c r="D19" s="192" t="s">
        <v>367</v>
      </c>
    </row>
    <row r="21" spans="1:19" x14ac:dyDescent="0.25">
      <c r="S21" s="149" t="s">
        <v>287</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2C2B-2C43-4F18-8F05-82D44D44B93C}">
  <dimension ref="A1:S21"/>
  <sheetViews>
    <sheetView workbookViewId="0">
      <selection activeCell="D8" sqref="D8"/>
    </sheetView>
  </sheetViews>
  <sheetFormatPr defaultRowHeight="15" x14ac:dyDescent="0.25"/>
  <cols>
    <col min="1" max="1" width="10.85546875" style="194" customWidth="1"/>
    <col min="2" max="2" width="65.85546875" style="149" customWidth="1"/>
    <col min="3" max="4" width="77" style="149" customWidth="1"/>
    <col min="5" max="16384" width="9.140625" style="149"/>
  </cols>
  <sheetData>
    <row r="1" spans="1:4" ht="32.25" customHeight="1" x14ac:dyDescent="0.25">
      <c r="A1" s="189" t="str">
        <f>[2]DanhMucKT!A1</f>
        <v>STT</v>
      </c>
      <c r="B1" s="189" t="str">
        <f>[2]DanhMucKT!B1</f>
        <v>Tài liệu</v>
      </c>
      <c r="C1" s="189" t="str">
        <f>[2]DanhMucKT!C1</f>
        <v>Mô tả yêu cầu</v>
      </c>
      <c r="D1" s="198" t="str">
        <f>[2]DanhMucKT!D1</f>
        <v>Mục đích</v>
      </c>
    </row>
    <row r="2" spans="1:4" ht="57.75" customHeight="1" x14ac:dyDescent="0.25">
      <c r="A2" s="181">
        <v>1</v>
      </c>
      <c r="B2" s="190" t="s">
        <v>368</v>
      </c>
      <c r="C2" s="191" t="s">
        <v>334</v>
      </c>
      <c r="D2" s="192" t="str">
        <f>[2]DanhMucDien!D2</f>
        <v>Có biểu mẫu triển khai theo một kiểu nhất định từ bố cục thông tin đến diễn giải chi tiết , chia thuyết minh ra theo phân loại hệ thống đã thiết kế, các dự án có thay đổi thì chỉ cần xác định chính xác các vị trí cần thay đổi thôi, phục vụ hồ sơ pháp lý, giải trình khi được yêu cầu</v>
      </c>
    </row>
    <row r="3" spans="1:4" ht="51" customHeight="1" x14ac:dyDescent="0.25">
      <c r="A3" s="181">
        <v>2</v>
      </c>
      <c r="B3" s="190" t="s">
        <v>243</v>
      </c>
      <c r="C3" s="191" t="s">
        <v>244</v>
      </c>
      <c r="D3" s="192" t="str">
        <f>[2]DanhMucDien!D3</f>
        <v>Phải thống nhất để phục vụ quá trình tìm kiếm thông tin nhanh, hiệu quả, sử dụng thông tin cho các mục đích như chuyển giao, lấy khối lượng, tự động hoá, quản lý hệ thống….</v>
      </c>
    </row>
    <row r="4" spans="1:4" ht="33.75" customHeight="1" x14ac:dyDescent="0.25">
      <c r="A4" s="181">
        <v>3</v>
      </c>
      <c r="B4" s="190" t="s">
        <v>369</v>
      </c>
      <c r="C4" s="191"/>
      <c r="D4" s="192" t="str">
        <f>[2]DanhMucDien!D4</f>
        <v>Nhằm cung cấp công cụ tính toán, quy định, quy chuẩn, tiêu châunr tính toán nhanh nhất cho cán bộ triển khai, phục vụ giải trình khi được các bên yêu cầu</v>
      </c>
    </row>
    <row r="5" spans="1:4" ht="58.5" customHeight="1" x14ac:dyDescent="0.25">
      <c r="A5" s="181">
        <v>4</v>
      </c>
      <c r="B5" s="190" t="s">
        <v>370</v>
      </c>
      <c r="C5" s="191" t="s">
        <v>252</v>
      </c>
      <c r="D5" s="192" t="str">
        <f>[2]DanhMucDien!D5</f>
        <v>Nhằm chuẩn bị nhanh chóng trước khi làm việc với khách hàng, giảm thời gian làm rõ thông tin, tránh hiểu nhầm dẫn đến điều chỉnh thiết kế nhiều, thiết kê sai ý đồ khách hàng</v>
      </c>
    </row>
    <row r="6" spans="1:4" ht="55.5" customHeight="1" x14ac:dyDescent="0.25">
      <c r="A6" s="181">
        <v>5</v>
      </c>
      <c r="B6" s="190" t="s">
        <v>371</v>
      </c>
      <c r="C6" s="191"/>
      <c r="D6" s="192" t="str">
        <f>[2]DanhMucDien!D6</f>
        <v>Nhằm kiểm soát nhanh các tài liệu đầu vào để kịp thời bổ sung trong quá trình làm việc với khách hàng, tránh thiết kế ở trạng thái thiếu thông tin dẫn đến điều chỉnh nhiều</v>
      </c>
    </row>
    <row r="7" spans="1:4" ht="67.5" customHeight="1" x14ac:dyDescent="0.25">
      <c r="A7" s="181">
        <v>6</v>
      </c>
      <c r="B7" s="190" t="s">
        <v>338</v>
      </c>
      <c r="C7" s="192" t="s">
        <v>305</v>
      </c>
      <c r="D7" s="192" t="str">
        <f>[2]DanhMucDien!D7</f>
        <v>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BSV có lợi thế đối tác chiến lượng hoặc liên quan đến BPTC, hồ sơ chất lượng QAQC...</v>
      </c>
    </row>
    <row r="8" spans="1:4" ht="71.25" x14ac:dyDescent="0.25">
      <c r="A8" s="181">
        <v>7</v>
      </c>
      <c r="B8" s="190" t="s">
        <v>372</v>
      </c>
      <c r="C8" s="192" t="s">
        <v>373</v>
      </c>
      <c r="D8" s="192" t="str">
        <f>[2]DanhMucDien!D8</f>
        <v>Đồng bộ toàn bộ bản vẽ, hồ sơ, cách thể hiện thông tin trên tât cả các dự án, là cơ sở triển khai hàng loạt công cụ tự động hoá trên toàn hệ thống, giúp tăng hiệu suất triển khai trên toàn hệ thống</v>
      </c>
    </row>
    <row r="9" spans="1:4" ht="42.75" customHeight="1" x14ac:dyDescent="0.25">
      <c r="A9" s="181">
        <v>8</v>
      </c>
      <c r="B9" s="190" t="s">
        <v>374</v>
      </c>
      <c r="C9" s="191" t="s">
        <v>260</v>
      </c>
      <c r="D9" s="192" t="str">
        <f>[2]DanhMucDien!D9</f>
        <v>Triển khai nhanh tiến độ thiết kế khi làm việc với khách hàng, căn cứ kiểm soát kết qủa công việc khi triển khai, căn cứ phối hợp các bộ môn khác khi triển khai</v>
      </c>
    </row>
    <row r="10" spans="1:4" ht="54" customHeight="1" x14ac:dyDescent="0.25">
      <c r="A10" s="181">
        <v>9</v>
      </c>
      <c r="B10" s="190" t="s">
        <v>261</v>
      </c>
      <c r="C10" s="192" t="s">
        <v>262</v>
      </c>
      <c r="D10" s="192" t="str">
        <f>[2]DanhMucDien!D10</f>
        <v>Triển khai nhanh kế hoạch triển khai bản vẽ, căn cứ để quản lý thay đổi, quản lý hồ sơ đóng gói, tự động hoá một số thao tác khi triển khai bản vẽ, đồng bộ cách đặt tên trên toàn hệ thống</v>
      </c>
    </row>
    <row r="11" spans="1:4" ht="28.5" x14ac:dyDescent="0.25">
      <c r="A11" s="181">
        <v>10</v>
      </c>
      <c r="B11" s="190" t="s">
        <v>263</v>
      </c>
      <c r="C11" s="192" t="s">
        <v>375</v>
      </c>
      <c r="D11" s="192" t="str">
        <f>[2]DanhMucDien!D11</f>
        <v>Vai trò như 1 tài liệu mô tả, hướng dẫn, giải thích cho cả khách hàng lẫn các cán bộ trẻ có nhu cầu tìm hiểu trong nội bộ, đào tạo trẻ</v>
      </c>
    </row>
    <row r="12" spans="1:4" ht="42.75" x14ac:dyDescent="0.25">
      <c r="A12" s="181">
        <v>11</v>
      </c>
      <c r="B12" s="190" t="s">
        <v>376</v>
      </c>
      <c r="C12" s="192" t="s">
        <v>344</v>
      </c>
      <c r="D12" s="192" t="str">
        <f>[2]DanhMucDien!D12</f>
        <v>Như một định hướng thiết kế và tài liệu mẫu để điều chỉnh nhanh trong quá trình triển khai thiết kế</v>
      </c>
    </row>
    <row r="13" spans="1:4" ht="51" customHeight="1" x14ac:dyDescent="0.25">
      <c r="A13" s="181">
        <v>12</v>
      </c>
      <c r="B13" s="190" t="s">
        <v>377</v>
      </c>
      <c r="C13" s="192" t="s">
        <v>273</v>
      </c>
      <c r="D13" s="192" t="str">
        <f>[2]DanhMucDien!D13</f>
        <v>Đồng bộ toàn bộ bản vẽ, hồ sơ, cách thể hiện thông tin trên tât cả các dự án, là cơ sở triển khai hàng loạt công cụ tự động hoá trên toàn hệ thống, giúp tăng hiệu suất triển khai trên toàn hệ thống</v>
      </c>
    </row>
    <row r="14" spans="1:4" ht="57" customHeight="1" x14ac:dyDescent="0.25">
      <c r="A14" s="181">
        <v>13</v>
      </c>
      <c r="B14" s="190" t="s">
        <v>274</v>
      </c>
      <c r="C14" s="191" t="s">
        <v>275</v>
      </c>
      <c r="D14" s="192" t="str">
        <f>[2]DanhMucDien!D14</f>
        <v>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v>
      </c>
    </row>
    <row r="15" spans="1:4" ht="35.25" customHeight="1" x14ac:dyDescent="0.25">
      <c r="A15" s="181">
        <v>14</v>
      </c>
      <c r="B15" s="190" t="s">
        <v>346</v>
      </c>
      <c r="C15" s="192" t="s">
        <v>347</v>
      </c>
      <c r="D15" s="192" t="str">
        <f>[2]DanhMucDien!D15</f>
        <v>Giảm thao tác thủ công, tăng hiệu suất triển khai các sản phẩm thiết kế, hỗ trợ tự động hoá, tính đầy đủ cho các bước tiếp theo hoặc chuyển giao thông tin</v>
      </c>
    </row>
    <row r="16" spans="1:4" ht="30" x14ac:dyDescent="0.25">
      <c r="A16" s="181">
        <v>15</v>
      </c>
      <c r="B16" s="190" t="s">
        <v>378</v>
      </c>
      <c r="C16" s="191" t="s">
        <v>349</v>
      </c>
      <c r="D16" s="192" t="str">
        <f>[2]DanhMucDien!D16</f>
        <v>Nhằm rút ra các bài học trọng yếu, tránh sai lầm, tối ưu thiết kế qua từng dự án</v>
      </c>
    </row>
    <row r="17" spans="1:19" ht="59.25" customHeight="1" x14ac:dyDescent="0.25">
      <c r="A17" s="181">
        <v>16</v>
      </c>
      <c r="B17" s="190" t="s">
        <v>330</v>
      </c>
      <c r="C17" s="192" t="s">
        <v>379</v>
      </c>
      <c r="D17" s="192" t="str">
        <f>[2]DanhMucDien!D17</f>
        <v>Nhằm điển hình hoá các hạng mục trong phân khúc công ty hay triển khai, nhờ đó giảm thời gian triển khai trên toàn hệ thống, mang lại lợi thế khi đấu thầu, thi công, là tài liệu định hướng, đề xuất cho khách hàng, từ đây có thể định hướng BPTC, giảm chi phí, đẩy nhanh tiến độ, nâng cao chất lượng khi xây dựng</v>
      </c>
    </row>
    <row r="18" spans="1:19" ht="58.5" customHeight="1" x14ac:dyDescent="0.25">
      <c r="A18" s="181">
        <v>17</v>
      </c>
      <c r="B18" s="190" t="s">
        <v>283</v>
      </c>
      <c r="C18" s="191" t="s">
        <v>284</v>
      </c>
      <c r="D18" s="192" t="str">
        <f>[2]DanhMucDien!D18</f>
        <v>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v>
      </c>
    </row>
    <row r="19" spans="1:19" ht="42.75" x14ac:dyDescent="0.25">
      <c r="A19" s="181">
        <v>18</v>
      </c>
      <c r="B19" s="190" t="str">
        <f>[2]DanhMucDien!B19</f>
        <v>Các biểu mẫu so sánh giữa các phương án thiết kế</v>
      </c>
      <c r="C19" s="192" t="str">
        <f>[2]DanhMucDien!C19</f>
        <v>Bao gồm đầy đủ các tiêu chí so sánh giữa 2 hoặc 3 phương án thiết kế, các tiêu chí như : thông số kĩ thuật, vân hành, thi công, chi phí, tiến độ, thẩm mỹ, an toàn…</v>
      </c>
      <c r="D19" s="192" t="str">
        <f>[2]DanhMucDien!D19</f>
        <v>Nhằm triển khai nhanh phục vụ khách hàng hoặc lãnh đạo hoặc chính kĩ sư, chủ trì thiết kế ra quyết định trong việc lựa chon các phương án thiết kế chính</v>
      </c>
    </row>
    <row r="21" spans="1:19" x14ac:dyDescent="0.25">
      <c r="S21" s="149" t="s">
        <v>287</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D2775-C979-42D2-B64E-944AB92120FC}">
  <dimension ref="A1:R21"/>
  <sheetViews>
    <sheetView workbookViewId="0">
      <selection activeCell="D27" sqref="D27"/>
    </sheetView>
  </sheetViews>
  <sheetFormatPr defaultRowHeight="15" x14ac:dyDescent="0.25"/>
  <cols>
    <col min="1" max="1" width="10.85546875" style="194" customWidth="1"/>
    <col min="2" max="2" width="65.85546875" style="149" customWidth="1"/>
    <col min="3" max="3" width="77" style="149" customWidth="1"/>
    <col min="4" max="4" width="68.5703125" style="149" customWidth="1"/>
    <col min="5" max="16384" width="9.140625" style="149"/>
  </cols>
  <sheetData>
    <row r="1" spans="1:4" ht="32.25" customHeight="1" x14ac:dyDescent="0.25">
      <c r="A1" s="189" t="str">
        <f>[2]DanhMucKT!A1</f>
        <v>STT</v>
      </c>
      <c r="B1" s="189" t="str">
        <f>[2]DanhMucKT!B1</f>
        <v>Tài liệu</v>
      </c>
      <c r="C1" s="189" t="s">
        <v>380</v>
      </c>
      <c r="D1" s="196" t="str">
        <f>[2]DanhMucKT!D1</f>
        <v>Mục đích</v>
      </c>
    </row>
    <row r="2" spans="1:4" ht="57" x14ac:dyDescent="0.25">
      <c r="A2" s="181">
        <v>1</v>
      </c>
      <c r="B2" s="190" t="s">
        <v>381</v>
      </c>
      <c r="C2" s="191" t="s">
        <v>334</v>
      </c>
      <c r="D2" s="192" t="str">
        <f>[2]DanhMucDien!D2</f>
        <v>Có biểu mẫu triển khai theo một kiểu nhất định từ bố cục thông tin đến diễn giải chi tiết , chia thuyết minh ra theo phân loại hệ thống đã thiết kế, các dự án có thay đổi thì chỉ cần xác định chính xác các vị trí cần thay đổi thôi, phục vụ hồ sơ pháp lý, giải trình khi được yêu cầu</v>
      </c>
    </row>
    <row r="3" spans="1:4" ht="42.75" x14ac:dyDescent="0.25">
      <c r="A3" s="181">
        <v>2</v>
      </c>
      <c r="B3" s="190" t="s">
        <v>243</v>
      </c>
      <c r="C3" s="191" t="s">
        <v>244</v>
      </c>
      <c r="D3" s="192" t="str">
        <f>[2]DanhMucDien!D3</f>
        <v>Phải thống nhất để phục vụ quá trình tìm kiếm thông tin nhanh, hiệu quả, sử dụng thông tin cho các mục đích như chuyển giao, lấy khối lượng, tự động hoá, quản lý hệ thống….</v>
      </c>
    </row>
    <row r="4" spans="1:4" ht="42.75" x14ac:dyDescent="0.25">
      <c r="A4" s="181">
        <v>3</v>
      </c>
      <c r="B4" s="190" t="s">
        <v>382</v>
      </c>
      <c r="C4" s="191"/>
      <c r="D4" s="192" t="str">
        <f>[2]DanhMucDien!D4</f>
        <v>Nhằm cung cấp công cụ tính toán, quy định, quy chuẩn, tiêu châunr tính toán nhanh nhất cho cán bộ triển khai, phục vụ giải trình khi được các bên yêu cầu</v>
      </c>
    </row>
    <row r="5" spans="1:4" ht="42.75" x14ac:dyDescent="0.25">
      <c r="A5" s="181">
        <v>4</v>
      </c>
      <c r="B5" s="190" t="s">
        <v>370</v>
      </c>
      <c r="C5" s="191" t="s">
        <v>252</v>
      </c>
      <c r="D5" s="192" t="str">
        <f>[2]DanhMucDien!D5</f>
        <v>Nhằm chuẩn bị nhanh chóng trước khi làm việc với khách hàng, giảm thời gian làm rõ thông tin, tránh hiểu nhầm dẫn đến điều chỉnh thiết kế nhiều, thiết kê sai ý đồ khách hàng</v>
      </c>
    </row>
    <row r="6" spans="1:4" ht="42.75" x14ac:dyDescent="0.25">
      <c r="A6" s="181">
        <v>5</v>
      </c>
      <c r="B6" s="190" t="s">
        <v>383</v>
      </c>
      <c r="C6" s="191"/>
      <c r="D6" s="192" t="str">
        <f>[2]DanhMucDien!D6</f>
        <v>Nhằm kiểm soát nhanh các tài liệu đầu vào để kịp thời bổ sung trong quá trình làm việc với khách hàng, tránh thiết kế ở trạng thái thiếu thông tin dẫn đến điều chỉnh nhiều</v>
      </c>
    </row>
    <row r="7" spans="1:4" ht="71.25" x14ac:dyDescent="0.25">
      <c r="A7" s="181">
        <v>6</v>
      </c>
      <c r="B7" s="190" t="s">
        <v>338</v>
      </c>
      <c r="C7" s="192" t="s">
        <v>305</v>
      </c>
      <c r="D7" s="192" t="str">
        <f>[2]DanhMucDien!D7</f>
        <v>Giảm thời gian tư vấn, lựa chọn phương án vật tư, vật liệu, giảm thời gian triển khai khối lượng, BOQ, lấy giá, giảm thời gian đặt hàng, quản lý vật tư thi công, quản lý chi phí thi công, dễ dàng lựa chọn câc vật tư, vật liệu mà BSV có lợi thế đối tác chiến lượng hoặc liên quan đến BPTC, hồ sơ chất lượng QAQC...</v>
      </c>
    </row>
    <row r="8" spans="1:4" ht="71.25" x14ac:dyDescent="0.25">
      <c r="A8" s="181">
        <v>7</v>
      </c>
      <c r="B8" s="190" t="s">
        <v>384</v>
      </c>
      <c r="C8" s="192" t="s">
        <v>385</v>
      </c>
      <c r="D8" s="192" t="str">
        <f>[2]DanhMucDien!D8</f>
        <v>Đồng bộ toàn bộ bản vẽ, hồ sơ, cách thể hiện thông tin trên tât cả các dự án, là cơ sở triển khai hàng loạt công cụ tự động hoá trên toàn hệ thống, giúp tăng hiệu suất triển khai trên toàn hệ thống</v>
      </c>
    </row>
    <row r="9" spans="1:4" ht="42.75" x14ac:dyDescent="0.25">
      <c r="A9" s="181">
        <v>8</v>
      </c>
      <c r="B9" s="190" t="s">
        <v>386</v>
      </c>
      <c r="C9" s="191" t="s">
        <v>260</v>
      </c>
      <c r="D9" s="192" t="str">
        <f>[2]DanhMucDien!D9</f>
        <v>Triển khai nhanh tiến độ thiết kế khi làm việc với khách hàng, căn cứ kiểm soát kết qủa công việc khi triển khai, căn cứ phối hợp các bộ môn khác khi triển khai</v>
      </c>
    </row>
    <row r="10" spans="1:4" ht="42.75" x14ac:dyDescent="0.25">
      <c r="A10" s="181">
        <v>9</v>
      </c>
      <c r="B10" s="190" t="s">
        <v>261</v>
      </c>
      <c r="C10" s="192" t="s">
        <v>262</v>
      </c>
      <c r="D10" s="192" t="str">
        <f>[2]DanhMucDien!D10</f>
        <v>Triển khai nhanh kế hoạch triển khai bản vẽ, căn cứ để quản lý thay đổi, quản lý hồ sơ đóng gói, tự động hoá một số thao tác khi triển khai bản vẽ, đồng bộ cách đặt tên trên toàn hệ thống</v>
      </c>
    </row>
    <row r="11" spans="1:4" ht="28.5" x14ac:dyDescent="0.25">
      <c r="A11" s="181">
        <v>10</v>
      </c>
      <c r="B11" s="190" t="s">
        <v>263</v>
      </c>
      <c r="C11" s="192" t="s">
        <v>387</v>
      </c>
      <c r="D11" s="192" t="str">
        <f>[2]DanhMucDien!D11</f>
        <v>Vai trò như 1 tài liệu mô tả, hướng dẫn, giải thích cho cả khách hàng lẫn các cán bộ trẻ có nhu cầu tìm hiểu trong nội bộ, đào tạo trẻ</v>
      </c>
    </row>
    <row r="12" spans="1:4" ht="42.75" x14ac:dyDescent="0.25">
      <c r="A12" s="181">
        <v>11</v>
      </c>
      <c r="B12" s="190" t="s">
        <v>376</v>
      </c>
      <c r="C12" s="192" t="s">
        <v>344</v>
      </c>
      <c r="D12" s="192" t="str">
        <f>[2]DanhMucDien!D12</f>
        <v>Như một định hướng thiết kế và tài liệu mẫu để điều chỉnh nhanh trong quá trình triển khai thiết kế</v>
      </c>
    </row>
    <row r="13" spans="1:4" ht="42.75" x14ac:dyDescent="0.25">
      <c r="A13" s="181">
        <v>12</v>
      </c>
      <c r="B13" s="190" t="s">
        <v>388</v>
      </c>
      <c r="C13" s="192" t="s">
        <v>273</v>
      </c>
      <c r="D13" s="192" t="str">
        <f>[2]DanhMucDien!D13</f>
        <v>Đồng bộ toàn bộ bản vẽ, hồ sơ, cách thể hiện thông tin trên tât cả các dự án, là cơ sở triển khai hàng loạt công cụ tự động hoá trên toàn hệ thống, giúp tăng hiệu suất triển khai trên toàn hệ thống</v>
      </c>
    </row>
    <row r="14" spans="1:4" ht="57" x14ac:dyDescent="0.25">
      <c r="A14" s="181">
        <v>13</v>
      </c>
      <c r="B14" s="190" t="s">
        <v>274</v>
      </c>
      <c r="C14" s="191" t="s">
        <v>275</v>
      </c>
      <c r="D14" s="192" t="str">
        <f>[2]DanhMucDien!D14</f>
        <v>Chuẩn hoá các thao tác tạo lập thông tin(ví dụ tạo giá trị cho tham biến), tổ chức thông tin trong file, tránh rủi ro có tính hệ thống, ví dụ như định vị hoặc thể hiện sai thông tin khi xuất hồ sơ, là hướng dẫn cơ bản khi đào tạo người mới</v>
      </c>
    </row>
    <row r="15" spans="1:4" ht="42.75" x14ac:dyDescent="0.25">
      <c r="A15" s="181">
        <v>14</v>
      </c>
      <c r="B15" s="190" t="s">
        <v>346</v>
      </c>
      <c r="C15" s="192" t="s">
        <v>347</v>
      </c>
      <c r="D15" s="192" t="str">
        <f>[2]DanhMucDien!D15</f>
        <v>Giảm thao tác thủ công, tăng hiệu suất triển khai các sản phẩm thiết kế, hỗ trợ tự động hoá, tính đầy đủ cho các bước tiếp theo hoặc chuyển giao thông tin</v>
      </c>
    </row>
    <row r="16" spans="1:4" ht="30" x14ac:dyDescent="0.25">
      <c r="A16" s="181">
        <v>15</v>
      </c>
      <c r="B16" s="190" t="s">
        <v>389</v>
      </c>
      <c r="C16" s="191" t="s">
        <v>349</v>
      </c>
      <c r="D16" s="192" t="str">
        <f>[2]DanhMucDien!D16</f>
        <v>Nhằm rút ra các bài học trọng yếu, tránh sai lầm, tối ưu thiết kế qua từng dự án</v>
      </c>
    </row>
    <row r="17" spans="1:18" ht="71.25" x14ac:dyDescent="0.25">
      <c r="A17" s="181">
        <v>16</v>
      </c>
      <c r="B17" s="190" t="s">
        <v>330</v>
      </c>
      <c r="C17" s="192" t="s">
        <v>390</v>
      </c>
      <c r="D17" s="192" t="str">
        <f>[2]DanhMucDien!D17</f>
        <v>Nhằm điển hình hoá các hạng mục trong phân khúc công ty hay triển khai, nhờ đó giảm thời gian triển khai trên toàn hệ thống, mang lại lợi thế khi đấu thầu, thi công, là tài liệu định hướng, đề xuất cho khách hàng, từ đây có thể định hướng BPTC, giảm chi phí, đẩy nhanh tiến độ, nâng cao chất lượng khi xây dựng</v>
      </c>
    </row>
    <row r="18" spans="1:18" ht="71.25" x14ac:dyDescent="0.25">
      <c r="A18" s="181">
        <v>17</v>
      </c>
      <c r="B18" s="190" t="s">
        <v>283</v>
      </c>
      <c r="C18" s="191" t="s">
        <v>284</v>
      </c>
      <c r="D18" s="192" t="str">
        <f>[2]DanhMucDien!D18</f>
        <v>Phục vụ triển khai khối lượng nhanh với hiệu suất cao đồng thời với mô hình BIM thiết kế, BOQ sẽ khớp với hệ thống Family, tham biến, tổ chức thông tin mô hình, Nhằm tối ưu quản lý hệ thống từ tiến độ thi công, BOQ, ngân sách, vật tư, nhân công, máy móc, thiết bị, quản lý hiệu suất, dòng tiền, thanh toán, quyết toán...</v>
      </c>
    </row>
    <row r="19" spans="1:18" ht="42.75" x14ac:dyDescent="0.25">
      <c r="A19" s="181">
        <v>18</v>
      </c>
      <c r="B19" s="190" t="str">
        <f>[2]DanhMucCTN!B19</f>
        <v>Các biểu mẫu so sánh giữa các phương án thiết kế</v>
      </c>
      <c r="C19" s="191" t="str">
        <f>[2]DanhMucCTN!C19</f>
        <v>Bao gồm đầy đủ các tiêu chí so sánh giữa 2 hoặc 3 phương án thiết kế, các tiêu chí như : thông số kĩ thuật, vân hành, thi công, chi phí, tiến độ, thẩm mỹ, an toàn…</v>
      </c>
      <c r="D19" s="192" t="str">
        <f>[2]DanhMucCTN!D19</f>
        <v>Nhằm triển khai nhanh phục vụ khách hàng hoặc lãnh đạo hoặc chính kĩ sư, chủ trì thiết kế ra quyết định trong việc lựa chon các phương án thiết kế chính</v>
      </c>
    </row>
    <row r="21" spans="1:18" x14ac:dyDescent="0.25">
      <c r="R21" s="149" t="s">
        <v>287</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249977111117893"/>
  </sheetPr>
  <dimension ref="A1:AE61"/>
  <sheetViews>
    <sheetView showGridLines="0" workbookViewId="0">
      <selection activeCell="I5" sqref="I5"/>
    </sheetView>
  </sheetViews>
  <sheetFormatPr defaultColWidth="10.7109375" defaultRowHeight="15.75" x14ac:dyDescent="0.25"/>
  <cols>
    <col min="1" max="1" width="3.28515625" style="3" customWidth="1"/>
    <col min="2" max="2" width="6.28515625" customWidth="1"/>
    <col min="3" max="3" width="16.28515625" customWidth="1"/>
    <col min="4" max="4" width="3.28515625" customWidth="1"/>
    <col min="5" max="5" width="3.28515625" style="3" customWidth="1"/>
    <col min="6" max="16384" width="10.7109375" style="2"/>
  </cols>
  <sheetData>
    <row r="1" spans="1:31" s="3" customFormat="1" ht="42" customHeight="1" x14ac:dyDescent="0.25">
      <c r="B1" s="6" t="s">
        <v>10</v>
      </c>
      <c r="C1" s="1"/>
      <c r="D1" s="1"/>
      <c r="E1" s="5"/>
      <c r="F1" s="5"/>
      <c r="G1" s="5"/>
      <c r="H1" s="5"/>
      <c r="I1" s="5"/>
      <c r="Q1" s="4"/>
      <c r="R1" s="4"/>
      <c r="S1" s="4"/>
      <c r="T1" s="4"/>
      <c r="U1" s="4"/>
      <c r="V1" s="4"/>
      <c r="W1" s="4"/>
      <c r="X1" s="4"/>
      <c r="Y1" s="4"/>
      <c r="Z1" s="4"/>
      <c r="AA1" s="4"/>
      <c r="AB1" s="4"/>
      <c r="AC1" s="4"/>
      <c r="AD1" s="4"/>
      <c r="AE1" s="4"/>
    </row>
    <row r="2" spans="1:31" ht="25.15" customHeight="1" thickBot="1" x14ac:dyDescent="0.3">
      <c r="A2" s="4"/>
      <c r="B2" s="12" t="s">
        <v>9</v>
      </c>
      <c r="C2" s="13"/>
      <c r="E2" s="4"/>
    </row>
    <row r="3" spans="1:31" ht="25.15" customHeight="1" x14ac:dyDescent="0.25">
      <c r="A3" s="4"/>
      <c r="B3" s="10"/>
      <c r="C3" s="11" t="s">
        <v>8</v>
      </c>
      <c r="E3" s="4"/>
    </row>
    <row r="4" spans="1:31" ht="34.9" customHeight="1" x14ac:dyDescent="0.25">
      <c r="A4" s="4"/>
      <c r="B4" s="7" t="s">
        <v>0</v>
      </c>
      <c r="C4" s="8" t="s">
        <v>4</v>
      </c>
      <c r="E4" s="4"/>
    </row>
    <row r="5" spans="1:31" ht="34.9" customHeight="1" x14ac:dyDescent="0.25">
      <c r="A5" s="4"/>
      <c r="B5" s="7" t="s">
        <v>1</v>
      </c>
      <c r="C5" s="8" t="s">
        <v>5</v>
      </c>
      <c r="E5" s="4"/>
    </row>
    <row r="6" spans="1:31" ht="34.9" customHeight="1" x14ac:dyDescent="0.25">
      <c r="A6" s="4"/>
      <c r="B6" s="9" t="s">
        <v>2</v>
      </c>
      <c r="C6" s="8" t="s">
        <v>6</v>
      </c>
      <c r="E6" s="4"/>
    </row>
    <row r="7" spans="1:31" ht="34.9" customHeight="1" x14ac:dyDescent="0.25">
      <c r="A7" s="4"/>
      <c r="B7" s="7" t="s">
        <v>3</v>
      </c>
      <c r="C7" s="8" t="s">
        <v>7</v>
      </c>
      <c r="E7" s="4"/>
    </row>
    <row r="8" spans="1:31" ht="34.9" customHeight="1" x14ac:dyDescent="0.25">
      <c r="A8" s="4"/>
      <c r="B8" s="17" t="s">
        <v>12</v>
      </c>
      <c r="C8" s="8" t="s">
        <v>13</v>
      </c>
      <c r="E8" s="4"/>
    </row>
    <row r="9" spans="1:31" ht="34.9" customHeight="1" x14ac:dyDescent="0.25">
      <c r="A9" s="4"/>
      <c r="E9" s="4"/>
    </row>
    <row r="10" spans="1:31" ht="34.9" customHeight="1" x14ac:dyDescent="0.25">
      <c r="A10" s="4"/>
      <c r="E10" s="4"/>
    </row>
    <row r="11" spans="1:31" ht="34.9" customHeight="1" x14ac:dyDescent="0.25">
      <c r="A11" s="4"/>
      <c r="E11" s="4"/>
    </row>
    <row r="12" spans="1:31" ht="34.9" customHeight="1" x14ac:dyDescent="0.25">
      <c r="A12" s="4"/>
      <c r="E12" s="4"/>
    </row>
    <row r="13" spans="1:31" x14ac:dyDescent="0.25">
      <c r="A13" s="4"/>
      <c r="E13" s="4"/>
    </row>
    <row r="14" spans="1:31" x14ac:dyDescent="0.25">
      <c r="A14" s="4"/>
      <c r="E14" s="4"/>
    </row>
    <row r="15" spans="1:31" x14ac:dyDescent="0.25">
      <c r="A15" s="4"/>
      <c r="E15" s="4"/>
    </row>
    <row r="16" spans="1:31" x14ac:dyDescent="0.25">
      <c r="A16" s="4"/>
      <c r="E16" s="4"/>
    </row>
    <row r="17" spans="1:5" x14ac:dyDescent="0.25">
      <c r="A17" s="4"/>
      <c r="E17" s="4"/>
    </row>
    <row r="18" spans="1:5" x14ac:dyDescent="0.25">
      <c r="A18" s="4"/>
      <c r="E18" s="4"/>
    </row>
    <row r="19" spans="1:5" x14ac:dyDescent="0.25">
      <c r="A19" s="4"/>
      <c r="E19" s="4"/>
    </row>
    <row r="20" spans="1:5" x14ac:dyDescent="0.25">
      <c r="A20" s="4"/>
      <c r="E20" s="4"/>
    </row>
    <row r="21" spans="1:5" x14ac:dyDescent="0.25">
      <c r="A21" s="4"/>
      <c r="E21" s="4"/>
    </row>
    <row r="22" spans="1:5" x14ac:dyDescent="0.25">
      <c r="A22" s="4"/>
      <c r="E22" s="4"/>
    </row>
    <row r="23" spans="1:5" x14ac:dyDescent="0.25">
      <c r="A23" s="4"/>
      <c r="E23" s="4"/>
    </row>
    <row r="24" spans="1:5" x14ac:dyDescent="0.25">
      <c r="A24" s="4"/>
      <c r="E24" s="4"/>
    </row>
    <row r="25" spans="1:5" x14ac:dyDescent="0.25">
      <c r="A25" s="4"/>
      <c r="E25" s="4"/>
    </row>
    <row r="26" spans="1:5" x14ac:dyDescent="0.25">
      <c r="A26" s="4"/>
      <c r="E26" s="4"/>
    </row>
    <row r="27" spans="1:5" x14ac:dyDescent="0.25">
      <c r="A27" s="4"/>
      <c r="E27" s="4"/>
    </row>
    <row r="28" spans="1:5" x14ac:dyDescent="0.25">
      <c r="A28" s="4"/>
      <c r="E28" s="4"/>
    </row>
    <row r="29" spans="1:5" x14ac:dyDescent="0.25">
      <c r="A29" s="4"/>
      <c r="E29" s="4"/>
    </row>
    <row r="30" spans="1:5" x14ac:dyDescent="0.25">
      <c r="A30" s="4"/>
      <c r="E30" s="4"/>
    </row>
    <row r="31" spans="1:5" x14ac:dyDescent="0.25">
      <c r="A31" s="4"/>
      <c r="E31" s="4"/>
    </row>
    <row r="32" spans="1:5" x14ac:dyDescent="0.25">
      <c r="A32" s="2"/>
      <c r="E32" s="2"/>
    </row>
    <row r="33" spans="1:5" x14ac:dyDescent="0.25">
      <c r="A33" s="4"/>
      <c r="E33" s="4"/>
    </row>
    <row r="34" spans="1:5" x14ac:dyDescent="0.25">
      <c r="A34" s="4"/>
      <c r="E34" s="4"/>
    </row>
    <row r="35" spans="1:5" x14ac:dyDescent="0.25">
      <c r="A35" s="4"/>
      <c r="E35" s="4"/>
    </row>
    <row r="36" spans="1:5" x14ac:dyDescent="0.25">
      <c r="A36" s="4"/>
      <c r="E36" s="4"/>
    </row>
    <row r="37" spans="1:5" x14ac:dyDescent="0.25">
      <c r="A37" s="4"/>
      <c r="E37" s="4"/>
    </row>
    <row r="38" spans="1:5" x14ac:dyDescent="0.25">
      <c r="A38" s="4"/>
      <c r="E38" s="4"/>
    </row>
    <row r="39" spans="1:5" x14ac:dyDescent="0.25">
      <c r="A39" s="4"/>
      <c r="E39" s="4"/>
    </row>
    <row r="40" spans="1:5" x14ac:dyDescent="0.25">
      <c r="A40" s="4"/>
      <c r="E40" s="4"/>
    </row>
    <row r="41" spans="1:5" x14ac:dyDescent="0.25">
      <c r="A41" s="4"/>
      <c r="E41" s="4"/>
    </row>
    <row r="42" spans="1:5" x14ac:dyDescent="0.25">
      <c r="A42" s="4"/>
      <c r="E42" s="4"/>
    </row>
    <row r="43" spans="1:5" x14ac:dyDescent="0.25">
      <c r="A43" s="4"/>
      <c r="E43" s="4"/>
    </row>
    <row r="44" spans="1:5" x14ac:dyDescent="0.25">
      <c r="A44" s="4"/>
      <c r="E44" s="4"/>
    </row>
    <row r="45" spans="1:5" x14ac:dyDescent="0.25">
      <c r="A45" s="4"/>
      <c r="E45" s="4"/>
    </row>
    <row r="46" spans="1:5" x14ac:dyDescent="0.25">
      <c r="A46" s="4"/>
      <c r="E46" s="4"/>
    </row>
    <row r="47" spans="1:5" x14ac:dyDescent="0.25">
      <c r="A47" s="4"/>
      <c r="E47" s="4"/>
    </row>
    <row r="48" spans="1:5" x14ac:dyDescent="0.25">
      <c r="A48" s="4"/>
      <c r="E48" s="4"/>
    </row>
    <row r="49" spans="1:5" x14ac:dyDescent="0.25">
      <c r="A49" s="4"/>
      <c r="E49" s="4"/>
    </row>
    <row r="50" spans="1:5" x14ac:dyDescent="0.25">
      <c r="A50" s="4"/>
      <c r="E50" s="4"/>
    </row>
    <row r="51" spans="1:5" x14ac:dyDescent="0.25">
      <c r="A51" s="4"/>
      <c r="E51" s="4"/>
    </row>
    <row r="52" spans="1:5" x14ac:dyDescent="0.25">
      <c r="A52" s="4"/>
      <c r="E52" s="4"/>
    </row>
    <row r="53" spans="1:5" x14ac:dyDescent="0.25">
      <c r="A53" s="4"/>
      <c r="E53" s="4"/>
    </row>
    <row r="54" spans="1:5" x14ac:dyDescent="0.25">
      <c r="A54" s="4"/>
      <c r="E54" s="4"/>
    </row>
    <row r="55" spans="1:5" x14ac:dyDescent="0.25">
      <c r="A55" s="4"/>
      <c r="E55" s="4"/>
    </row>
    <row r="56" spans="1:5" x14ac:dyDescent="0.25">
      <c r="A56" s="4"/>
      <c r="E56" s="4"/>
    </row>
    <row r="57" spans="1:5" x14ac:dyDescent="0.25">
      <c r="A57" s="4"/>
      <c r="E57" s="4"/>
    </row>
    <row r="58" spans="1:5" x14ac:dyDescent="0.25">
      <c r="A58" s="4"/>
      <c r="E58" s="4"/>
    </row>
    <row r="59" spans="1:5" x14ac:dyDescent="0.25">
      <c r="A59" s="4"/>
      <c r="E59" s="4"/>
    </row>
    <row r="60" spans="1:5" x14ac:dyDescent="0.25">
      <c r="A60" s="4"/>
      <c r="E60" s="4"/>
    </row>
    <row r="61" spans="1:5" x14ac:dyDescent="0.25">
      <c r="A61" s="4"/>
      <c r="E61" s="4"/>
    </row>
  </sheetData>
  <conditionalFormatting sqref="B4:B8">
    <cfRule type="containsText" dxfId="3" priority="1" operator="containsText" text="R">
      <formula>NOT(ISERROR(SEARCH("R",B4)))</formula>
    </cfRule>
    <cfRule type="containsText" dxfId="2" priority="2" operator="containsText" text="A">
      <formula>NOT(ISERROR(SEARCH("A",B4)))</formula>
    </cfRule>
    <cfRule type="containsText" dxfId="1" priority="3" operator="containsText" text="C">
      <formula>NOT(ISERROR(SEARCH("C",B4)))</formula>
    </cfRule>
    <cfRule type="containsText" dxfId="0" priority="4" operator="containsText" text="I">
      <formula>NOT(ISERROR(SEARCH("I",B4)))</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11</vt:i4>
      </vt:variant>
    </vt:vector>
  </HeadingPairs>
  <TitlesOfParts>
    <vt:vector size="30" baseType="lpstr">
      <vt:lpstr>SĐTC BP BIM-TK</vt:lpstr>
      <vt:lpstr>Ma Tran BP BIM</vt:lpstr>
      <vt:lpstr>MTCV_KPI_TBP BIM</vt:lpstr>
      <vt:lpstr>MTCV_KPI_BIM Kien Truc</vt:lpstr>
      <vt:lpstr>MTCV_KPI_BIM Ket Cau</vt:lpstr>
      <vt:lpstr>MTCV_KPI_BIM MEPF</vt:lpstr>
      <vt:lpstr>MTCV_KPI_BIM Ha Tang</vt:lpstr>
      <vt:lpstr>DiemDanhGia</vt:lpstr>
      <vt:lpstr>QT_BIM_Shop</vt:lpstr>
      <vt:lpstr>QT_BIM_Combine</vt:lpstr>
      <vt:lpstr>QT_BIM_QS</vt:lpstr>
      <vt:lpstr>ChienLuocMucTieuNVTK</vt:lpstr>
      <vt:lpstr>HT_ThietKe_KC</vt:lpstr>
      <vt:lpstr>HT_ThietKe_KT</vt:lpstr>
      <vt:lpstr>HT_ThietKe_Dien</vt:lpstr>
      <vt:lpstr>HT_ThietKe_HVAC</vt:lpstr>
      <vt:lpstr>HT_ThietKe_CTN</vt:lpstr>
      <vt:lpstr>HT_ThietKe_PCCC</vt:lpstr>
      <vt:lpstr>Dropdown Keys - Do Not Delete -</vt:lpstr>
      <vt:lpstr>'Ma Tran BP BIM'!Print_Titles</vt:lpstr>
      <vt:lpstr>'MTCV_KPI_BIM Ha Tang'!Z_FD2F7472_F5D6_40F1_B6C4_8EE6CE46D363_.wvu.Cols</vt:lpstr>
      <vt:lpstr>'MTCV_KPI_BIM Ket Cau'!Z_FD2F7472_F5D6_40F1_B6C4_8EE6CE46D363_.wvu.Cols</vt:lpstr>
      <vt:lpstr>'MTCV_KPI_BIM Kien Truc'!Z_FD2F7472_F5D6_40F1_B6C4_8EE6CE46D363_.wvu.Cols</vt:lpstr>
      <vt:lpstr>'MTCV_KPI_BIM MEPF'!Z_FD2F7472_F5D6_40F1_B6C4_8EE6CE46D363_.wvu.Cols</vt:lpstr>
      <vt:lpstr>'MTCV_KPI_TBP BIM'!Z_FD2F7472_F5D6_40F1_B6C4_8EE6CE46D363_.wvu.Cols</vt:lpstr>
      <vt:lpstr>'MTCV_KPI_BIM Ha Tang'!Z_FD2F7472_F5D6_40F1_B6C4_8EE6CE46D363_.wvu.PrintTitles</vt:lpstr>
      <vt:lpstr>'MTCV_KPI_BIM Ket Cau'!Z_FD2F7472_F5D6_40F1_B6C4_8EE6CE46D363_.wvu.PrintTitles</vt:lpstr>
      <vt:lpstr>'MTCV_KPI_BIM Kien Truc'!Z_FD2F7472_F5D6_40F1_B6C4_8EE6CE46D363_.wvu.PrintTitles</vt:lpstr>
      <vt:lpstr>'MTCV_KPI_BIM MEPF'!Z_FD2F7472_F5D6_40F1_B6C4_8EE6CE46D363_.wvu.PrintTitles</vt:lpstr>
      <vt:lpstr>'MTCV_KPI_TBP BIM'!Z_FD2F7472_F5D6_40F1_B6C4_8EE6CE46D363_.wvu.PrintTitles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Dang Huu Lam</cp:lastModifiedBy>
  <cp:lastPrinted>2024-11-15T10:30:34Z</cp:lastPrinted>
  <dcterms:created xsi:type="dcterms:W3CDTF">2017-03-12T00:10:35Z</dcterms:created>
  <dcterms:modified xsi:type="dcterms:W3CDTF">2026-04-13T06:11:41Z</dcterms:modified>
</cp:coreProperties>
</file>